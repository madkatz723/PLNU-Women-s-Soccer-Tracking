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oahc\Downloads\PLNU WSOC SS\"/>
    </mc:Choice>
  </mc:AlternateContent>
  <xr:revisionPtr revIDLastSave="0" documentId="13_ncr:1_{E741FC84-F847-4C48-83A0-A0D6926E57AE}" xr6:coauthVersionLast="47" xr6:coauthVersionMax="47" xr10:uidLastSave="{00000000-0000-0000-0000-000000000000}"/>
  <bookViews>
    <workbookView xWindow="4800" yWindow="2400" windowWidth="28800" windowHeight="15345" xr2:uid="{00000000-000D-0000-FFFF-FFFF00000000}"/>
  </bookViews>
  <sheets>
    <sheet name="CMJ Readiness" sheetId="1" r:id="rId1"/>
    <sheet name="Roster Forma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88" i="1" l="1"/>
  <c r="J1988" i="1"/>
  <c r="H1988" i="1"/>
  <c r="M1988" i="1" s="1"/>
  <c r="G1988" i="1"/>
  <c r="N1987" i="1"/>
  <c r="J1987" i="1"/>
  <c r="H1987" i="1"/>
  <c r="M1987" i="1" s="1"/>
  <c r="G1987" i="1"/>
  <c r="N1986" i="1"/>
  <c r="J1986" i="1"/>
  <c r="H1986" i="1"/>
  <c r="G1986" i="1"/>
  <c r="N1985" i="1"/>
  <c r="J1985" i="1"/>
  <c r="H1985" i="1"/>
  <c r="M1985" i="1" s="1"/>
  <c r="G1985" i="1"/>
  <c r="N1984" i="1"/>
  <c r="J1984" i="1"/>
  <c r="H1984" i="1"/>
  <c r="M1984" i="1" s="1"/>
  <c r="G1984" i="1"/>
  <c r="N1983" i="1"/>
  <c r="J1983" i="1"/>
  <c r="H1983" i="1"/>
  <c r="M1983" i="1" s="1"/>
  <c r="G1983" i="1"/>
  <c r="N1982" i="1"/>
  <c r="J1982" i="1"/>
  <c r="H1982" i="1"/>
  <c r="M1982" i="1" s="1"/>
  <c r="G1982" i="1"/>
  <c r="N1981" i="1"/>
  <c r="J1981" i="1"/>
  <c r="H1981" i="1"/>
  <c r="M1981" i="1" s="1"/>
  <c r="G1981" i="1"/>
  <c r="N1980" i="1"/>
  <c r="J1980" i="1"/>
  <c r="H1980" i="1"/>
  <c r="G1980" i="1"/>
  <c r="N1979" i="1"/>
  <c r="J1979" i="1"/>
  <c r="H1979" i="1"/>
  <c r="M1979" i="1" s="1"/>
  <c r="G1979" i="1"/>
  <c r="N1978" i="1"/>
  <c r="J1978" i="1"/>
  <c r="H1978" i="1"/>
  <c r="M1978" i="1" s="1"/>
  <c r="G1978" i="1"/>
  <c r="N1977" i="1"/>
  <c r="J1977" i="1"/>
  <c r="H1977" i="1"/>
  <c r="M1977" i="1" s="1"/>
  <c r="G1977" i="1"/>
  <c r="N1976" i="1"/>
  <c r="J1976" i="1"/>
  <c r="H1976" i="1"/>
  <c r="G1976" i="1"/>
  <c r="N1975" i="1"/>
  <c r="J1975" i="1"/>
  <c r="H1975" i="1"/>
  <c r="M1975" i="1" s="1"/>
  <c r="G1975" i="1"/>
  <c r="N1974" i="1"/>
  <c r="J1974" i="1"/>
  <c r="H1974" i="1"/>
  <c r="G1974" i="1"/>
  <c r="N1973" i="1"/>
  <c r="J1973" i="1"/>
  <c r="H1973" i="1"/>
  <c r="M1973" i="1" s="1"/>
  <c r="G1973" i="1"/>
  <c r="N1972" i="1"/>
  <c r="J1972" i="1"/>
  <c r="H1972" i="1"/>
  <c r="M1972" i="1" s="1"/>
  <c r="G1972" i="1"/>
  <c r="L1972" i="1" s="1"/>
  <c r="I1972" i="1" s="1"/>
  <c r="N1971" i="1"/>
  <c r="J1971" i="1"/>
  <c r="H1971" i="1"/>
  <c r="M1971" i="1" s="1"/>
  <c r="G1971" i="1"/>
  <c r="N1970" i="1"/>
  <c r="J1970" i="1"/>
  <c r="H1970" i="1"/>
  <c r="K1970" i="1" s="1"/>
  <c r="G1970" i="1"/>
  <c r="N1969" i="1"/>
  <c r="J1969" i="1"/>
  <c r="H1969" i="1"/>
  <c r="M1969" i="1" s="1"/>
  <c r="G1969" i="1"/>
  <c r="N1968" i="1"/>
  <c r="J1968" i="1"/>
  <c r="H1968" i="1"/>
  <c r="G1968" i="1"/>
  <c r="N1967" i="1"/>
  <c r="J1967" i="1"/>
  <c r="H1967" i="1"/>
  <c r="M1967" i="1" s="1"/>
  <c r="G1967" i="1"/>
  <c r="N1966" i="1"/>
  <c r="J1966" i="1"/>
  <c r="H1966" i="1"/>
  <c r="M1966" i="1" s="1"/>
  <c r="G1966" i="1"/>
  <c r="L1966" i="1" s="1"/>
  <c r="I1966" i="1" s="1"/>
  <c r="N1965" i="1"/>
  <c r="J1965" i="1"/>
  <c r="H1965" i="1"/>
  <c r="M1965" i="1" s="1"/>
  <c r="G1965" i="1"/>
  <c r="N1964" i="1"/>
  <c r="J1964" i="1"/>
  <c r="H1964" i="1"/>
  <c r="G1964" i="1"/>
  <c r="N1963" i="1"/>
  <c r="J1963" i="1"/>
  <c r="H1963" i="1"/>
  <c r="M1963" i="1" s="1"/>
  <c r="G1963" i="1"/>
  <c r="N1962" i="1"/>
  <c r="J1962" i="1"/>
  <c r="H1962" i="1"/>
  <c r="G1962" i="1"/>
  <c r="N1961" i="1"/>
  <c r="J1961" i="1"/>
  <c r="H1961" i="1"/>
  <c r="M1961" i="1" s="1"/>
  <c r="G1961" i="1"/>
  <c r="N1960" i="1"/>
  <c r="J1960" i="1"/>
  <c r="H1960" i="1"/>
  <c r="M1960" i="1" s="1"/>
  <c r="G1960" i="1"/>
  <c r="N1959" i="1"/>
  <c r="J1959" i="1"/>
  <c r="H1959" i="1"/>
  <c r="M1959" i="1" s="1"/>
  <c r="G1959" i="1"/>
  <c r="N1958" i="1"/>
  <c r="J1958" i="1"/>
  <c r="H1958" i="1"/>
  <c r="K1958" i="1" s="1"/>
  <c r="G1958" i="1"/>
  <c r="N1957" i="1"/>
  <c r="J1957" i="1"/>
  <c r="H1957" i="1"/>
  <c r="M1957" i="1" s="1"/>
  <c r="G1957" i="1"/>
  <c r="N1956" i="1"/>
  <c r="J1956" i="1"/>
  <c r="H1956" i="1"/>
  <c r="M1956" i="1" s="1"/>
  <c r="G1956" i="1"/>
  <c r="N1955" i="1"/>
  <c r="J1955" i="1"/>
  <c r="H1955" i="1"/>
  <c r="M1955" i="1" s="1"/>
  <c r="G1955" i="1"/>
  <c r="N1954" i="1"/>
  <c r="J1954" i="1"/>
  <c r="H1954" i="1"/>
  <c r="M1954" i="1" s="1"/>
  <c r="G1954" i="1"/>
  <c r="N1953" i="1"/>
  <c r="J1953" i="1"/>
  <c r="H1953" i="1"/>
  <c r="M1953" i="1" s="1"/>
  <c r="G1953" i="1"/>
  <c r="N1952" i="1"/>
  <c r="J1952" i="1"/>
  <c r="H1952" i="1"/>
  <c r="M1952" i="1" s="1"/>
  <c r="G1952" i="1"/>
  <c r="N1951" i="1"/>
  <c r="J1951" i="1"/>
  <c r="H1951" i="1"/>
  <c r="M1951" i="1" s="1"/>
  <c r="G1951" i="1"/>
  <c r="N1950" i="1"/>
  <c r="J1950" i="1"/>
  <c r="H1950" i="1"/>
  <c r="M1950" i="1" s="1"/>
  <c r="G1950" i="1"/>
  <c r="N1949" i="1"/>
  <c r="J1949" i="1"/>
  <c r="H1949" i="1"/>
  <c r="G1949" i="1"/>
  <c r="N1948" i="1"/>
  <c r="J1948" i="1"/>
  <c r="H1948" i="1"/>
  <c r="M1948" i="1" s="1"/>
  <c r="G1948" i="1"/>
  <c r="N1947" i="1"/>
  <c r="J1947" i="1"/>
  <c r="H1947" i="1"/>
  <c r="M1947" i="1" s="1"/>
  <c r="G1947" i="1"/>
  <c r="N1946" i="1"/>
  <c r="J1946" i="1"/>
  <c r="H1946" i="1"/>
  <c r="M1946" i="1" s="1"/>
  <c r="G1946" i="1"/>
  <c r="N1945" i="1"/>
  <c r="J1945" i="1"/>
  <c r="H1945" i="1"/>
  <c r="G1945" i="1"/>
  <c r="N1944" i="1"/>
  <c r="J1944" i="1"/>
  <c r="H1944" i="1"/>
  <c r="M1944" i="1" s="1"/>
  <c r="G1944" i="1"/>
  <c r="N1943" i="1"/>
  <c r="J1943" i="1"/>
  <c r="H1943" i="1"/>
  <c r="G1943" i="1"/>
  <c r="N1942" i="1"/>
  <c r="J1942" i="1"/>
  <c r="H1942" i="1"/>
  <c r="G1942" i="1"/>
  <c r="N1941" i="1"/>
  <c r="J1941" i="1"/>
  <c r="H1941" i="1"/>
  <c r="M1941" i="1" s="1"/>
  <c r="G1941" i="1"/>
  <c r="N1940" i="1"/>
  <c r="J1940" i="1"/>
  <c r="H1940" i="1"/>
  <c r="M1940" i="1" s="1"/>
  <c r="G1940" i="1"/>
  <c r="N1939" i="1"/>
  <c r="J1939" i="1"/>
  <c r="H1939" i="1"/>
  <c r="G1939" i="1"/>
  <c r="N1938" i="1"/>
  <c r="M1938" i="1"/>
  <c r="K1938" i="1"/>
  <c r="J1938" i="1"/>
  <c r="H1938" i="1"/>
  <c r="G1938" i="1"/>
  <c r="N1937" i="1"/>
  <c r="J1937" i="1"/>
  <c r="H1937" i="1"/>
  <c r="M1937" i="1" s="1"/>
  <c r="G1937" i="1"/>
  <c r="N1936" i="1"/>
  <c r="J1936" i="1"/>
  <c r="H1936" i="1"/>
  <c r="M1936" i="1" s="1"/>
  <c r="G1936" i="1"/>
  <c r="N1935" i="1"/>
  <c r="J1935" i="1"/>
  <c r="H1935" i="1"/>
  <c r="G1935" i="1"/>
  <c r="N1934" i="1"/>
  <c r="J1934" i="1"/>
  <c r="H1934" i="1"/>
  <c r="M1934" i="1" s="1"/>
  <c r="G1934" i="1"/>
  <c r="N1933" i="1"/>
  <c r="J1933" i="1"/>
  <c r="H1933" i="1"/>
  <c r="G1933" i="1"/>
  <c r="N1932" i="1"/>
  <c r="J1932" i="1"/>
  <c r="H1932" i="1"/>
  <c r="M1932" i="1" s="1"/>
  <c r="G1932" i="1"/>
  <c r="N1931" i="1"/>
  <c r="J1931" i="1"/>
  <c r="H1931" i="1"/>
  <c r="G1931" i="1"/>
  <c r="N1930" i="1"/>
  <c r="J1930" i="1"/>
  <c r="H1930" i="1"/>
  <c r="G1930" i="1"/>
  <c r="N1929" i="1"/>
  <c r="J1929" i="1"/>
  <c r="H1929" i="1"/>
  <c r="M1929" i="1" s="1"/>
  <c r="G1929" i="1"/>
  <c r="N1928" i="1"/>
  <c r="J1928" i="1"/>
  <c r="H1928" i="1"/>
  <c r="M1928" i="1" s="1"/>
  <c r="G1928" i="1"/>
  <c r="N1927" i="1"/>
  <c r="J1927" i="1"/>
  <c r="H1927" i="1"/>
  <c r="G1927" i="1"/>
  <c r="N1926" i="1"/>
  <c r="M1926" i="1"/>
  <c r="J1926" i="1"/>
  <c r="H1926" i="1"/>
  <c r="G1926" i="1"/>
  <c r="N1925" i="1"/>
  <c r="J1925" i="1"/>
  <c r="H1925" i="1"/>
  <c r="G1925" i="1"/>
  <c r="N1924" i="1"/>
  <c r="J1924" i="1"/>
  <c r="H1924" i="1"/>
  <c r="M1924" i="1" s="1"/>
  <c r="G1924" i="1"/>
  <c r="N1923" i="1"/>
  <c r="J1923" i="1"/>
  <c r="H1923" i="1"/>
  <c r="M1923" i="1" s="1"/>
  <c r="G1923" i="1"/>
  <c r="N1922" i="1"/>
  <c r="J1922" i="1"/>
  <c r="H1922" i="1"/>
  <c r="M1922" i="1" s="1"/>
  <c r="G1922" i="1"/>
  <c r="N1921" i="1"/>
  <c r="J1921" i="1"/>
  <c r="H1921" i="1"/>
  <c r="G1921" i="1"/>
  <c r="N1920" i="1"/>
  <c r="J1920" i="1"/>
  <c r="H1920" i="1"/>
  <c r="M1920" i="1" s="1"/>
  <c r="G1920" i="1"/>
  <c r="N1919" i="1"/>
  <c r="J1919" i="1"/>
  <c r="H1919" i="1"/>
  <c r="M1919" i="1" s="1"/>
  <c r="G1919" i="1"/>
  <c r="N1918" i="1"/>
  <c r="J1918" i="1"/>
  <c r="H1918" i="1"/>
  <c r="M1918" i="1" s="1"/>
  <c r="G1918" i="1"/>
  <c r="N1917" i="1"/>
  <c r="J1917" i="1"/>
  <c r="H1917" i="1"/>
  <c r="G1917" i="1"/>
  <c r="N1916" i="1"/>
  <c r="J1916" i="1"/>
  <c r="H1916" i="1"/>
  <c r="M1916" i="1" s="1"/>
  <c r="G1916" i="1"/>
  <c r="N1915" i="1"/>
  <c r="J1915" i="1"/>
  <c r="H1915" i="1"/>
  <c r="M1915" i="1" s="1"/>
  <c r="G1915" i="1"/>
  <c r="N1914" i="1"/>
  <c r="J1914" i="1"/>
  <c r="H1914" i="1"/>
  <c r="M1914" i="1" s="1"/>
  <c r="G1914" i="1"/>
  <c r="N1913" i="1"/>
  <c r="J1913" i="1"/>
  <c r="H1913" i="1"/>
  <c r="M1913" i="1" s="1"/>
  <c r="G1913" i="1"/>
  <c r="N1912" i="1"/>
  <c r="J1912" i="1"/>
  <c r="H1912" i="1"/>
  <c r="M1912" i="1" s="1"/>
  <c r="G1912" i="1"/>
  <c r="N1911" i="1"/>
  <c r="J1911" i="1"/>
  <c r="H1911" i="1"/>
  <c r="G1911" i="1"/>
  <c r="N1910" i="1"/>
  <c r="J1910" i="1"/>
  <c r="H1910" i="1"/>
  <c r="M1910" i="1" s="1"/>
  <c r="G1910" i="1"/>
  <c r="N1909" i="1"/>
  <c r="J1909" i="1"/>
  <c r="H1909" i="1"/>
  <c r="M1909" i="1" s="1"/>
  <c r="G1909" i="1"/>
  <c r="N1908" i="1"/>
  <c r="J1908" i="1"/>
  <c r="H1908" i="1"/>
  <c r="M1908" i="1" s="1"/>
  <c r="G1908" i="1"/>
  <c r="N1907" i="1"/>
  <c r="J1907" i="1"/>
  <c r="H1907" i="1"/>
  <c r="G1907" i="1"/>
  <c r="N1906" i="1"/>
  <c r="J1906" i="1"/>
  <c r="H1906" i="1"/>
  <c r="K1906" i="1" s="1"/>
  <c r="G1906" i="1"/>
  <c r="N1905" i="1"/>
  <c r="J1905" i="1"/>
  <c r="H1905" i="1"/>
  <c r="M1905" i="1" s="1"/>
  <c r="G1905" i="1"/>
  <c r="N1904" i="1"/>
  <c r="J1904" i="1"/>
  <c r="H1904" i="1"/>
  <c r="G1904" i="1"/>
  <c r="N1903" i="1"/>
  <c r="J1903" i="1"/>
  <c r="H1903" i="1"/>
  <c r="G1903" i="1"/>
  <c r="N1902" i="1"/>
  <c r="J1902" i="1"/>
  <c r="H1902" i="1"/>
  <c r="M1902" i="1" s="1"/>
  <c r="G1902" i="1"/>
  <c r="N1901" i="1"/>
  <c r="J1901" i="1"/>
  <c r="H1901" i="1"/>
  <c r="G1901" i="1"/>
  <c r="N1900" i="1"/>
  <c r="M1900" i="1"/>
  <c r="K1900" i="1"/>
  <c r="J1900" i="1"/>
  <c r="H1900" i="1"/>
  <c r="G1900" i="1"/>
  <c r="N1899" i="1"/>
  <c r="J1899" i="1"/>
  <c r="H1899" i="1"/>
  <c r="G1899" i="1"/>
  <c r="N1898" i="1"/>
  <c r="J1898" i="1"/>
  <c r="H1898" i="1"/>
  <c r="G1898" i="1"/>
  <c r="N1897" i="1"/>
  <c r="J1897" i="1"/>
  <c r="H1897" i="1"/>
  <c r="M1897" i="1" s="1"/>
  <c r="G1897" i="1"/>
  <c r="N1896" i="1"/>
  <c r="J1896" i="1"/>
  <c r="H1896" i="1"/>
  <c r="M1896" i="1" s="1"/>
  <c r="G1896" i="1"/>
  <c r="N1895" i="1"/>
  <c r="J1895" i="1"/>
  <c r="H1895" i="1"/>
  <c r="M1895" i="1" s="1"/>
  <c r="G1895" i="1"/>
  <c r="N1894" i="1"/>
  <c r="J1894" i="1"/>
  <c r="H1894" i="1"/>
  <c r="M1894" i="1" s="1"/>
  <c r="G1894" i="1"/>
  <c r="N1893" i="1"/>
  <c r="J1893" i="1"/>
  <c r="H1893" i="1"/>
  <c r="G1893" i="1"/>
  <c r="N1892" i="1"/>
  <c r="J1892" i="1"/>
  <c r="H1892" i="1"/>
  <c r="K1892" i="1" s="1"/>
  <c r="G1892" i="1"/>
  <c r="N1891" i="1"/>
  <c r="J1891" i="1"/>
  <c r="H1891" i="1"/>
  <c r="M1891" i="1" s="1"/>
  <c r="G1891" i="1"/>
  <c r="N1890" i="1"/>
  <c r="J1890" i="1"/>
  <c r="H1890" i="1"/>
  <c r="M1890" i="1" s="1"/>
  <c r="G1890" i="1"/>
  <c r="N1889" i="1"/>
  <c r="J1889" i="1"/>
  <c r="H1889" i="1"/>
  <c r="G1889" i="1"/>
  <c r="N1888" i="1"/>
  <c r="J1888" i="1"/>
  <c r="H1888" i="1"/>
  <c r="M1888" i="1" s="1"/>
  <c r="G1888" i="1"/>
  <c r="N1887" i="1"/>
  <c r="J1887" i="1"/>
  <c r="H1887" i="1"/>
  <c r="M1887" i="1" s="1"/>
  <c r="G1887" i="1"/>
  <c r="N1886" i="1"/>
  <c r="J1886" i="1"/>
  <c r="H1886" i="1"/>
  <c r="K1886" i="1" s="1"/>
  <c r="G1886" i="1"/>
  <c r="N1885" i="1"/>
  <c r="J1885" i="1"/>
  <c r="H1885" i="1"/>
  <c r="G1885" i="1"/>
  <c r="N1884" i="1"/>
  <c r="J1884" i="1"/>
  <c r="H1884" i="1"/>
  <c r="G1884" i="1"/>
  <c r="N1883" i="1"/>
  <c r="J1883" i="1"/>
  <c r="H1883" i="1"/>
  <c r="G1883" i="1"/>
  <c r="N1882" i="1"/>
  <c r="J1882" i="1"/>
  <c r="H1882" i="1"/>
  <c r="M1882" i="1" s="1"/>
  <c r="G1882" i="1"/>
  <c r="N1881" i="1"/>
  <c r="J1881" i="1"/>
  <c r="H1881" i="1"/>
  <c r="M1881" i="1" s="1"/>
  <c r="G1881" i="1"/>
  <c r="N1880" i="1"/>
  <c r="M1880" i="1"/>
  <c r="J1880" i="1"/>
  <c r="H1880" i="1"/>
  <c r="K1880" i="1" s="1"/>
  <c r="G1880" i="1"/>
  <c r="N1879" i="1"/>
  <c r="J1879" i="1"/>
  <c r="H1879" i="1"/>
  <c r="G1879" i="1"/>
  <c r="N1878" i="1"/>
  <c r="J1878" i="1"/>
  <c r="H1878" i="1"/>
  <c r="K1878" i="1" s="1"/>
  <c r="G1878" i="1"/>
  <c r="N1877" i="1"/>
  <c r="J1877" i="1"/>
  <c r="H1877" i="1"/>
  <c r="M1877" i="1" s="1"/>
  <c r="G1877" i="1"/>
  <c r="N1876" i="1"/>
  <c r="J1876" i="1"/>
  <c r="H1876" i="1"/>
  <c r="M1876" i="1" s="1"/>
  <c r="G1876" i="1"/>
  <c r="L1876" i="1" s="1"/>
  <c r="I1876" i="1" s="1"/>
  <c r="N1875" i="1"/>
  <c r="J1875" i="1"/>
  <c r="H1875" i="1"/>
  <c r="G1875" i="1"/>
  <c r="N1874" i="1"/>
  <c r="J1874" i="1"/>
  <c r="H1874" i="1"/>
  <c r="K1874" i="1" s="1"/>
  <c r="G1874" i="1"/>
  <c r="N1873" i="1"/>
  <c r="J1873" i="1"/>
  <c r="H1873" i="1"/>
  <c r="M1873" i="1" s="1"/>
  <c r="G1873" i="1"/>
  <c r="N1872" i="1"/>
  <c r="J1872" i="1"/>
  <c r="H1872" i="1"/>
  <c r="M1872" i="1" s="1"/>
  <c r="G1872" i="1"/>
  <c r="N1871" i="1"/>
  <c r="J1871" i="1"/>
  <c r="H1871" i="1"/>
  <c r="G1871" i="1"/>
  <c r="N1870" i="1"/>
  <c r="J1870" i="1"/>
  <c r="H1870" i="1"/>
  <c r="M1870" i="1" s="1"/>
  <c r="G1870" i="1"/>
  <c r="N1869" i="1"/>
  <c r="J1869" i="1"/>
  <c r="H1869" i="1"/>
  <c r="M1869" i="1" s="1"/>
  <c r="G1869" i="1"/>
  <c r="N1868" i="1"/>
  <c r="J1868" i="1"/>
  <c r="H1868" i="1"/>
  <c r="M1868" i="1" s="1"/>
  <c r="G1868" i="1"/>
  <c r="N1867" i="1"/>
  <c r="J1867" i="1"/>
  <c r="H1867" i="1"/>
  <c r="G1867" i="1"/>
  <c r="N1866" i="1"/>
  <c r="J1866" i="1"/>
  <c r="H1866" i="1"/>
  <c r="G1866" i="1"/>
  <c r="N1865" i="1"/>
  <c r="J1865" i="1"/>
  <c r="H1865" i="1"/>
  <c r="M1865" i="1" s="1"/>
  <c r="G1865" i="1"/>
  <c r="N1864" i="1"/>
  <c r="J1864" i="1"/>
  <c r="H1864" i="1"/>
  <c r="M1864" i="1" s="1"/>
  <c r="G1864" i="1"/>
  <c r="N1863" i="1"/>
  <c r="J1863" i="1"/>
  <c r="H1863" i="1"/>
  <c r="G1863" i="1"/>
  <c r="N1862" i="1"/>
  <c r="J1862" i="1"/>
  <c r="H1862" i="1"/>
  <c r="M1862" i="1" s="1"/>
  <c r="G1862" i="1"/>
  <c r="N1861" i="1"/>
  <c r="J1861" i="1"/>
  <c r="H1861" i="1"/>
  <c r="G1861" i="1"/>
  <c r="N1860" i="1"/>
  <c r="J1860" i="1"/>
  <c r="H1860" i="1"/>
  <c r="G1860" i="1"/>
  <c r="N1859" i="1"/>
  <c r="J1859" i="1"/>
  <c r="H1859" i="1"/>
  <c r="M1859" i="1" s="1"/>
  <c r="G1859" i="1"/>
  <c r="N1858" i="1"/>
  <c r="J1858" i="1"/>
  <c r="H1858" i="1"/>
  <c r="M1858" i="1" s="1"/>
  <c r="G1858" i="1"/>
  <c r="N1857" i="1"/>
  <c r="J1857" i="1"/>
  <c r="H1857" i="1"/>
  <c r="G1857" i="1"/>
  <c r="N1856" i="1"/>
  <c r="J1856" i="1"/>
  <c r="H1856" i="1"/>
  <c r="M1856" i="1" s="1"/>
  <c r="G1856" i="1"/>
  <c r="N1855" i="1"/>
  <c r="J1855" i="1"/>
  <c r="H1855" i="1"/>
  <c r="G1855" i="1"/>
  <c r="N1854" i="1"/>
  <c r="J1854" i="1"/>
  <c r="H1854" i="1"/>
  <c r="M1854" i="1" s="1"/>
  <c r="G1854" i="1"/>
  <c r="N1853" i="1"/>
  <c r="J1853" i="1"/>
  <c r="H1853" i="1"/>
  <c r="G1853" i="1"/>
  <c r="N1852" i="1"/>
  <c r="J1852" i="1"/>
  <c r="H1852" i="1"/>
  <c r="M1852" i="1" s="1"/>
  <c r="G1852" i="1"/>
  <c r="N1851" i="1"/>
  <c r="J1851" i="1"/>
  <c r="H1851" i="1"/>
  <c r="M1851" i="1" s="1"/>
  <c r="G1851" i="1"/>
  <c r="N1850" i="1"/>
  <c r="J1850" i="1"/>
  <c r="H1850" i="1"/>
  <c r="M1850" i="1" s="1"/>
  <c r="G1850" i="1"/>
  <c r="N1849" i="1"/>
  <c r="J1849" i="1"/>
  <c r="H1849" i="1"/>
  <c r="G1849" i="1"/>
  <c r="N1848" i="1"/>
  <c r="K1848" i="1"/>
  <c r="J1848" i="1"/>
  <c r="H1848" i="1"/>
  <c r="M1848" i="1" s="1"/>
  <c r="G1848" i="1"/>
  <c r="N1847" i="1"/>
  <c r="J1847" i="1"/>
  <c r="H1847" i="1"/>
  <c r="G1847" i="1"/>
  <c r="N1846" i="1"/>
  <c r="J1846" i="1"/>
  <c r="H1846" i="1"/>
  <c r="G1846" i="1"/>
  <c r="N1845" i="1"/>
  <c r="J1845" i="1"/>
  <c r="H1845" i="1"/>
  <c r="M1845" i="1" s="1"/>
  <c r="G1845" i="1"/>
  <c r="N1844" i="1"/>
  <c r="J1844" i="1"/>
  <c r="H1844" i="1"/>
  <c r="M1844" i="1" s="1"/>
  <c r="G1844" i="1"/>
  <c r="N1843" i="1"/>
  <c r="J1843" i="1"/>
  <c r="H1843" i="1"/>
  <c r="M1843" i="1" s="1"/>
  <c r="G1843" i="1"/>
  <c r="N1842" i="1"/>
  <c r="J1842" i="1"/>
  <c r="H1842" i="1"/>
  <c r="M1842" i="1" s="1"/>
  <c r="G1842" i="1"/>
  <c r="N1841" i="1"/>
  <c r="J1841" i="1"/>
  <c r="H1841" i="1"/>
  <c r="M1841" i="1" s="1"/>
  <c r="G1841" i="1"/>
  <c r="N1840" i="1"/>
  <c r="M1840" i="1"/>
  <c r="J1840" i="1"/>
  <c r="H1840" i="1"/>
  <c r="G1840" i="1"/>
  <c r="N1839" i="1"/>
  <c r="J1839" i="1"/>
  <c r="H1839" i="1"/>
  <c r="G1839" i="1"/>
  <c r="N1838" i="1"/>
  <c r="J1838" i="1"/>
  <c r="H1838" i="1"/>
  <c r="G1838" i="1"/>
  <c r="N1837" i="1"/>
  <c r="J1837" i="1"/>
  <c r="H1837" i="1"/>
  <c r="M1837" i="1" s="1"/>
  <c r="G1837" i="1"/>
  <c r="N1836" i="1"/>
  <c r="J1836" i="1"/>
  <c r="H1836" i="1"/>
  <c r="M1836" i="1" s="1"/>
  <c r="G1836" i="1"/>
  <c r="N1835" i="1"/>
  <c r="J1835" i="1"/>
  <c r="H1835" i="1"/>
  <c r="G1835" i="1"/>
  <c r="N1834" i="1"/>
  <c r="J1834" i="1"/>
  <c r="H1834" i="1"/>
  <c r="M1834" i="1" s="1"/>
  <c r="G1834" i="1"/>
  <c r="N1833" i="1"/>
  <c r="J1833" i="1"/>
  <c r="H1833" i="1"/>
  <c r="M1833" i="1" s="1"/>
  <c r="G1833" i="1"/>
  <c r="N1832" i="1"/>
  <c r="J1832" i="1"/>
  <c r="H1832" i="1"/>
  <c r="G1832" i="1"/>
  <c r="N1831" i="1"/>
  <c r="J1831" i="1"/>
  <c r="H1831" i="1"/>
  <c r="G1831" i="1"/>
  <c r="N1830" i="1"/>
  <c r="J1830" i="1"/>
  <c r="H1830" i="1"/>
  <c r="M1830" i="1" s="1"/>
  <c r="G1830" i="1"/>
  <c r="N1829" i="1"/>
  <c r="J1829" i="1"/>
  <c r="H1829" i="1"/>
  <c r="G1829" i="1"/>
  <c r="N1828" i="1"/>
  <c r="J1828" i="1"/>
  <c r="H1828" i="1"/>
  <c r="G1828" i="1"/>
  <c r="N1827" i="1"/>
  <c r="J1827" i="1"/>
  <c r="H1827" i="1"/>
  <c r="M1827" i="1" s="1"/>
  <c r="G1827" i="1"/>
  <c r="N1826" i="1"/>
  <c r="J1826" i="1"/>
  <c r="H1826" i="1"/>
  <c r="G1826" i="1"/>
  <c r="N1825" i="1"/>
  <c r="J1825" i="1"/>
  <c r="H1825" i="1"/>
  <c r="M1825" i="1" s="1"/>
  <c r="G1825" i="1"/>
  <c r="N1824" i="1"/>
  <c r="J1824" i="1"/>
  <c r="H1824" i="1"/>
  <c r="G1824" i="1"/>
  <c r="N1823" i="1"/>
  <c r="J1823" i="1"/>
  <c r="H1823" i="1"/>
  <c r="M1823" i="1" s="1"/>
  <c r="G1823" i="1"/>
  <c r="N1822" i="1"/>
  <c r="J1822" i="1"/>
  <c r="H1822" i="1"/>
  <c r="M1822" i="1" s="1"/>
  <c r="G1822" i="1"/>
  <c r="N1821" i="1"/>
  <c r="J1821" i="1"/>
  <c r="H1821" i="1"/>
  <c r="M1821" i="1" s="1"/>
  <c r="G1821" i="1"/>
  <c r="N1820" i="1"/>
  <c r="J1820" i="1"/>
  <c r="H1820" i="1"/>
  <c r="M1820" i="1" s="1"/>
  <c r="G1820" i="1"/>
  <c r="N1819" i="1"/>
  <c r="J1819" i="1"/>
  <c r="H1819" i="1"/>
  <c r="M1819" i="1" s="1"/>
  <c r="G1819" i="1"/>
  <c r="N1818" i="1"/>
  <c r="J1818" i="1"/>
  <c r="H1818" i="1"/>
  <c r="L1818" i="1" s="1"/>
  <c r="I1818" i="1" s="1"/>
  <c r="G1818" i="1"/>
  <c r="N1817" i="1"/>
  <c r="J1817" i="1"/>
  <c r="H1817" i="1"/>
  <c r="K1817" i="1" s="1"/>
  <c r="G1817" i="1"/>
  <c r="N1816" i="1"/>
  <c r="J1816" i="1"/>
  <c r="H1816" i="1"/>
  <c r="G1816" i="1"/>
  <c r="N1815" i="1"/>
  <c r="L1815" i="1"/>
  <c r="I1815" i="1" s="1"/>
  <c r="J1815" i="1"/>
  <c r="H1815" i="1"/>
  <c r="M1815" i="1" s="1"/>
  <c r="G1815" i="1"/>
  <c r="N1814" i="1"/>
  <c r="J1814" i="1"/>
  <c r="H1814" i="1"/>
  <c r="G1814" i="1"/>
  <c r="K1814" i="1" s="1"/>
  <c r="N1813" i="1"/>
  <c r="M1813" i="1"/>
  <c r="J1813" i="1"/>
  <c r="H1813" i="1"/>
  <c r="G1813" i="1"/>
  <c r="N1812" i="1"/>
  <c r="J1812" i="1"/>
  <c r="H1812" i="1"/>
  <c r="M1812" i="1" s="1"/>
  <c r="G1812" i="1"/>
  <c r="N1811" i="1"/>
  <c r="M1811" i="1"/>
  <c r="J1811" i="1"/>
  <c r="H1811" i="1"/>
  <c r="G1811" i="1"/>
  <c r="N1810" i="1"/>
  <c r="J1810" i="1"/>
  <c r="H1810" i="1"/>
  <c r="G1810" i="1"/>
  <c r="N1809" i="1"/>
  <c r="J1809" i="1"/>
  <c r="H1809" i="1"/>
  <c r="L1809" i="1" s="1"/>
  <c r="I1809" i="1" s="1"/>
  <c r="G1809" i="1"/>
  <c r="N1808" i="1"/>
  <c r="L1808" i="1"/>
  <c r="I1808" i="1" s="1"/>
  <c r="J1808" i="1"/>
  <c r="H1808" i="1"/>
  <c r="M1808" i="1" s="1"/>
  <c r="G1808" i="1"/>
  <c r="N1807" i="1"/>
  <c r="J1807" i="1"/>
  <c r="H1807" i="1"/>
  <c r="G1807" i="1"/>
  <c r="N1806" i="1"/>
  <c r="J1806" i="1"/>
  <c r="H1806" i="1"/>
  <c r="M1806" i="1" s="1"/>
  <c r="G1806" i="1"/>
  <c r="N1805" i="1"/>
  <c r="J1805" i="1"/>
  <c r="H1805" i="1"/>
  <c r="G1805" i="1"/>
  <c r="N1804" i="1"/>
  <c r="J1804" i="1"/>
  <c r="H1804" i="1"/>
  <c r="M1804" i="1" s="1"/>
  <c r="G1804" i="1"/>
  <c r="N1803" i="1"/>
  <c r="J1803" i="1"/>
  <c r="H1803" i="1"/>
  <c r="K1803" i="1" s="1"/>
  <c r="G1803" i="1"/>
  <c r="N1802" i="1"/>
  <c r="J1802" i="1"/>
  <c r="H1802" i="1"/>
  <c r="M1802" i="1" s="1"/>
  <c r="G1802" i="1"/>
  <c r="N1801" i="1"/>
  <c r="J1801" i="1"/>
  <c r="H1801" i="1"/>
  <c r="K1801" i="1" s="1"/>
  <c r="G1801" i="1"/>
  <c r="N1800" i="1"/>
  <c r="J1800" i="1"/>
  <c r="H1800" i="1"/>
  <c r="G1800" i="1"/>
  <c r="N1799" i="1"/>
  <c r="M1799" i="1"/>
  <c r="J1799" i="1"/>
  <c r="H1799" i="1"/>
  <c r="G1799" i="1"/>
  <c r="N1798" i="1"/>
  <c r="J1798" i="1"/>
  <c r="H1798" i="1"/>
  <c r="G1798" i="1"/>
  <c r="N1797" i="1"/>
  <c r="K1797" i="1"/>
  <c r="J1797" i="1"/>
  <c r="H1797" i="1"/>
  <c r="M1797" i="1" s="1"/>
  <c r="G1797" i="1"/>
  <c r="N1796" i="1"/>
  <c r="J1796" i="1"/>
  <c r="H1796" i="1"/>
  <c r="G1796" i="1"/>
  <c r="N1795" i="1"/>
  <c r="J1795" i="1"/>
  <c r="H1795" i="1"/>
  <c r="M1795" i="1" s="1"/>
  <c r="G1795" i="1"/>
  <c r="N1794" i="1"/>
  <c r="J1794" i="1"/>
  <c r="H1794" i="1"/>
  <c r="M1794" i="1" s="1"/>
  <c r="G1794" i="1"/>
  <c r="N1793" i="1"/>
  <c r="J1793" i="1"/>
  <c r="H1793" i="1"/>
  <c r="M1793" i="1" s="1"/>
  <c r="G1793" i="1"/>
  <c r="N1792" i="1"/>
  <c r="J1792" i="1"/>
  <c r="H1792" i="1"/>
  <c r="M1792" i="1" s="1"/>
  <c r="G1792" i="1"/>
  <c r="N1791" i="1"/>
  <c r="J1791" i="1"/>
  <c r="H1791" i="1"/>
  <c r="K1791" i="1" s="1"/>
  <c r="G1791" i="1"/>
  <c r="N1790" i="1"/>
  <c r="J1790" i="1"/>
  <c r="H1790" i="1"/>
  <c r="G1790" i="1"/>
  <c r="N1789" i="1"/>
  <c r="J1789" i="1"/>
  <c r="H1789" i="1"/>
  <c r="M1789" i="1" s="1"/>
  <c r="G1789" i="1"/>
  <c r="N1788" i="1"/>
  <c r="J1788" i="1"/>
  <c r="H1788" i="1"/>
  <c r="G1788" i="1"/>
  <c r="N1787" i="1"/>
  <c r="J1787" i="1"/>
  <c r="H1787" i="1"/>
  <c r="K1787" i="1" s="1"/>
  <c r="G1787" i="1"/>
  <c r="N1786" i="1"/>
  <c r="J1786" i="1"/>
  <c r="H1786" i="1"/>
  <c r="G1786" i="1"/>
  <c r="N1785" i="1"/>
  <c r="J1785" i="1"/>
  <c r="H1785" i="1"/>
  <c r="G1785" i="1"/>
  <c r="N1784" i="1"/>
  <c r="J1784" i="1"/>
  <c r="H1784" i="1"/>
  <c r="G1784" i="1"/>
  <c r="N1783" i="1"/>
  <c r="J1783" i="1"/>
  <c r="H1783" i="1"/>
  <c r="M1783" i="1" s="1"/>
  <c r="G1783" i="1"/>
  <c r="N1782" i="1"/>
  <c r="J1782" i="1"/>
  <c r="H1782" i="1"/>
  <c r="G1782" i="1"/>
  <c r="K1782" i="1" s="1"/>
  <c r="N1781" i="1"/>
  <c r="J1781" i="1"/>
  <c r="H1781" i="1"/>
  <c r="K1781" i="1" s="1"/>
  <c r="G1781" i="1"/>
  <c r="N1780" i="1"/>
  <c r="J1780" i="1"/>
  <c r="H1780" i="1"/>
  <c r="G1780" i="1"/>
  <c r="N1779" i="1"/>
  <c r="J1779" i="1"/>
  <c r="H1779" i="1"/>
  <c r="G1779" i="1"/>
  <c r="N1778" i="1"/>
  <c r="J1778" i="1"/>
  <c r="H1778" i="1"/>
  <c r="M1778" i="1" s="1"/>
  <c r="G1778" i="1"/>
  <c r="N1777" i="1"/>
  <c r="M1777" i="1"/>
  <c r="L1777" i="1"/>
  <c r="I1777" i="1" s="1"/>
  <c r="J1777" i="1"/>
  <c r="H1777" i="1"/>
  <c r="G1777" i="1"/>
  <c r="K1777" i="1" s="1"/>
  <c r="N1776" i="1"/>
  <c r="J1776" i="1"/>
  <c r="H1776" i="1"/>
  <c r="G1776" i="1"/>
  <c r="N1775" i="1"/>
  <c r="J1775" i="1"/>
  <c r="H1775" i="1"/>
  <c r="M1775" i="1" s="1"/>
  <c r="G1775" i="1"/>
  <c r="N1774" i="1"/>
  <c r="J1774" i="1"/>
  <c r="H1774" i="1"/>
  <c r="M1774" i="1" s="1"/>
  <c r="G1774" i="1"/>
  <c r="N1773" i="1"/>
  <c r="J1773" i="1"/>
  <c r="H1773" i="1"/>
  <c r="M1773" i="1" s="1"/>
  <c r="G1773" i="1"/>
  <c r="N1772" i="1"/>
  <c r="J1772" i="1"/>
  <c r="H1772" i="1"/>
  <c r="M1772" i="1" s="1"/>
  <c r="G1772" i="1"/>
  <c r="N1771" i="1"/>
  <c r="J1771" i="1"/>
  <c r="H1771" i="1"/>
  <c r="M1771" i="1" s="1"/>
  <c r="G1771" i="1"/>
  <c r="N1770" i="1"/>
  <c r="J1770" i="1"/>
  <c r="H1770" i="1"/>
  <c r="M1770" i="1" s="1"/>
  <c r="G1770" i="1"/>
  <c r="N1769" i="1"/>
  <c r="J1769" i="1"/>
  <c r="H1769" i="1"/>
  <c r="M1769" i="1" s="1"/>
  <c r="G1769" i="1"/>
  <c r="N1768" i="1"/>
  <c r="J1768" i="1"/>
  <c r="H1768" i="1"/>
  <c r="M1768" i="1" s="1"/>
  <c r="G1768" i="1"/>
  <c r="N1767" i="1"/>
  <c r="J1767" i="1"/>
  <c r="H1767" i="1"/>
  <c r="M1767" i="1" s="1"/>
  <c r="G1767" i="1"/>
  <c r="N1766" i="1"/>
  <c r="J1766" i="1"/>
  <c r="H1766" i="1"/>
  <c r="M1766" i="1" s="1"/>
  <c r="G1766" i="1"/>
  <c r="N1765" i="1"/>
  <c r="J1765" i="1"/>
  <c r="H1765" i="1"/>
  <c r="M1765" i="1" s="1"/>
  <c r="G1765" i="1"/>
  <c r="N1764" i="1"/>
  <c r="J1764" i="1"/>
  <c r="H1764" i="1"/>
  <c r="M1764" i="1" s="1"/>
  <c r="G1764" i="1"/>
  <c r="N1763" i="1"/>
  <c r="J1763" i="1"/>
  <c r="H1763" i="1"/>
  <c r="M1763" i="1" s="1"/>
  <c r="G1763" i="1"/>
  <c r="N1762" i="1"/>
  <c r="L1762" i="1" s="1"/>
  <c r="I1762" i="1" s="1"/>
  <c r="J1762" i="1"/>
  <c r="H1762" i="1"/>
  <c r="M1762" i="1" s="1"/>
  <c r="G1762" i="1"/>
  <c r="N1761" i="1"/>
  <c r="J1761" i="1"/>
  <c r="H1761" i="1"/>
  <c r="M1761" i="1" s="1"/>
  <c r="G1761" i="1"/>
  <c r="N1760" i="1"/>
  <c r="L1760" i="1" s="1"/>
  <c r="I1760" i="1" s="1"/>
  <c r="J1760" i="1"/>
  <c r="H1760" i="1"/>
  <c r="M1760" i="1" s="1"/>
  <c r="G1760" i="1"/>
  <c r="N1759" i="1"/>
  <c r="J1759" i="1"/>
  <c r="H1759" i="1"/>
  <c r="G1759" i="1"/>
  <c r="N1758" i="1"/>
  <c r="J1758" i="1"/>
  <c r="H1758" i="1"/>
  <c r="G1758" i="1"/>
  <c r="N1757" i="1"/>
  <c r="J1757" i="1"/>
  <c r="H1757" i="1"/>
  <c r="M1757" i="1" s="1"/>
  <c r="G1757" i="1"/>
  <c r="N1756" i="1"/>
  <c r="J1756" i="1"/>
  <c r="H1756" i="1"/>
  <c r="G1756" i="1"/>
  <c r="N1755" i="1"/>
  <c r="J1755" i="1"/>
  <c r="H1755" i="1"/>
  <c r="M1755" i="1" s="1"/>
  <c r="G1755" i="1"/>
  <c r="N1754" i="1"/>
  <c r="J1754" i="1"/>
  <c r="H1754" i="1"/>
  <c r="G1754" i="1"/>
  <c r="N1753" i="1"/>
  <c r="J1753" i="1"/>
  <c r="H1753" i="1"/>
  <c r="M1753" i="1" s="1"/>
  <c r="G1753" i="1"/>
  <c r="N1752" i="1"/>
  <c r="J1752" i="1"/>
  <c r="H1752" i="1"/>
  <c r="M1752" i="1" s="1"/>
  <c r="G1752" i="1"/>
  <c r="N1751" i="1"/>
  <c r="M1751" i="1"/>
  <c r="K1751" i="1"/>
  <c r="J1751" i="1"/>
  <c r="H1751" i="1"/>
  <c r="G1751" i="1"/>
  <c r="L1751" i="1" s="1"/>
  <c r="I1751" i="1" s="1"/>
  <c r="N1750" i="1"/>
  <c r="J1750" i="1"/>
  <c r="H1750" i="1"/>
  <c r="G1750" i="1"/>
  <c r="N1749" i="1"/>
  <c r="L1749" i="1" s="1"/>
  <c r="I1749" i="1" s="1"/>
  <c r="J1749" i="1"/>
  <c r="H1749" i="1"/>
  <c r="M1749" i="1" s="1"/>
  <c r="G1749" i="1"/>
  <c r="K1749" i="1" s="1"/>
  <c r="N1748" i="1"/>
  <c r="J1748" i="1"/>
  <c r="H1748" i="1"/>
  <c r="M1748" i="1" s="1"/>
  <c r="G1748" i="1"/>
  <c r="N1747" i="1"/>
  <c r="J1747" i="1"/>
  <c r="H1747" i="1"/>
  <c r="M1747" i="1" s="1"/>
  <c r="G1747" i="1"/>
  <c r="N1746" i="1"/>
  <c r="J1746" i="1"/>
  <c r="H1746" i="1"/>
  <c r="M1746" i="1" s="1"/>
  <c r="G1746" i="1"/>
  <c r="N1745" i="1"/>
  <c r="J1745" i="1"/>
  <c r="H1745" i="1"/>
  <c r="G1745" i="1"/>
  <c r="N1744" i="1"/>
  <c r="J1744" i="1"/>
  <c r="H1744" i="1"/>
  <c r="M1744" i="1" s="1"/>
  <c r="G1744" i="1"/>
  <c r="N1743" i="1"/>
  <c r="J1743" i="1"/>
  <c r="H1743" i="1"/>
  <c r="M1743" i="1" s="1"/>
  <c r="G1743" i="1"/>
  <c r="N1742" i="1"/>
  <c r="J1742" i="1"/>
  <c r="H1742" i="1"/>
  <c r="G1742" i="1"/>
  <c r="N1741" i="1"/>
  <c r="J1741" i="1"/>
  <c r="H1741" i="1"/>
  <c r="K1741" i="1" s="1"/>
  <c r="G1741" i="1"/>
  <c r="N1740" i="1"/>
  <c r="J1740" i="1"/>
  <c r="H1740" i="1"/>
  <c r="G1740" i="1"/>
  <c r="N1739" i="1"/>
  <c r="J1739" i="1"/>
  <c r="H1739" i="1"/>
  <c r="M1739" i="1" s="1"/>
  <c r="G1739" i="1"/>
  <c r="N1738" i="1"/>
  <c r="J1738" i="1"/>
  <c r="H1738" i="1"/>
  <c r="G1738" i="1"/>
  <c r="N1737" i="1"/>
  <c r="J1737" i="1"/>
  <c r="H1737" i="1"/>
  <c r="M1737" i="1" s="1"/>
  <c r="G1737" i="1"/>
  <c r="N1736" i="1"/>
  <c r="J1736" i="1"/>
  <c r="H1736" i="1"/>
  <c r="G1736" i="1"/>
  <c r="N1735" i="1"/>
  <c r="J1735" i="1"/>
  <c r="H1735" i="1"/>
  <c r="K1735" i="1" s="1"/>
  <c r="G1735" i="1"/>
  <c r="N1734" i="1"/>
  <c r="M1734" i="1"/>
  <c r="J1734" i="1"/>
  <c r="H1734" i="1"/>
  <c r="G1734" i="1"/>
  <c r="N1733" i="1"/>
  <c r="J1733" i="1"/>
  <c r="H1733" i="1"/>
  <c r="M1733" i="1" s="1"/>
  <c r="G1733" i="1"/>
  <c r="N1732" i="1"/>
  <c r="J1732" i="1"/>
  <c r="H1732" i="1"/>
  <c r="L1732" i="1" s="1"/>
  <c r="I1732" i="1" s="1"/>
  <c r="G1732" i="1"/>
  <c r="N1731" i="1"/>
  <c r="J1731" i="1"/>
  <c r="H1731" i="1"/>
  <c r="G1731" i="1"/>
  <c r="N1730" i="1"/>
  <c r="J1730" i="1"/>
  <c r="H1730" i="1"/>
  <c r="K1730" i="1" s="1"/>
  <c r="G1730" i="1"/>
  <c r="N1729" i="1"/>
  <c r="L1729" i="1"/>
  <c r="I1729" i="1" s="1"/>
  <c r="J1729" i="1"/>
  <c r="H1729" i="1"/>
  <c r="M1729" i="1" s="1"/>
  <c r="G1729" i="1"/>
  <c r="N1728" i="1"/>
  <c r="J1728" i="1"/>
  <c r="H1728" i="1"/>
  <c r="M1728" i="1" s="1"/>
  <c r="G1728" i="1"/>
  <c r="N1727" i="1"/>
  <c r="K1727" i="1"/>
  <c r="J1727" i="1"/>
  <c r="H1727" i="1"/>
  <c r="G1727" i="1"/>
  <c r="N1726" i="1"/>
  <c r="J1726" i="1"/>
  <c r="H1726" i="1"/>
  <c r="L1726" i="1" s="1"/>
  <c r="I1726" i="1" s="1"/>
  <c r="G1726" i="1"/>
  <c r="N1725" i="1"/>
  <c r="J1725" i="1"/>
  <c r="H1725" i="1"/>
  <c r="M1725" i="1" s="1"/>
  <c r="G1725" i="1"/>
  <c r="N1724" i="1"/>
  <c r="J1724" i="1"/>
  <c r="H1724" i="1"/>
  <c r="M1724" i="1" s="1"/>
  <c r="G1724" i="1"/>
  <c r="N1723" i="1"/>
  <c r="J1723" i="1"/>
  <c r="H1723" i="1"/>
  <c r="G1723" i="1"/>
  <c r="N1722" i="1"/>
  <c r="J1722" i="1"/>
  <c r="H1722" i="1"/>
  <c r="G1722" i="1"/>
  <c r="N1721" i="1"/>
  <c r="J1721" i="1"/>
  <c r="H1721" i="1"/>
  <c r="G1721" i="1"/>
  <c r="N1720" i="1"/>
  <c r="J1720" i="1"/>
  <c r="H1720" i="1"/>
  <c r="G1720" i="1"/>
  <c r="N1719" i="1"/>
  <c r="K1719" i="1"/>
  <c r="J1719" i="1"/>
  <c r="H1719" i="1"/>
  <c r="M1719" i="1" s="1"/>
  <c r="G1719" i="1"/>
  <c r="N1718" i="1"/>
  <c r="J1718" i="1"/>
  <c r="H1718" i="1"/>
  <c r="G1718" i="1"/>
  <c r="N1717" i="1"/>
  <c r="J1717" i="1"/>
  <c r="H1717" i="1"/>
  <c r="M1717" i="1" s="1"/>
  <c r="G1717" i="1"/>
  <c r="N1716" i="1"/>
  <c r="M1716" i="1"/>
  <c r="J1716" i="1"/>
  <c r="H1716" i="1"/>
  <c r="G1716" i="1"/>
  <c r="N1715" i="1"/>
  <c r="J1715" i="1"/>
  <c r="H1715" i="1"/>
  <c r="K1715" i="1" s="1"/>
  <c r="G1715" i="1"/>
  <c r="N1714" i="1"/>
  <c r="L1714" i="1" s="1"/>
  <c r="I1714" i="1" s="1"/>
  <c r="J1714" i="1"/>
  <c r="H1714" i="1"/>
  <c r="M1714" i="1" s="1"/>
  <c r="G1714" i="1"/>
  <c r="N1713" i="1"/>
  <c r="J1713" i="1"/>
  <c r="H1713" i="1"/>
  <c r="K1713" i="1" s="1"/>
  <c r="G1713" i="1"/>
  <c r="N1712" i="1"/>
  <c r="J1712" i="1"/>
  <c r="H1712" i="1"/>
  <c r="M1712" i="1" s="1"/>
  <c r="G1712" i="1"/>
  <c r="N1711" i="1"/>
  <c r="J1711" i="1"/>
  <c r="H1711" i="1"/>
  <c r="M1711" i="1" s="1"/>
  <c r="G1711" i="1"/>
  <c r="N1710" i="1"/>
  <c r="J1710" i="1"/>
  <c r="H1710" i="1"/>
  <c r="G1710" i="1"/>
  <c r="N1709" i="1"/>
  <c r="M1709" i="1"/>
  <c r="K1709" i="1"/>
  <c r="J1709" i="1"/>
  <c r="H1709" i="1"/>
  <c r="G1709" i="1"/>
  <c r="N1708" i="1"/>
  <c r="J1708" i="1"/>
  <c r="H1708" i="1"/>
  <c r="G1708" i="1"/>
  <c r="N1707" i="1"/>
  <c r="J1707" i="1"/>
  <c r="H1707" i="1"/>
  <c r="M1707" i="1" s="1"/>
  <c r="G1707" i="1"/>
  <c r="N1706" i="1"/>
  <c r="J1706" i="1"/>
  <c r="H1706" i="1"/>
  <c r="G1706" i="1"/>
  <c r="N1705" i="1"/>
  <c r="J1705" i="1"/>
  <c r="H1705" i="1"/>
  <c r="M1705" i="1" s="1"/>
  <c r="G1705" i="1"/>
  <c r="N1704" i="1"/>
  <c r="J1704" i="1"/>
  <c r="H1704" i="1"/>
  <c r="M1704" i="1" s="1"/>
  <c r="G1704" i="1"/>
  <c r="N1703" i="1"/>
  <c r="L1703" i="1" s="1"/>
  <c r="I1703" i="1" s="1"/>
  <c r="J1703" i="1"/>
  <c r="H1703" i="1"/>
  <c r="G1703" i="1"/>
  <c r="K1703" i="1" s="1"/>
  <c r="N1702" i="1"/>
  <c r="J1702" i="1"/>
  <c r="H1702" i="1"/>
  <c r="M1702" i="1" s="1"/>
  <c r="G1702" i="1"/>
  <c r="N1701" i="1"/>
  <c r="J1701" i="1"/>
  <c r="H1701" i="1"/>
  <c r="K1701" i="1" s="1"/>
  <c r="G1701" i="1"/>
  <c r="N1700" i="1"/>
  <c r="J1700" i="1"/>
  <c r="H1700" i="1"/>
  <c r="M1700" i="1" s="1"/>
  <c r="G1700" i="1"/>
  <c r="N1699" i="1"/>
  <c r="J1699" i="1"/>
  <c r="H1699" i="1"/>
  <c r="G1699" i="1"/>
  <c r="N1698" i="1"/>
  <c r="J1698" i="1"/>
  <c r="H1698" i="1"/>
  <c r="G1698" i="1"/>
  <c r="N1697" i="1"/>
  <c r="J1697" i="1"/>
  <c r="H1697" i="1"/>
  <c r="G1697" i="1"/>
  <c r="N1696" i="1"/>
  <c r="J1696" i="1"/>
  <c r="H1696" i="1"/>
  <c r="G1696" i="1"/>
  <c r="N1695" i="1"/>
  <c r="J1695" i="1"/>
  <c r="H1695" i="1"/>
  <c r="M1695" i="1" s="1"/>
  <c r="G1695" i="1"/>
  <c r="N1694" i="1"/>
  <c r="J1694" i="1"/>
  <c r="H1694" i="1"/>
  <c r="M1694" i="1" s="1"/>
  <c r="G1694" i="1"/>
  <c r="N1693" i="1"/>
  <c r="J1693" i="1"/>
  <c r="H1693" i="1"/>
  <c r="G1693" i="1"/>
  <c r="N1692" i="1"/>
  <c r="L1692" i="1"/>
  <c r="I1692" i="1" s="1"/>
  <c r="K1692" i="1"/>
  <c r="J1692" i="1"/>
  <c r="H1692" i="1"/>
  <c r="M1692" i="1" s="1"/>
  <c r="G1692" i="1"/>
  <c r="N1691" i="1"/>
  <c r="J1691" i="1"/>
  <c r="H1691" i="1"/>
  <c r="M1691" i="1" s="1"/>
  <c r="G1691" i="1"/>
  <c r="N1690" i="1"/>
  <c r="J1690" i="1"/>
  <c r="H1690" i="1"/>
  <c r="G1690" i="1"/>
  <c r="N1689" i="1"/>
  <c r="J1689" i="1"/>
  <c r="H1689" i="1"/>
  <c r="G1689" i="1"/>
  <c r="L1689" i="1" s="1"/>
  <c r="I1689" i="1" s="1"/>
  <c r="N1688" i="1"/>
  <c r="J1688" i="1"/>
  <c r="H1688" i="1"/>
  <c r="K1688" i="1" s="1"/>
  <c r="G1688" i="1"/>
  <c r="N1687" i="1"/>
  <c r="J1687" i="1"/>
  <c r="H1687" i="1"/>
  <c r="M1687" i="1" s="1"/>
  <c r="G1687" i="1"/>
  <c r="N1686" i="1"/>
  <c r="J1686" i="1"/>
  <c r="H1686" i="1"/>
  <c r="M1686" i="1" s="1"/>
  <c r="G1686" i="1"/>
  <c r="N1685" i="1"/>
  <c r="J1685" i="1"/>
  <c r="H1685" i="1"/>
  <c r="M1685" i="1" s="1"/>
  <c r="G1685" i="1"/>
  <c r="N1684" i="1"/>
  <c r="J1684" i="1"/>
  <c r="H1684" i="1"/>
  <c r="G1684" i="1"/>
  <c r="N1683" i="1"/>
  <c r="M1683" i="1"/>
  <c r="J1683" i="1"/>
  <c r="H1683" i="1"/>
  <c r="G1683" i="1"/>
  <c r="N1682" i="1"/>
  <c r="J1682" i="1"/>
  <c r="H1682" i="1"/>
  <c r="M1682" i="1" s="1"/>
  <c r="G1682" i="1"/>
  <c r="N1681" i="1"/>
  <c r="K1681" i="1"/>
  <c r="J1681" i="1"/>
  <c r="H1681" i="1"/>
  <c r="M1681" i="1" s="1"/>
  <c r="G1681" i="1"/>
  <c r="N1680" i="1"/>
  <c r="J1680" i="1"/>
  <c r="H1680" i="1"/>
  <c r="G1680" i="1"/>
  <c r="N1679" i="1"/>
  <c r="M1679" i="1"/>
  <c r="J1679" i="1"/>
  <c r="H1679" i="1"/>
  <c r="K1679" i="1" s="1"/>
  <c r="G1679" i="1"/>
  <c r="N1678" i="1"/>
  <c r="J1678" i="1"/>
  <c r="H1678" i="1"/>
  <c r="G1678" i="1"/>
  <c r="N1677" i="1"/>
  <c r="J1677" i="1"/>
  <c r="H1677" i="1"/>
  <c r="K1677" i="1" s="1"/>
  <c r="G1677" i="1"/>
  <c r="N1676" i="1"/>
  <c r="J1676" i="1"/>
  <c r="H1676" i="1"/>
  <c r="G1676" i="1"/>
  <c r="N1675" i="1"/>
  <c r="J1675" i="1"/>
  <c r="H1675" i="1"/>
  <c r="G1675" i="1"/>
  <c r="N1674" i="1"/>
  <c r="J1674" i="1"/>
  <c r="H1674" i="1"/>
  <c r="M1674" i="1" s="1"/>
  <c r="G1674" i="1"/>
  <c r="N1673" i="1"/>
  <c r="J1673" i="1"/>
  <c r="H1673" i="1"/>
  <c r="M1673" i="1" s="1"/>
  <c r="G1673" i="1"/>
  <c r="L1673" i="1" s="1"/>
  <c r="I1673" i="1" s="1"/>
  <c r="N1672" i="1"/>
  <c r="L1672" i="1"/>
  <c r="I1672" i="1" s="1"/>
  <c r="J1672" i="1"/>
  <c r="H1672" i="1"/>
  <c r="M1672" i="1" s="1"/>
  <c r="G1672" i="1"/>
  <c r="N1671" i="1"/>
  <c r="J1671" i="1"/>
  <c r="H1671" i="1"/>
  <c r="M1671" i="1" s="1"/>
  <c r="G1671" i="1"/>
  <c r="N1670" i="1"/>
  <c r="J1670" i="1"/>
  <c r="H1670" i="1"/>
  <c r="M1670" i="1" s="1"/>
  <c r="G1670" i="1"/>
  <c r="N1669" i="1"/>
  <c r="J1669" i="1"/>
  <c r="H1669" i="1"/>
  <c r="M1669" i="1" s="1"/>
  <c r="G1669" i="1"/>
  <c r="N1668" i="1"/>
  <c r="J1668" i="1"/>
  <c r="H1668" i="1"/>
  <c r="G1668" i="1"/>
  <c r="N1667" i="1"/>
  <c r="J1667" i="1"/>
  <c r="H1667" i="1"/>
  <c r="M1667" i="1" s="1"/>
  <c r="G1667" i="1"/>
  <c r="N1666" i="1"/>
  <c r="J1666" i="1"/>
  <c r="H1666" i="1"/>
  <c r="K1666" i="1" s="1"/>
  <c r="G1666" i="1"/>
  <c r="N1665" i="1"/>
  <c r="J1665" i="1"/>
  <c r="H1665" i="1"/>
  <c r="G1665" i="1"/>
  <c r="N1664" i="1"/>
  <c r="J1664" i="1"/>
  <c r="H1664" i="1"/>
  <c r="M1664" i="1" s="1"/>
  <c r="G1664" i="1"/>
  <c r="N1663" i="1"/>
  <c r="J1663" i="1"/>
  <c r="H1663" i="1"/>
  <c r="G1663" i="1"/>
  <c r="N1662" i="1"/>
  <c r="J1662" i="1"/>
  <c r="H1662" i="1"/>
  <c r="L1662" i="1" s="1"/>
  <c r="I1662" i="1" s="1"/>
  <c r="G1662" i="1"/>
  <c r="N1661" i="1"/>
  <c r="J1661" i="1"/>
  <c r="H1661" i="1"/>
  <c r="M1661" i="1" s="1"/>
  <c r="G1661" i="1"/>
  <c r="N1660" i="1"/>
  <c r="J1660" i="1"/>
  <c r="H1660" i="1"/>
  <c r="G1660" i="1"/>
  <c r="N1659" i="1"/>
  <c r="J1659" i="1"/>
  <c r="H1659" i="1"/>
  <c r="G1659" i="1"/>
  <c r="N1658" i="1"/>
  <c r="L1658" i="1" s="1"/>
  <c r="I1658" i="1" s="1"/>
  <c r="M1658" i="1"/>
  <c r="J1658" i="1"/>
  <c r="H1658" i="1"/>
  <c r="K1658" i="1" s="1"/>
  <c r="G1658" i="1"/>
  <c r="N1657" i="1"/>
  <c r="J1657" i="1"/>
  <c r="H1657" i="1"/>
  <c r="G1657" i="1"/>
  <c r="N1656" i="1"/>
  <c r="J1656" i="1"/>
  <c r="H1656" i="1"/>
  <c r="M1656" i="1" s="1"/>
  <c r="G1656" i="1"/>
  <c r="N1655" i="1"/>
  <c r="J1655" i="1"/>
  <c r="H1655" i="1"/>
  <c r="G1655" i="1"/>
  <c r="N1654" i="1"/>
  <c r="J1654" i="1"/>
  <c r="H1654" i="1"/>
  <c r="G1654" i="1"/>
  <c r="N1653" i="1"/>
  <c r="J1653" i="1"/>
  <c r="H1653" i="1"/>
  <c r="M1653" i="1" s="1"/>
  <c r="G1653" i="1"/>
  <c r="N1652" i="1"/>
  <c r="J1652" i="1"/>
  <c r="H1652" i="1"/>
  <c r="M1652" i="1" s="1"/>
  <c r="G1652" i="1"/>
  <c r="N1651" i="1"/>
  <c r="J1651" i="1"/>
  <c r="H1651" i="1"/>
  <c r="M1651" i="1" s="1"/>
  <c r="G1651" i="1"/>
  <c r="N1650" i="1"/>
  <c r="K1650" i="1"/>
  <c r="J1650" i="1"/>
  <c r="H1650" i="1"/>
  <c r="M1650" i="1" s="1"/>
  <c r="G1650" i="1"/>
  <c r="N1649" i="1"/>
  <c r="J1649" i="1"/>
  <c r="H1649" i="1"/>
  <c r="G1649" i="1"/>
  <c r="N1648" i="1"/>
  <c r="K1648" i="1"/>
  <c r="J1648" i="1"/>
  <c r="H1648" i="1"/>
  <c r="G1648" i="1"/>
  <c r="N1647" i="1"/>
  <c r="J1647" i="1"/>
  <c r="H1647" i="1"/>
  <c r="G1647" i="1"/>
  <c r="N1646" i="1"/>
  <c r="J1646" i="1"/>
  <c r="H1646" i="1"/>
  <c r="G1646" i="1"/>
  <c r="N1645" i="1"/>
  <c r="J1645" i="1"/>
  <c r="H1645" i="1"/>
  <c r="M1645" i="1" s="1"/>
  <c r="G1645" i="1"/>
  <c r="N1644" i="1"/>
  <c r="J1644" i="1"/>
  <c r="H1644" i="1"/>
  <c r="G1644" i="1"/>
  <c r="N1643" i="1"/>
  <c r="J1643" i="1"/>
  <c r="H1643" i="1"/>
  <c r="K1643" i="1" s="1"/>
  <c r="G1643" i="1"/>
  <c r="N1642" i="1"/>
  <c r="J1642" i="1"/>
  <c r="H1642" i="1"/>
  <c r="G1642" i="1"/>
  <c r="N1641" i="1"/>
  <c r="J1641" i="1"/>
  <c r="H1641" i="1"/>
  <c r="G1641" i="1"/>
  <c r="N1640" i="1"/>
  <c r="L1640" i="1" s="1"/>
  <c r="I1640" i="1" s="1"/>
  <c r="J1640" i="1"/>
  <c r="H1640" i="1"/>
  <c r="M1640" i="1" s="1"/>
  <c r="G1640" i="1"/>
  <c r="N1639" i="1"/>
  <c r="J1639" i="1"/>
  <c r="H1639" i="1"/>
  <c r="M1639" i="1" s="1"/>
  <c r="G1639" i="1"/>
  <c r="N1638" i="1"/>
  <c r="J1638" i="1"/>
  <c r="H1638" i="1"/>
  <c r="G1638" i="1"/>
  <c r="N1637" i="1"/>
  <c r="M1637" i="1"/>
  <c r="J1637" i="1"/>
  <c r="H1637" i="1"/>
  <c r="G1637" i="1"/>
  <c r="N1636" i="1"/>
  <c r="J1636" i="1"/>
  <c r="H1636" i="1"/>
  <c r="L1636" i="1" s="1"/>
  <c r="I1636" i="1" s="1"/>
  <c r="G1636" i="1"/>
  <c r="N1635" i="1"/>
  <c r="J1635" i="1"/>
  <c r="H1635" i="1"/>
  <c r="G1635" i="1"/>
  <c r="N1634" i="1"/>
  <c r="J1634" i="1"/>
  <c r="H1634" i="1"/>
  <c r="K1634" i="1" s="1"/>
  <c r="G1634" i="1"/>
  <c r="N1633" i="1"/>
  <c r="J1633" i="1"/>
  <c r="H1633" i="1"/>
  <c r="M1633" i="1" s="1"/>
  <c r="G1633" i="1"/>
  <c r="N1632" i="1"/>
  <c r="J1632" i="1"/>
  <c r="H1632" i="1"/>
  <c r="L1632" i="1" s="1"/>
  <c r="I1632" i="1" s="1"/>
  <c r="G1632" i="1"/>
  <c r="N1631" i="1"/>
  <c r="J1631" i="1"/>
  <c r="H1631" i="1"/>
  <c r="M1631" i="1" s="1"/>
  <c r="G1631" i="1"/>
  <c r="N1630" i="1"/>
  <c r="M1630" i="1"/>
  <c r="L1630" i="1"/>
  <c r="I1630" i="1" s="1"/>
  <c r="J1630" i="1"/>
  <c r="H1630" i="1"/>
  <c r="K1630" i="1" s="1"/>
  <c r="G1630" i="1"/>
  <c r="N1629" i="1"/>
  <c r="J1629" i="1"/>
  <c r="H1629" i="1"/>
  <c r="M1629" i="1" s="1"/>
  <c r="G1629" i="1"/>
  <c r="N1628" i="1"/>
  <c r="M1628" i="1"/>
  <c r="J1628" i="1"/>
  <c r="H1628" i="1"/>
  <c r="K1628" i="1" s="1"/>
  <c r="G1628" i="1"/>
  <c r="N1627" i="1"/>
  <c r="J1627" i="1"/>
  <c r="H1627" i="1"/>
  <c r="G1627" i="1"/>
  <c r="N1626" i="1"/>
  <c r="J1626" i="1"/>
  <c r="H1626" i="1"/>
  <c r="M1626" i="1" s="1"/>
  <c r="G1626" i="1"/>
  <c r="N1625" i="1"/>
  <c r="J1625" i="1"/>
  <c r="H1625" i="1"/>
  <c r="M1625" i="1" s="1"/>
  <c r="G1625" i="1"/>
  <c r="N1624" i="1"/>
  <c r="J1624" i="1"/>
  <c r="H1624" i="1"/>
  <c r="M1624" i="1" s="1"/>
  <c r="G1624" i="1"/>
  <c r="N1623" i="1"/>
  <c r="J1623" i="1"/>
  <c r="H1623" i="1"/>
  <c r="G1623" i="1"/>
  <c r="N1622" i="1"/>
  <c r="J1622" i="1"/>
  <c r="H1622" i="1"/>
  <c r="K1622" i="1" s="1"/>
  <c r="G1622" i="1"/>
  <c r="N1621" i="1"/>
  <c r="J1621" i="1"/>
  <c r="H1621" i="1"/>
  <c r="M1621" i="1" s="1"/>
  <c r="G1621" i="1"/>
  <c r="N1620" i="1"/>
  <c r="J1620" i="1"/>
  <c r="H1620" i="1"/>
  <c r="G1620" i="1"/>
  <c r="N1619" i="1"/>
  <c r="J1619" i="1"/>
  <c r="H1619" i="1"/>
  <c r="M1619" i="1" s="1"/>
  <c r="G1619" i="1"/>
  <c r="N1618" i="1"/>
  <c r="J1618" i="1"/>
  <c r="H1618" i="1"/>
  <c r="G1618" i="1"/>
  <c r="N1617" i="1"/>
  <c r="K1617" i="1"/>
  <c r="J1617" i="1"/>
  <c r="H1617" i="1"/>
  <c r="M1617" i="1" s="1"/>
  <c r="G1617" i="1"/>
  <c r="N1616" i="1"/>
  <c r="J1616" i="1"/>
  <c r="H1616" i="1"/>
  <c r="K1616" i="1" s="1"/>
  <c r="G1616" i="1"/>
  <c r="N1615" i="1"/>
  <c r="J1615" i="1"/>
  <c r="H1615" i="1"/>
  <c r="G1615" i="1"/>
  <c r="N1614" i="1"/>
  <c r="J1614" i="1"/>
  <c r="H1614" i="1"/>
  <c r="M1614" i="1" s="1"/>
  <c r="G1614" i="1"/>
  <c r="N1613" i="1"/>
  <c r="K1613" i="1"/>
  <c r="J1613" i="1"/>
  <c r="H1613" i="1"/>
  <c r="M1613" i="1" s="1"/>
  <c r="G1613" i="1"/>
  <c r="N1612" i="1"/>
  <c r="J1612" i="1"/>
  <c r="H1612" i="1"/>
  <c r="M1612" i="1" s="1"/>
  <c r="G1612" i="1"/>
  <c r="N1611" i="1"/>
  <c r="J1611" i="1"/>
  <c r="H1611" i="1"/>
  <c r="M1611" i="1" s="1"/>
  <c r="G1611" i="1"/>
  <c r="N1610" i="1"/>
  <c r="J1610" i="1"/>
  <c r="H1610" i="1"/>
  <c r="M1610" i="1" s="1"/>
  <c r="G1610" i="1"/>
  <c r="N1609" i="1"/>
  <c r="M1609" i="1"/>
  <c r="J1609" i="1"/>
  <c r="H1609" i="1"/>
  <c r="K1609" i="1" s="1"/>
  <c r="G1609" i="1"/>
  <c r="N1608" i="1"/>
  <c r="J1608" i="1"/>
  <c r="H1608" i="1"/>
  <c r="M1608" i="1" s="1"/>
  <c r="G1608" i="1"/>
  <c r="N1607" i="1"/>
  <c r="J1607" i="1"/>
  <c r="H1607" i="1"/>
  <c r="G1607" i="1"/>
  <c r="N1606" i="1"/>
  <c r="K1606" i="1"/>
  <c r="J1606" i="1"/>
  <c r="H1606" i="1"/>
  <c r="M1606" i="1" s="1"/>
  <c r="G1606" i="1"/>
  <c r="N1605" i="1"/>
  <c r="J1605" i="1"/>
  <c r="H1605" i="1"/>
  <c r="G1605" i="1"/>
  <c r="N1604" i="1"/>
  <c r="M1604" i="1"/>
  <c r="J1604" i="1"/>
  <c r="H1604" i="1"/>
  <c r="G1604" i="1"/>
  <c r="N1603" i="1"/>
  <c r="J1603" i="1"/>
  <c r="H1603" i="1"/>
  <c r="M1603" i="1" s="1"/>
  <c r="G1603" i="1"/>
  <c r="N1602" i="1"/>
  <c r="J1602" i="1"/>
  <c r="H1602" i="1"/>
  <c r="G1602" i="1"/>
  <c r="N1601" i="1"/>
  <c r="J1601" i="1"/>
  <c r="H1601" i="1"/>
  <c r="M1601" i="1" s="1"/>
  <c r="G1601" i="1"/>
  <c r="N1600" i="1"/>
  <c r="J1600" i="1"/>
  <c r="H1600" i="1"/>
  <c r="M1600" i="1" s="1"/>
  <c r="G1600" i="1"/>
  <c r="N1599" i="1"/>
  <c r="J1599" i="1"/>
  <c r="H1599" i="1"/>
  <c r="G1599" i="1"/>
  <c r="N1598" i="1"/>
  <c r="J1598" i="1"/>
  <c r="H1598" i="1"/>
  <c r="G1598" i="1"/>
  <c r="N1597" i="1"/>
  <c r="J1597" i="1"/>
  <c r="H1597" i="1"/>
  <c r="M1597" i="1" s="1"/>
  <c r="G1597" i="1"/>
  <c r="N1596" i="1"/>
  <c r="J1596" i="1"/>
  <c r="H1596" i="1"/>
  <c r="L1596" i="1" s="1"/>
  <c r="I1596" i="1" s="1"/>
  <c r="G1596" i="1"/>
  <c r="N1595" i="1"/>
  <c r="J1595" i="1"/>
  <c r="H1595" i="1"/>
  <c r="M1595" i="1" s="1"/>
  <c r="G1595" i="1"/>
  <c r="N1594" i="1"/>
  <c r="J1594" i="1"/>
  <c r="H1594" i="1"/>
  <c r="M1594" i="1" s="1"/>
  <c r="G1594" i="1"/>
  <c r="N1593" i="1"/>
  <c r="J1593" i="1"/>
  <c r="H1593" i="1"/>
  <c r="M1593" i="1" s="1"/>
  <c r="G1593" i="1"/>
  <c r="N1592" i="1"/>
  <c r="L1592" i="1" s="1"/>
  <c r="I1592" i="1" s="1"/>
  <c r="M1592" i="1"/>
  <c r="K1592" i="1"/>
  <c r="J1592" i="1"/>
  <c r="H1592" i="1"/>
  <c r="G1592" i="1"/>
  <c r="N1591" i="1"/>
  <c r="J1591" i="1"/>
  <c r="H1591" i="1"/>
  <c r="M1591" i="1" s="1"/>
  <c r="G1591" i="1"/>
  <c r="N1590" i="1"/>
  <c r="L1590" i="1" s="1"/>
  <c r="I1590" i="1" s="1"/>
  <c r="K1590" i="1"/>
  <c r="J1590" i="1"/>
  <c r="H1590" i="1"/>
  <c r="M1590" i="1" s="1"/>
  <c r="G1590" i="1"/>
  <c r="N1589" i="1"/>
  <c r="J1589" i="1"/>
  <c r="H1589" i="1"/>
  <c r="M1589" i="1" s="1"/>
  <c r="G1589" i="1"/>
  <c r="N1588" i="1"/>
  <c r="K1588" i="1"/>
  <c r="J1588" i="1"/>
  <c r="H1588" i="1"/>
  <c r="G1588" i="1"/>
  <c r="N1587" i="1"/>
  <c r="J1587" i="1"/>
  <c r="H1587" i="1"/>
  <c r="M1587" i="1" s="1"/>
  <c r="G1587" i="1"/>
  <c r="N1586" i="1"/>
  <c r="J1586" i="1"/>
  <c r="H1586" i="1"/>
  <c r="M1586" i="1" s="1"/>
  <c r="G1586" i="1"/>
  <c r="N1585" i="1"/>
  <c r="J1585" i="1"/>
  <c r="H1585" i="1"/>
  <c r="G1585" i="1"/>
  <c r="N1584" i="1"/>
  <c r="J1584" i="1"/>
  <c r="H1584" i="1"/>
  <c r="M1584" i="1" s="1"/>
  <c r="G1584" i="1"/>
  <c r="N1583" i="1"/>
  <c r="M1583" i="1"/>
  <c r="J1583" i="1"/>
  <c r="H1583" i="1"/>
  <c r="G1583" i="1"/>
  <c r="N1582" i="1"/>
  <c r="J1582" i="1"/>
  <c r="H1582" i="1"/>
  <c r="M1582" i="1" s="1"/>
  <c r="G1582" i="1"/>
  <c r="N1581" i="1"/>
  <c r="J1581" i="1"/>
  <c r="H1581" i="1"/>
  <c r="M1581" i="1" s="1"/>
  <c r="G1581" i="1"/>
  <c r="N1580" i="1"/>
  <c r="L1580" i="1" s="1"/>
  <c r="I1580" i="1" s="1"/>
  <c r="K1580" i="1"/>
  <c r="J1580" i="1"/>
  <c r="H1580" i="1"/>
  <c r="M1580" i="1" s="1"/>
  <c r="G1580" i="1"/>
  <c r="N1579" i="1"/>
  <c r="J1579" i="1"/>
  <c r="H1579" i="1"/>
  <c r="M1579" i="1" s="1"/>
  <c r="G1579" i="1"/>
  <c r="N1578" i="1"/>
  <c r="L1578" i="1" s="1"/>
  <c r="I1578" i="1" s="1"/>
  <c r="M1578" i="1"/>
  <c r="J1578" i="1"/>
  <c r="H1578" i="1"/>
  <c r="K1578" i="1" s="1"/>
  <c r="G1578" i="1"/>
  <c r="N1577" i="1"/>
  <c r="J1577" i="1"/>
  <c r="H1577" i="1"/>
  <c r="M1577" i="1" s="1"/>
  <c r="G1577" i="1"/>
  <c r="N1576" i="1"/>
  <c r="L1576" i="1" s="1"/>
  <c r="I1576" i="1" s="1"/>
  <c r="J1576" i="1"/>
  <c r="H1576" i="1"/>
  <c r="K1576" i="1" s="1"/>
  <c r="G1576" i="1"/>
  <c r="N1575" i="1"/>
  <c r="J1575" i="1"/>
  <c r="H1575" i="1"/>
  <c r="G1575" i="1"/>
  <c r="N1574" i="1"/>
  <c r="J1574" i="1"/>
  <c r="H1574" i="1"/>
  <c r="M1574" i="1" s="1"/>
  <c r="G1574" i="1"/>
  <c r="N1573" i="1"/>
  <c r="J1573" i="1"/>
  <c r="H1573" i="1"/>
  <c r="M1573" i="1" s="1"/>
  <c r="G1573" i="1"/>
  <c r="N1572" i="1"/>
  <c r="J1572" i="1"/>
  <c r="H1572" i="1"/>
  <c r="M1572" i="1" s="1"/>
  <c r="G1572" i="1"/>
  <c r="N1571" i="1"/>
  <c r="J1571" i="1"/>
  <c r="H1571" i="1"/>
  <c r="M1571" i="1" s="1"/>
  <c r="G1571" i="1"/>
  <c r="N1570" i="1"/>
  <c r="J1570" i="1"/>
  <c r="H1570" i="1"/>
  <c r="K1570" i="1" s="1"/>
  <c r="G1570" i="1"/>
  <c r="N1569" i="1"/>
  <c r="J1569" i="1"/>
  <c r="H1569" i="1"/>
  <c r="M1569" i="1" s="1"/>
  <c r="G1569" i="1"/>
  <c r="N1568" i="1"/>
  <c r="J1568" i="1"/>
  <c r="H1568" i="1"/>
  <c r="L1568" i="1" s="1"/>
  <c r="I1568" i="1" s="1"/>
  <c r="G1568" i="1"/>
  <c r="N1567" i="1"/>
  <c r="J1567" i="1"/>
  <c r="H1567" i="1"/>
  <c r="M1567" i="1" s="1"/>
  <c r="G1567" i="1"/>
  <c r="N1566" i="1"/>
  <c r="M1566" i="1"/>
  <c r="K1566" i="1"/>
  <c r="J1566" i="1"/>
  <c r="H1566" i="1"/>
  <c r="L1566" i="1" s="1"/>
  <c r="I1566" i="1" s="1"/>
  <c r="G1566" i="1"/>
  <c r="N1565" i="1"/>
  <c r="J1565" i="1"/>
  <c r="H1565" i="1"/>
  <c r="G1565" i="1"/>
  <c r="N1564" i="1"/>
  <c r="J1564" i="1"/>
  <c r="H1564" i="1"/>
  <c r="G1564" i="1"/>
  <c r="N1563" i="1"/>
  <c r="J1563" i="1"/>
  <c r="H1563" i="1"/>
  <c r="G1563" i="1"/>
  <c r="N1562" i="1"/>
  <c r="J1562" i="1"/>
  <c r="H1562" i="1"/>
  <c r="G1562" i="1"/>
  <c r="N1561" i="1"/>
  <c r="J1561" i="1"/>
  <c r="H1561" i="1"/>
  <c r="L1561" i="1" s="1"/>
  <c r="I1561" i="1" s="1"/>
  <c r="G1561" i="1"/>
  <c r="K1561" i="1" s="1"/>
  <c r="N1560" i="1"/>
  <c r="J1560" i="1"/>
  <c r="H1560" i="1"/>
  <c r="G1560" i="1"/>
  <c r="N1559" i="1"/>
  <c r="J1559" i="1"/>
  <c r="H1559" i="1"/>
  <c r="M1559" i="1" s="1"/>
  <c r="G1559" i="1"/>
  <c r="N1558" i="1"/>
  <c r="J1558" i="1"/>
  <c r="H1558" i="1"/>
  <c r="L1558" i="1" s="1"/>
  <c r="I1558" i="1" s="1"/>
  <c r="G1558" i="1"/>
  <c r="N1557" i="1"/>
  <c r="J1557" i="1"/>
  <c r="H1557" i="1"/>
  <c r="M1557" i="1" s="1"/>
  <c r="G1557" i="1"/>
  <c r="N1556" i="1"/>
  <c r="J1556" i="1"/>
  <c r="H1556" i="1"/>
  <c r="M1556" i="1" s="1"/>
  <c r="G1556" i="1"/>
  <c r="N1555" i="1"/>
  <c r="J1555" i="1"/>
  <c r="H1555" i="1"/>
  <c r="M1555" i="1" s="1"/>
  <c r="G1555" i="1"/>
  <c r="N1554" i="1"/>
  <c r="J1554" i="1"/>
  <c r="H1554" i="1"/>
  <c r="G1554" i="1"/>
  <c r="N1553" i="1"/>
  <c r="J1553" i="1"/>
  <c r="H1553" i="1"/>
  <c r="M1553" i="1" s="1"/>
  <c r="G1553" i="1"/>
  <c r="N1552" i="1"/>
  <c r="J1552" i="1"/>
  <c r="H1552" i="1"/>
  <c r="M1552" i="1" s="1"/>
  <c r="G1552" i="1"/>
  <c r="N1551" i="1"/>
  <c r="J1551" i="1"/>
  <c r="H1551" i="1"/>
  <c r="M1551" i="1" s="1"/>
  <c r="G1551" i="1"/>
  <c r="N1550" i="1"/>
  <c r="J1550" i="1"/>
  <c r="H1550" i="1"/>
  <c r="G1550" i="1"/>
  <c r="N1549" i="1"/>
  <c r="J1549" i="1"/>
  <c r="H1549" i="1"/>
  <c r="G1549" i="1"/>
  <c r="N1548" i="1"/>
  <c r="M1548" i="1"/>
  <c r="J1548" i="1"/>
  <c r="H1548" i="1"/>
  <c r="K1548" i="1" s="1"/>
  <c r="G1548" i="1"/>
  <c r="N1547" i="1"/>
  <c r="J1547" i="1"/>
  <c r="H1547" i="1"/>
  <c r="M1547" i="1" s="1"/>
  <c r="G1547" i="1"/>
  <c r="N1546" i="1"/>
  <c r="J1546" i="1"/>
  <c r="H1546" i="1"/>
  <c r="G1546" i="1"/>
  <c r="N1545" i="1"/>
  <c r="J1545" i="1"/>
  <c r="H1545" i="1"/>
  <c r="M1545" i="1" s="1"/>
  <c r="G1545" i="1"/>
  <c r="K1545" i="1" s="1"/>
  <c r="N1544" i="1"/>
  <c r="L1544" i="1" s="1"/>
  <c r="I1544" i="1" s="1"/>
  <c r="J1544" i="1"/>
  <c r="H1544" i="1"/>
  <c r="K1544" i="1" s="1"/>
  <c r="G1544" i="1"/>
  <c r="N1543" i="1"/>
  <c r="J1543" i="1"/>
  <c r="H1543" i="1"/>
  <c r="M1543" i="1" s="1"/>
  <c r="G1543" i="1"/>
  <c r="N1542" i="1"/>
  <c r="J1542" i="1"/>
  <c r="H1542" i="1"/>
  <c r="M1542" i="1" s="1"/>
  <c r="G1542" i="1"/>
  <c r="N1541" i="1"/>
  <c r="J1541" i="1"/>
  <c r="H1541" i="1"/>
  <c r="G1541" i="1"/>
  <c r="N1540" i="1"/>
  <c r="J1540" i="1"/>
  <c r="H1540" i="1"/>
  <c r="M1540" i="1" s="1"/>
  <c r="G1540" i="1"/>
  <c r="N1539" i="1"/>
  <c r="J1539" i="1"/>
  <c r="H1539" i="1"/>
  <c r="L1539" i="1" s="1"/>
  <c r="I1539" i="1" s="1"/>
  <c r="G1539" i="1"/>
  <c r="N1538" i="1"/>
  <c r="K1538" i="1"/>
  <c r="J1538" i="1"/>
  <c r="H1538" i="1"/>
  <c r="G1538" i="1"/>
  <c r="N1537" i="1"/>
  <c r="J1537" i="1"/>
  <c r="H1537" i="1"/>
  <c r="G1537" i="1"/>
  <c r="N1536" i="1"/>
  <c r="L1536" i="1"/>
  <c r="I1536" i="1" s="1"/>
  <c r="K1536" i="1"/>
  <c r="J1536" i="1"/>
  <c r="H1536" i="1"/>
  <c r="M1536" i="1" s="1"/>
  <c r="G1536" i="1"/>
  <c r="N1535" i="1"/>
  <c r="J1535" i="1"/>
  <c r="H1535" i="1"/>
  <c r="M1535" i="1" s="1"/>
  <c r="G1535" i="1"/>
  <c r="N1534" i="1"/>
  <c r="J1534" i="1"/>
  <c r="H1534" i="1"/>
  <c r="K1534" i="1" s="1"/>
  <c r="G1534" i="1"/>
  <c r="N1533" i="1"/>
  <c r="J1533" i="1"/>
  <c r="H1533" i="1"/>
  <c r="M1533" i="1" s="1"/>
  <c r="G1533" i="1"/>
  <c r="N1532" i="1"/>
  <c r="J1532" i="1"/>
  <c r="H1532" i="1"/>
  <c r="G1532" i="1"/>
  <c r="N1531" i="1"/>
  <c r="J1531" i="1"/>
  <c r="H1531" i="1"/>
  <c r="M1531" i="1" s="1"/>
  <c r="G1531" i="1"/>
  <c r="N1530" i="1"/>
  <c r="L1530" i="1" s="1"/>
  <c r="I1530" i="1" s="1"/>
  <c r="J1530" i="1"/>
  <c r="H1530" i="1"/>
  <c r="G1530" i="1"/>
  <c r="N1529" i="1"/>
  <c r="J1529" i="1"/>
  <c r="H1529" i="1"/>
  <c r="G1529" i="1"/>
  <c r="N1528" i="1"/>
  <c r="J1528" i="1"/>
  <c r="H1528" i="1"/>
  <c r="K1528" i="1" s="1"/>
  <c r="G1528" i="1"/>
  <c r="N1527" i="1"/>
  <c r="M1527" i="1"/>
  <c r="L1527" i="1"/>
  <c r="I1527" i="1" s="1"/>
  <c r="J1527" i="1"/>
  <c r="H1527" i="1"/>
  <c r="G1527" i="1"/>
  <c r="N1526" i="1"/>
  <c r="J1526" i="1"/>
  <c r="H1526" i="1"/>
  <c r="G1526" i="1"/>
  <c r="N1525" i="1"/>
  <c r="J1525" i="1"/>
  <c r="H1525" i="1"/>
  <c r="M1525" i="1" s="1"/>
  <c r="G1525" i="1"/>
  <c r="N1524" i="1"/>
  <c r="L1524" i="1" s="1"/>
  <c r="I1524" i="1" s="1"/>
  <c r="K1524" i="1"/>
  <c r="J1524" i="1"/>
  <c r="H1524" i="1"/>
  <c r="M1524" i="1" s="1"/>
  <c r="G1524" i="1"/>
  <c r="N1523" i="1"/>
  <c r="J1523" i="1"/>
  <c r="H1523" i="1"/>
  <c r="M1523" i="1" s="1"/>
  <c r="G1523" i="1"/>
  <c r="N1522" i="1"/>
  <c r="J1522" i="1"/>
  <c r="H1522" i="1"/>
  <c r="G1522" i="1"/>
  <c r="N1521" i="1"/>
  <c r="J1521" i="1"/>
  <c r="H1521" i="1"/>
  <c r="G1521" i="1"/>
  <c r="N1520" i="1"/>
  <c r="K1520" i="1"/>
  <c r="J1520" i="1"/>
  <c r="H1520" i="1"/>
  <c r="M1520" i="1" s="1"/>
  <c r="G1520" i="1"/>
  <c r="N1519" i="1"/>
  <c r="J1519" i="1"/>
  <c r="H1519" i="1"/>
  <c r="G1519" i="1"/>
  <c r="N1518" i="1"/>
  <c r="J1518" i="1"/>
  <c r="H1518" i="1"/>
  <c r="M1518" i="1" s="1"/>
  <c r="G1518" i="1"/>
  <c r="N1517" i="1"/>
  <c r="J1517" i="1"/>
  <c r="H1517" i="1"/>
  <c r="G1517" i="1"/>
  <c r="N1516" i="1"/>
  <c r="J1516" i="1"/>
  <c r="H1516" i="1"/>
  <c r="K1516" i="1" s="1"/>
  <c r="G1516" i="1"/>
  <c r="N1515" i="1"/>
  <c r="J1515" i="1"/>
  <c r="H1515" i="1"/>
  <c r="G1515" i="1"/>
  <c r="N1514" i="1"/>
  <c r="J1514" i="1"/>
  <c r="H1514" i="1"/>
  <c r="G1514" i="1"/>
  <c r="N1513" i="1"/>
  <c r="J1513" i="1"/>
  <c r="H1513" i="1"/>
  <c r="M1513" i="1" s="1"/>
  <c r="G1513" i="1"/>
  <c r="N1512" i="1"/>
  <c r="J1512" i="1"/>
  <c r="H1512" i="1"/>
  <c r="M1512" i="1" s="1"/>
  <c r="G1512" i="1"/>
  <c r="N1511" i="1"/>
  <c r="J1511" i="1"/>
  <c r="H1511" i="1"/>
  <c r="M1511" i="1" s="1"/>
  <c r="G1511" i="1"/>
  <c r="N1510" i="1"/>
  <c r="J1510" i="1"/>
  <c r="H1510" i="1"/>
  <c r="M1510" i="1" s="1"/>
  <c r="G1510" i="1"/>
  <c r="N1509" i="1"/>
  <c r="J1509" i="1"/>
  <c r="H1509" i="1"/>
  <c r="G1509" i="1"/>
  <c r="N1508" i="1"/>
  <c r="J1508" i="1"/>
  <c r="H1508" i="1"/>
  <c r="M1508" i="1" s="1"/>
  <c r="G1508" i="1"/>
  <c r="N1507" i="1"/>
  <c r="L1507" i="1"/>
  <c r="I1507" i="1" s="1"/>
  <c r="J1507" i="1"/>
  <c r="H1507" i="1"/>
  <c r="M1507" i="1" s="1"/>
  <c r="G1507" i="1"/>
  <c r="N1506" i="1"/>
  <c r="J1506" i="1"/>
  <c r="H1506" i="1"/>
  <c r="L1506" i="1" s="1"/>
  <c r="I1506" i="1" s="1"/>
  <c r="G1506" i="1"/>
  <c r="N1505" i="1"/>
  <c r="L1505" i="1"/>
  <c r="I1505" i="1" s="1"/>
  <c r="J1505" i="1"/>
  <c r="H1505" i="1"/>
  <c r="M1505" i="1" s="1"/>
  <c r="G1505" i="1"/>
  <c r="N1504" i="1"/>
  <c r="K1504" i="1"/>
  <c r="J1504" i="1"/>
  <c r="H1504" i="1"/>
  <c r="G1504" i="1"/>
  <c r="N1503" i="1"/>
  <c r="M1503" i="1"/>
  <c r="J1503" i="1"/>
  <c r="H1503" i="1"/>
  <c r="G1503" i="1"/>
  <c r="N1502" i="1"/>
  <c r="J1502" i="1"/>
  <c r="H1502" i="1"/>
  <c r="M1502" i="1" s="1"/>
  <c r="G1502" i="1"/>
  <c r="N1501" i="1"/>
  <c r="J1501" i="1"/>
  <c r="H1501" i="1"/>
  <c r="G1501" i="1"/>
  <c r="N1500" i="1"/>
  <c r="K1500" i="1"/>
  <c r="J1500" i="1"/>
  <c r="H1500" i="1"/>
  <c r="M1500" i="1" s="1"/>
  <c r="G1500" i="1"/>
  <c r="N1499" i="1"/>
  <c r="J1499" i="1"/>
  <c r="H1499" i="1"/>
  <c r="M1499" i="1" s="1"/>
  <c r="G1499" i="1"/>
  <c r="N1498" i="1"/>
  <c r="J1498" i="1"/>
  <c r="H1498" i="1"/>
  <c r="G1498" i="1"/>
  <c r="N1497" i="1"/>
  <c r="M1497" i="1"/>
  <c r="L1497" i="1"/>
  <c r="I1497" i="1" s="1"/>
  <c r="J1497" i="1"/>
  <c r="H1497" i="1"/>
  <c r="G1497" i="1"/>
  <c r="N1496" i="1"/>
  <c r="J1496" i="1"/>
  <c r="H1496" i="1"/>
  <c r="M1496" i="1" s="1"/>
  <c r="G1496" i="1"/>
  <c r="N1495" i="1"/>
  <c r="L1495" i="1" s="1"/>
  <c r="I1495" i="1" s="1"/>
  <c r="J1495" i="1"/>
  <c r="H1495" i="1"/>
  <c r="M1495" i="1" s="1"/>
  <c r="G1495" i="1"/>
  <c r="N1494" i="1"/>
  <c r="J1494" i="1"/>
  <c r="H1494" i="1"/>
  <c r="M1494" i="1" s="1"/>
  <c r="G1494" i="1"/>
  <c r="N1493" i="1"/>
  <c r="J1493" i="1"/>
  <c r="H1493" i="1"/>
  <c r="G1493" i="1"/>
  <c r="N1492" i="1"/>
  <c r="L1492" i="1"/>
  <c r="I1492" i="1" s="1"/>
  <c r="J1492" i="1"/>
  <c r="H1492" i="1"/>
  <c r="M1492" i="1" s="1"/>
  <c r="G1492" i="1"/>
  <c r="N1491" i="1"/>
  <c r="J1491" i="1"/>
  <c r="H1491" i="1"/>
  <c r="G1491" i="1"/>
  <c r="N1490" i="1"/>
  <c r="J1490" i="1"/>
  <c r="H1490" i="1"/>
  <c r="L1490" i="1" s="1"/>
  <c r="I1490" i="1" s="1"/>
  <c r="G1490" i="1"/>
  <c r="N1489" i="1"/>
  <c r="J1489" i="1"/>
  <c r="H1489" i="1"/>
  <c r="M1489" i="1" s="1"/>
  <c r="G1489" i="1"/>
  <c r="N1488" i="1"/>
  <c r="J1488" i="1"/>
  <c r="H1488" i="1"/>
  <c r="G1488" i="1"/>
  <c r="N1487" i="1"/>
  <c r="J1487" i="1"/>
  <c r="H1487" i="1"/>
  <c r="M1487" i="1" s="1"/>
  <c r="G1487" i="1"/>
  <c r="N1486" i="1"/>
  <c r="J1486" i="1"/>
  <c r="H1486" i="1"/>
  <c r="G1486" i="1"/>
  <c r="N1485" i="1"/>
  <c r="M1485" i="1"/>
  <c r="J1485" i="1"/>
  <c r="H1485" i="1"/>
  <c r="G1485" i="1"/>
  <c r="N1484" i="1"/>
  <c r="J1484" i="1"/>
  <c r="H1484" i="1"/>
  <c r="M1484" i="1" s="1"/>
  <c r="G1484" i="1"/>
  <c r="N1483" i="1"/>
  <c r="J1483" i="1"/>
  <c r="H1483" i="1"/>
  <c r="K1483" i="1" s="1"/>
  <c r="G1483" i="1"/>
  <c r="N1482" i="1"/>
  <c r="L1482" i="1"/>
  <c r="I1482" i="1" s="1"/>
  <c r="J1482" i="1"/>
  <c r="H1482" i="1"/>
  <c r="M1482" i="1" s="1"/>
  <c r="G1482" i="1"/>
  <c r="N1481" i="1"/>
  <c r="J1481" i="1"/>
  <c r="H1481" i="1"/>
  <c r="G1481" i="1"/>
  <c r="N1480" i="1"/>
  <c r="J1480" i="1"/>
  <c r="H1480" i="1"/>
  <c r="G1480" i="1"/>
  <c r="N1479" i="1"/>
  <c r="J1479" i="1"/>
  <c r="H1479" i="1"/>
  <c r="G1479" i="1"/>
  <c r="N1478" i="1"/>
  <c r="J1478" i="1"/>
  <c r="H1478" i="1"/>
  <c r="M1478" i="1" s="1"/>
  <c r="G1478" i="1"/>
  <c r="N1477" i="1"/>
  <c r="J1477" i="1"/>
  <c r="H1477" i="1"/>
  <c r="G1477" i="1"/>
  <c r="N1476" i="1"/>
  <c r="J1476" i="1"/>
  <c r="H1476" i="1"/>
  <c r="M1476" i="1" s="1"/>
  <c r="G1476" i="1"/>
  <c r="N1475" i="1"/>
  <c r="J1475" i="1"/>
  <c r="H1475" i="1"/>
  <c r="K1475" i="1" s="1"/>
  <c r="G1475" i="1"/>
  <c r="N1474" i="1"/>
  <c r="J1474" i="1"/>
  <c r="H1474" i="1"/>
  <c r="G1474" i="1"/>
  <c r="N1473" i="1"/>
  <c r="J1473" i="1"/>
  <c r="H1473" i="1"/>
  <c r="M1473" i="1" s="1"/>
  <c r="G1473" i="1"/>
  <c r="N1472" i="1"/>
  <c r="J1472" i="1"/>
  <c r="H1472" i="1"/>
  <c r="G1472" i="1"/>
  <c r="N1471" i="1"/>
  <c r="J1471" i="1"/>
  <c r="H1471" i="1"/>
  <c r="M1471" i="1" s="1"/>
  <c r="G1471" i="1"/>
  <c r="N1470" i="1"/>
  <c r="J1470" i="1"/>
  <c r="H1470" i="1"/>
  <c r="M1470" i="1" s="1"/>
  <c r="G1470" i="1"/>
  <c r="N1469" i="1"/>
  <c r="J1469" i="1"/>
  <c r="H1469" i="1"/>
  <c r="K1469" i="1" s="1"/>
  <c r="G1469" i="1"/>
  <c r="N1468" i="1"/>
  <c r="J1468" i="1"/>
  <c r="H1468" i="1"/>
  <c r="M1468" i="1" s="1"/>
  <c r="G1468" i="1"/>
  <c r="N1467" i="1"/>
  <c r="M1467" i="1"/>
  <c r="L1467" i="1"/>
  <c r="I1467" i="1" s="1"/>
  <c r="J1467" i="1"/>
  <c r="H1467" i="1"/>
  <c r="K1467" i="1" s="1"/>
  <c r="G1467" i="1"/>
  <c r="N1466" i="1"/>
  <c r="J1466" i="1"/>
  <c r="H1466" i="1"/>
  <c r="M1466" i="1" s="1"/>
  <c r="G1466" i="1"/>
  <c r="N1465" i="1"/>
  <c r="J1465" i="1"/>
  <c r="H1465" i="1"/>
  <c r="K1465" i="1" s="1"/>
  <c r="G1465" i="1"/>
  <c r="N1464" i="1"/>
  <c r="J1464" i="1"/>
  <c r="H1464" i="1"/>
  <c r="M1464" i="1" s="1"/>
  <c r="G1464" i="1"/>
  <c r="N1463" i="1"/>
  <c r="J1463" i="1"/>
  <c r="H1463" i="1"/>
  <c r="M1463" i="1" s="1"/>
  <c r="G1463" i="1"/>
  <c r="N1462" i="1"/>
  <c r="J1462" i="1"/>
  <c r="H1462" i="1"/>
  <c r="M1462" i="1" s="1"/>
  <c r="G1462" i="1"/>
  <c r="N1461" i="1"/>
  <c r="J1461" i="1"/>
  <c r="H1461" i="1"/>
  <c r="L1461" i="1" s="1"/>
  <c r="I1461" i="1" s="1"/>
  <c r="G1461" i="1"/>
  <c r="N1460" i="1"/>
  <c r="J1460" i="1"/>
  <c r="H1460" i="1"/>
  <c r="M1460" i="1" s="1"/>
  <c r="G1460" i="1"/>
  <c r="N1459" i="1"/>
  <c r="J1459" i="1"/>
  <c r="H1459" i="1"/>
  <c r="K1459" i="1" s="1"/>
  <c r="G1459" i="1"/>
  <c r="N1458" i="1"/>
  <c r="J1458" i="1"/>
  <c r="H1458" i="1"/>
  <c r="M1458" i="1" s="1"/>
  <c r="G1458" i="1"/>
  <c r="N1457" i="1"/>
  <c r="J1457" i="1"/>
  <c r="H1457" i="1"/>
  <c r="L1457" i="1" s="1"/>
  <c r="I1457" i="1" s="1"/>
  <c r="G1457" i="1"/>
  <c r="N1456" i="1"/>
  <c r="J1456" i="1"/>
  <c r="H1456" i="1"/>
  <c r="M1456" i="1" s="1"/>
  <c r="G1456" i="1"/>
  <c r="N1455" i="1"/>
  <c r="J1455" i="1"/>
  <c r="H1455" i="1"/>
  <c r="G1455" i="1"/>
  <c r="N1454" i="1"/>
  <c r="J1454" i="1"/>
  <c r="H1454" i="1"/>
  <c r="G1454" i="1"/>
  <c r="N1453" i="1"/>
  <c r="M1453" i="1"/>
  <c r="J1453" i="1"/>
  <c r="H1453" i="1"/>
  <c r="K1453" i="1" s="1"/>
  <c r="G1453" i="1"/>
  <c r="N1452" i="1"/>
  <c r="J1452" i="1"/>
  <c r="H1452" i="1"/>
  <c r="M1452" i="1" s="1"/>
  <c r="G1452" i="1"/>
  <c r="N1451" i="1"/>
  <c r="J1451" i="1"/>
  <c r="H1451" i="1"/>
  <c r="M1451" i="1" s="1"/>
  <c r="G1451" i="1"/>
  <c r="N1450" i="1"/>
  <c r="J1450" i="1"/>
  <c r="H1450" i="1"/>
  <c r="M1450" i="1" s="1"/>
  <c r="G1450" i="1"/>
  <c r="N1449" i="1"/>
  <c r="J1449" i="1"/>
  <c r="H1449" i="1"/>
  <c r="G1449" i="1"/>
  <c r="N1448" i="1"/>
  <c r="J1448" i="1"/>
  <c r="H1448" i="1"/>
  <c r="G1448" i="1"/>
  <c r="N1447" i="1"/>
  <c r="J1447" i="1"/>
  <c r="H1447" i="1"/>
  <c r="G1447" i="1"/>
  <c r="N1446" i="1"/>
  <c r="J1446" i="1"/>
  <c r="H1446" i="1"/>
  <c r="M1446" i="1" s="1"/>
  <c r="G1446" i="1"/>
  <c r="N1445" i="1"/>
  <c r="M1445" i="1"/>
  <c r="J1445" i="1"/>
  <c r="H1445" i="1"/>
  <c r="G1445" i="1"/>
  <c r="N1444" i="1"/>
  <c r="J1444" i="1"/>
  <c r="H1444" i="1"/>
  <c r="M1444" i="1" s="1"/>
  <c r="G1444" i="1"/>
  <c r="K1444" i="1" s="1"/>
  <c r="N1443" i="1"/>
  <c r="J1443" i="1"/>
  <c r="H1443" i="1"/>
  <c r="M1443" i="1" s="1"/>
  <c r="G1443" i="1"/>
  <c r="N1442" i="1"/>
  <c r="J1442" i="1"/>
  <c r="H1442" i="1"/>
  <c r="M1442" i="1" s="1"/>
  <c r="G1442" i="1"/>
  <c r="N1441" i="1"/>
  <c r="J1441" i="1"/>
  <c r="H1441" i="1"/>
  <c r="G1441" i="1"/>
  <c r="N1440" i="1"/>
  <c r="J1440" i="1"/>
  <c r="H1440" i="1"/>
  <c r="M1440" i="1" s="1"/>
  <c r="G1440" i="1"/>
  <c r="N1439" i="1"/>
  <c r="J1439" i="1"/>
  <c r="H1439" i="1"/>
  <c r="G1439" i="1"/>
  <c r="N1438" i="1"/>
  <c r="L1438" i="1"/>
  <c r="I1438" i="1" s="1"/>
  <c r="J1438" i="1"/>
  <c r="H1438" i="1"/>
  <c r="G1438" i="1"/>
  <c r="K1438" i="1" s="1"/>
  <c r="N1437" i="1"/>
  <c r="J1437" i="1"/>
  <c r="H1437" i="1"/>
  <c r="G1437" i="1"/>
  <c r="N1436" i="1"/>
  <c r="J1436" i="1"/>
  <c r="H1436" i="1"/>
  <c r="G1436" i="1"/>
  <c r="N1435" i="1"/>
  <c r="J1435" i="1"/>
  <c r="H1435" i="1"/>
  <c r="K1435" i="1" s="1"/>
  <c r="G1435" i="1"/>
  <c r="N1434" i="1"/>
  <c r="J1434" i="1"/>
  <c r="H1434" i="1"/>
  <c r="G1434" i="1"/>
  <c r="N1433" i="1"/>
  <c r="J1433" i="1"/>
  <c r="H1433" i="1"/>
  <c r="G1433" i="1"/>
  <c r="N1432" i="1"/>
  <c r="J1432" i="1"/>
  <c r="H1432" i="1"/>
  <c r="G1432" i="1"/>
  <c r="N1431" i="1"/>
  <c r="J1431" i="1"/>
  <c r="H1431" i="1"/>
  <c r="M1431" i="1" s="1"/>
  <c r="G1431" i="1"/>
  <c r="N1430" i="1"/>
  <c r="J1430" i="1"/>
  <c r="H1430" i="1"/>
  <c r="M1430" i="1" s="1"/>
  <c r="G1430" i="1"/>
  <c r="N1429" i="1"/>
  <c r="J1429" i="1"/>
  <c r="H1429" i="1"/>
  <c r="M1429" i="1" s="1"/>
  <c r="G1429" i="1"/>
  <c r="N1428" i="1"/>
  <c r="J1428" i="1"/>
  <c r="H1428" i="1"/>
  <c r="L1428" i="1" s="1"/>
  <c r="I1428" i="1" s="1"/>
  <c r="G1428" i="1"/>
  <c r="N1427" i="1"/>
  <c r="J1427" i="1"/>
  <c r="H1427" i="1"/>
  <c r="G1427" i="1"/>
  <c r="N1426" i="1"/>
  <c r="J1426" i="1"/>
  <c r="H1426" i="1"/>
  <c r="G1426" i="1"/>
  <c r="N1425" i="1"/>
  <c r="M1425" i="1"/>
  <c r="J1425" i="1"/>
  <c r="H1425" i="1"/>
  <c r="G1425" i="1"/>
  <c r="N1424" i="1"/>
  <c r="J1424" i="1"/>
  <c r="H1424" i="1"/>
  <c r="M1424" i="1" s="1"/>
  <c r="G1424" i="1"/>
  <c r="N1423" i="1"/>
  <c r="J1423" i="1"/>
  <c r="H1423" i="1"/>
  <c r="G1423" i="1"/>
  <c r="N1422" i="1"/>
  <c r="J1422" i="1"/>
  <c r="H1422" i="1"/>
  <c r="G1422" i="1"/>
  <c r="N1421" i="1"/>
  <c r="J1421" i="1"/>
  <c r="H1421" i="1"/>
  <c r="K1421" i="1" s="1"/>
  <c r="G1421" i="1"/>
  <c r="N1420" i="1"/>
  <c r="J1420" i="1"/>
  <c r="H1420" i="1"/>
  <c r="M1420" i="1" s="1"/>
  <c r="G1420" i="1"/>
  <c r="N1419" i="1"/>
  <c r="J1419" i="1"/>
  <c r="H1419" i="1"/>
  <c r="K1419" i="1" s="1"/>
  <c r="G1419" i="1"/>
  <c r="N1418" i="1"/>
  <c r="J1418" i="1"/>
  <c r="H1418" i="1"/>
  <c r="M1418" i="1" s="1"/>
  <c r="G1418" i="1"/>
  <c r="N1417" i="1"/>
  <c r="J1417" i="1"/>
  <c r="H1417" i="1"/>
  <c r="M1417" i="1" s="1"/>
  <c r="G1417" i="1"/>
  <c r="N1416" i="1"/>
  <c r="J1416" i="1"/>
  <c r="H1416" i="1"/>
  <c r="M1416" i="1" s="1"/>
  <c r="G1416" i="1"/>
  <c r="N1415" i="1"/>
  <c r="J1415" i="1"/>
  <c r="H1415" i="1"/>
  <c r="M1415" i="1" s="1"/>
  <c r="G1415" i="1"/>
  <c r="N1414" i="1"/>
  <c r="J1414" i="1"/>
  <c r="H1414" i="1"/>
  <c r="M1414" i="1" s="1"/>
  <c r="G1414" i="1"/>
  <c r="N1413" i="1"/>
  <c r="J1413" i="1"/>
  <c r="H1413" i="1"/>
  <c r="G1413" i="1"/>
  <c r="N1412" i="1"/>
  <c r="J1412" i="1"/>
  <c r="H1412" i="1"/>
  <c r="M1412" i="1" s="1"/>
  <c r="G1412" i="1"/>
  <c r="N1411" i="1"/>
  <c r="J1411" i="1"/>
  <c r="H1411" i="1"/>
  <c r="M1411" i="1" s="1"/>
  <c r="G1411" i="1"/>
  <c r="N1410" i="1"/>
  <c r="J1410" i="1"/>
  <c r="H1410" i="1"/>
  <c r="L1410" i="1" s="1"/>
  <c r="I1410" i="1" s="1"/>
  <c r="G1410" i="1"/>
  <c r="N1409" i="1"/>
  <c r="J1409" i="1"/>
  <c r="H1409" i="1"/>
  <c r="G1409" i="1"/>
  <c r="N1408" i="1"/>
  <c r="L1408" i="1"/>
  <c r="I1408" i="1" s="1"/>
  <c r="J1408" i="1"/>
  <c r="H1408" i="1"/>
  <c r="G1408" i="1"/>
  <c r="N1407" i="1"/>
  <c r="J1407" i="1"/>
  <c r="H1407" i="1"/>
  <c r="M1407" i="1" s="1"/>
  <c r="G1407" i="1"/>
  <c r="N1406" i="1"/>
  <c r="J1406" i="1"/>
  <c r="H1406" i="1"/>
  <c r="G1406" i="1"/>
  <c r="N1405" i="1"/>
  <c r="M1405" i="1"/>
  <c r="J1405" i="1"/>
  <c r="H1405" i="1"/>
  <c r="G1405" i="1"/>
  <c r="K1405" i="1" s="1"/>
  <c r="N1404" i="1"/>
  <c r="J1404" i="1"/>
  <c r="H1404" i="1"/>
  <c r="M1404" i="1" s="1"/>
  <c r="G1404" i="1"/>
  <c r="N1403" i="1"/>
  <c r="J1403" i="1"/>
  <c r="H1403" i="1"/>
  <c r="M1403" i="1" s="1"/>
  <c r="G1403" i="1"/>
  <c r="N1402" i="1"/>
  <c r="J1402" i="1"/>
  <c r="H1402" i="1"/>
  <c r="G1402" i="1"/>
  <c r="N1401" i="1"/>
  <c r="M1401" i="1"/>
  <c r="J1401" i="1"/>
  <c r="H1401" i="1"/>
  <c r="K1401" i="1" s="1"/>
  <c r="G1401" i="1"/>
  <c r="N1400" i="1"/>
  <c r="J1400" i="1"/>
  <c r="H1400" i="1"/>
  <c r="G1400" i="1"/>
  <c r="N1399" i="1"/>
  <c r="J1399" i="1"/>
  <c r="H1399" i="1"/>
  <c r="M1399" i="1" s="1"/>
  <c r="G1399" i="1"/>
  <c r="N1398" i="1"/>
  <c r="J1398" i="1"/>
  <c r="H1398" i="1"/>
  <c r="M1398" i="1" s="1"/>
  <c r="G1398" i="1"/>
  <c r="N1397" i="1"/>
  <c r="J1397" i="1"/>
  <c r="H1397" i="1"/>
  <c r="G1397" i="1"/>
  <c r="N1396" i="1"/>
  <c r="J1396" i="1"/>
  <c r="H1396" i="1"/>
  <c r="G1396" i="1"/>
  <c r="N1395" i="1"/>
  <c r="J1395" i="1"/>
  <c r="H1395" i="1"/>
  <c r="G1395" i="1"/>
  <c r="N1394" i="1"/>
  <c r="J1394" i="1"/>
  <c r="H1394" i="1"/>
  <c r="M1394" i="1" s="1"/>
  <c r="G1394" i="1"/>
  <c r="N1393" i="1"/>
  <c r="K1393" i="1"/>
  <c r="J1393" i="1"/>
  <c r="H1393" i="1"/>
  <c r="G1393" i="1"/>
  <c r="N1392" i="1"/>
  <c r="J1392" i="1"/>
  <c r="H1392" i="1"/>
  <c r="L1392" i="1" s="1"/>
  <c r="I1392" i="1" s="1"/>
  <c r="G1392" i="1"/>
  <c r="N1391" i="1"/>
  <c r="J1391" i="1"/>
  <c r="H1391" i="1"/>
  <c r="G1391" i="1"/>
  <c r="N1390" i="1"/>
  <c r="J1390" i="1"/>
  <c r="H1390" i="1"/>
  <c r="M1390" i="1" s="1"/>
  <c r="G1390" i="1"/>
  <c r="N1389" i="1"/>
  <c r="J1389" i="1"/>
  <c r="H1389" i="1"/>
  <c r="G1389" i="1"/>
  <c r="N1388" i="1"/>
  <c r="J1388" i="1"/>
  <c r="H1388" i="1"/>
  <c r="K1388" i="1" s="1"/>
  <c r="G1388" i="1"/>
  <c r="N1387" i="1"/>
  <c r="J1387" i="1"/>
  <c r="H1387" i="1"/>
  <c r="L1387" i="1" s="1"/>
  <c r="I1387" i="1" s="1"/>
  <c r="G1387" i="1"/>
  <c r="N1386" i="1"/>
  <c r="J1386" i="1"/>
  <c r="H1386" i="1"/>
  <c r="K1386" i="1" s="1"/>
  <c r="G1386" i="1"/>
  <c r="N1385" i="1"/>
  <c r="J1385" i="1"/>
  <c r="H1385" i="1"/>
  <c r="G1385" i="1"/>
  <c r="N1384" i="1"/>
  <c r="J1384" i="1"/>
  <c r="H1384" i="1"/>
  <c r="G1384" i="1"/>
  <c r="N1383" i="1"/>
  <c r="M1383" i="1"/>
  <c r="J1383" i="1"/>
  <c r="H1383" i="1"/>
  <c r="L1383" i="1" s="1"/>
  <c r="I1383" i="1" s="1"/>
  <c r="G1383" i="1"/>
  <c r="N1382" i="1"/>
  <c r="L1382" i="1" s="1"/>
  <c r="I1382" i="1" s="1"/>
  <c r="M1382" i="1"/>
  <c r="J1382" i="1"/>
  <c r="H1382" i="1"/>
  <c r="K1382" i="1" s="1"/>
  <c r="G1382" i="1"/>
  <c r="N1381" i="1"/>
  <c r="J1381" i="1"/>
  <c r="H1381" i="1"/>
  <c r="M1381" i="1" s="1"/>
  <c r="G1381" i="1"/>
  <c r="N1380" i="1"/>
  <c r="J1380" i="1"/>
  <c r="H1380" i="1"/>
  <c r="M1380" i="1" s="1"/>
  <c r="G1380" i="1"/>
  <c r="N1379" i="1"/>
  <c r="J1379" i="1"/>
  <c r="H1379" i="1"/>
  <c r="G1379" i="1"/>
  <c r="N1378" i="1"/>
  <c r="J1378" i="1"/>
  <c r="H1378" i="1"/>
  <c r="G1378" i="1"/>
  <c r="N1377" i="1"/>
  <c r="J1377" i="1"/>
  <c r="H1377" i="1"/>
  <c r="M1377" i="1" s="1"/>
  <c r="G1377" i="1"/>
  <c r="N1376" i="1"/>
  <c r="J1376" i="1"/>
  <c r="H1376" i="1"/>
  <c r="M1376" i="1" s="1"/>
  <c r="G1376" i="1"/>
  <c r="N1375" i="1"/>
  <c r="M1375" i="1"/>
  <c r="J1375" i="1"/>
  <c r="H1375" i="1"/>
  <c r="G1375" i="1"/>
  <c r="N1374" i="1"/>
  <c r="J1374" i="1"/>
  <c r="H1374" i="1"/>
  <c r="M1374" i="1" s="1"/>
  <c r="G1374" i="1"/>
  <c r="N1373" i="1"/>
  <c r="J1373" i="1"/>
  <c r="H1373" i="1"/>
  <c r="G1373" i="1"/>
  <c r="N1372" i="1"/>
  <c r="J1372" i="1"/>
  <c r="H1372" i="1"/>
  <c r="K1372" i="1" s="1"/>
  <c r="G1372" i="1"/>
  <c r="N1371" i="1"/>
  <c r="J1371" i="1"/>
  <c r="H1371" i="1"/>
  <c r="G1371" i="1"/>
  <c r="N1370" i="1"/>
  <c r="J1370" i="1"/>
  <c r="H1370" i="1"/>
  <c r="M1370" i="1" s="1"/>
  <c r="G1370" i="1"/>
  <c r="N1369" i="1"/>
  <c r="J1369" i="1"/>
  <c r="H1369" i="1"/>
  <c r="G1369" i="1"/>
  <c r="N1368" i="1"/>
  <c r="J1368" i="1"/>
  <c r="H1368" i="1"/>
  <c r="K1368" i="1" s="1"/>
  <c r="G1368" i="1"/>
  <c r="N1367" i="1"/>
  <c r="J1367" i="1"/>
  <c r="H1367" i="1"/>
  <c r="G1367" i="1"/>
  <c r="N1366" i="1"/>
  <c r="L1366" i="1" s="1"/>
  <c r="I1366" i="1" s="1"/>
  <c r="M1366" i="1"/>
  <c r="K1366" i="1"/>
  <c r="J1366" i="1"/>
  <c r="H1366" i="1"/>
  <c r="G1366" i="1"/>
  <c r="N1365" i="1"/>
  <c r="J1365" i="1"/>
  <c r="H1365" i="1"/>
  <c r="L1365" i="1" s="1"/>
  <c r="I1365" i="1" s="1"/>
  <c r="G1365" i="1"/>
  <c r="N1364" i="1"/>
  <c r="J1364" i="1"/>
  <c r="H1364" i="1"/>
  <c r="M1364" i="1" s="1"/>
  <c r="G1364" i="1"/>
  <c r="N1363" i="1"/>
  <c r="J1363" i="1"/>
  <c r="H1363" i="1"/>
  <c r="L1363" i="1" s="1"/>
  <c r="I1363" i="1" s="1"/>
  <c r="G1363" i="1"/>
  <c r="N1362" i="1"/>
  <c r="J1362" i="1"/>
  <c r="H1362" i="1"/>
  <c r="G1362" i="1"/>
  <c r="N1361" i="1"/>
  <c r="J1361" i="1"/>
  <c r="H1361" i="1"/>
  <c r="G1361" i="1"/>
  <c r="N1360" i="1"/>
  <c r="J1360" i="1"/>
  <c r="H1360" i="1"/>
  <c r="G1360" i="1"/>
  <c r="N1359" i="1"/>
  <c r="J1359" i="1"/>
  <c r="H1359" i="1"/>
  <c r="M1359" i="1" s="1"/>
  <c r="G1359" i="1"/>
  <c r="N1358" i="1"/>
  <c r="J1358" i="1"/>
  <c r="H1358" i="1"/>
  <c r="M1358" i="1" s="1"/>
  <c r="G1358" i="1"/>
  <c r="N1357" i="1"/>
  <c r="J1357" i="1"/>
  <c r="H1357" i="1"/>
  <c r="L1357" i="1" s="1"/>
  <c r="I1357" i="1" s="1"/>
  <c r="G1357" i="1"/>
  <c r="N1356" i="1"/>
  <c r="J1356" i="1"/>
  <c r="H1356" i="1"/>
  <c r="K1356" i="1" s="1"/>
  <c r="G1356" i="1"/>
  <c r="N1355" i="1"/>
  <c r="J1355" i="1"/>
  <c r="H1355" i="1"/>
  <c r="G1355" i="1"/>
  <c r="N1354" i="1"/>
  <c r="J1354" i="1"/>
  <c r="H1354" i="1"/>
  <c r="K1354" i="1" s="1"/>
  <c r="G1354" i="1"/>
  <c r="N1353" i="1"/>
  <c r="J1353" i="1"/>
  <c r="H1353" i="1"/>
  <c r="G1353" i="1"/>
  <c r="N1352" i="1"/>
  <c r="J1352" i="1"/>
  <c r="H1352" i="1"/>
  <c r="G1352" i="1"/>
  <c r="N1351" i="1"/>
  <c r="J1351" i="1"/>
  <c r="H1351" i="1"/>
  <c r="G1351" i="1"/>
  <c r="N1350" i="1"/>
  <c r="J1350" i="1"/>
  <c r="H1350" i="1"/>
  <c r="M1350" i="1" s="1"/>
  <c r="G1350" i="1"/>
  <c r="N1349" i="1"/>
  <c r="J1349" i="1"/>
  <c r="H1349" i="1"/>
  <c r="L1349" i="1" s="1"/>
  <c r="I1349" i="1" s="1"/>
  <c r="G1349" i="1"/>
  <c r="N1348" i="1"/>
  <c r="J1348" i="1"/>
  <c r="H1348" i="1"/>
  <c r="M1348" i="1" s="1"/>
  <c r="G1348" i="1"/>
  <c r="N1347" i="1"/>
  <c r="J1347" i="1"/>
  <c r="H1347" i="1"/>
  <c r="G1347" i="1"/>
  <c r="N1346" i="1"/>
  <c r="J1346" i="1"/>
  <c r="H1346" i="1"/>
  <c r="G1346" i="1"/>
  <c r="N1345" i="1"/>
  <c r="J1345" i="1"/>
  <c r="H1345" i="1"/>
  <c r="G1345" i="1"/>
  <c r="N1344" i="1"/>
  <c r="J1344" i="1"/>
  <c r="H1344" i="1"/>
  <c r="M1344" i="1" s="1"/>
  <c r="G1344" i="1"/>
  <c r="N1343" i="1"/>
  <c r="J1343" i="1"/>
  <c r="H1343" i="1"/>
  <c r="L1343" i="1" s="1"/>
  <c r="I1343" i="1" s="1"/>
  <c r="G1343" i="1"/>
  <c r="N1342" i="1"/>
  <c r="J1342" i="1"/>
  <c r="H1342" i="1"/>
  <c r="M1342" i="1" s="1"/>
  <c r="G1342" i="1"/>
  <c r="N1341" i="1"/>
  <c r="J1341" i="1"/>
  <c r="H1341" i="1"/>
  <c r="G1341" i="1"/>
  <c r="N1340" i="1"/>
  <c r="J1340" i="1"/>
  <c r="H1340" i="1"/>
  <c r="G1340" i="1"/>
  <c r="N1339" i="1"/>
  <c r="J1339" i="1"/>
  <c r="H1339" i="1"/>
  <c r="G1339" i="1"/>
  <c r="N1338" i="1"/>
  <c r="J1338" i="1"/>
  <c r="H1338" i="1"/>
  <c r="M1338" i="1" s="1"/>
  <c r="G1338" i="1"/>
  <c r="N1337" i="1"/>
  <c r="J1337" i="1"/>
  <c r="H1337" i="1"/>
  <c r="G1337" i="1"/>
  <c r="N1336" i="1"/>
  <c r="J1336" i="1"/>
  <c r="H1336" i="1"/>
  <c r="K1336" i="1" s="1"/>
  <c r="G1336" i="1"/>
  <c r="N1335" i="1"/>
  <c r="J1335" i="1"/>
  <c r="H1335" i="1"/>
  <c r="M1335" i="1" s="1"/>
  <c r="G1335" i="1"/>
  <c r="N1334" i="1"/>
  <c r="J1334" i="1"/>
  <c r="H1334" i="1"/>
  <c r="M1334" i="1" s="1"/>
  <c r="G1334" i="1"/>
  <c r="N1333" i="1"/>
  <c r="J1333" i="1"/>
  <c r="H1333" i="1"/>
  <c r="M1333" i="1" s="1"/>
  <c r="G1333" i="1"/>
  <c r="N1332" i="1"/>
  <c r="J1332" i="1"/>
  <c r="H1332" i="1"/>
  <c r="M1332" i="1" s="1"/>
  <c r="G1332" i="1"/>
  <c r="N1331" i="1"/>
  <c r="M1331" i="1"/>
  <c r="J1331" i="1"/>
  <c r="H1331" i="1"/>
  <c r="G1331" i="1"/>
  <c r="N1330" i="1"/>
  <c r="J1330" i="1"/>
  <c r="H1330" i="1"/>
  <c r="G1330" i="1"/>
  <c r="N1329" i="1"/>
  <c r="J1329" i="1"/>
  <c r="H1329" i="1"/>
  <c r="M1329" i="1" s="1"/>
  <c r="G1329" i="1"/>
  <c r="N1328" i="1"/>
  <c r="J1328" i="1"/>
  <c r="H1328" i="1"/>
  <c r="M1328" i="1" s="1"/>
  <c r="G1328" i="1"/>
  <c r="N1327" i="1"/>
  <c r="J1327" i="1"/>
  <c r="H1327" i="1"/>
  <c r="M1327" i="1" s="1"/>
  <c r="G1327" i="1"/>
  <c r="L1327" i="1" s="1"/>
  <c r="I1327" i="1" s="1"/>
  <c r="N1326" i="1"/>
  <c r="J1326" i="1"/>
  <c r="H1326" i="1"/>
  <c r="M1326" i="1" s="1"/>
  <c r="G1326" i="1"/>
  <c r="N1325" i="1"/>
  <c r="J1325" i="1"/>
  <c r="H1325" i="1"/>
  <c r="M1325" i="1" s="1"/>
  <c r="G1325" i="1"/>
  <c r="L1325" i="1" s="1"/>
  <c r="I1325" i="1" s="1"/>
  <c r="N1324" i="1"/>
  <c r="J1324" i="1"/>
  <c r="H1324" i="1"/>
  <c r="G1324" i="1"/>
  <c r="N1323" i="1"/>
  <c r="J1323" i="1"/>
  <c r="H1323" i="1"/>
  <c r="G1323" i="1"/>
  <c r="N1322" i="1"/>
  <c r="J1322" i="1"/>
  <c r="H1322" i="1"/>
  <c r="M1322" i="1" s="1"/>
  <c r="G1322" i="1"/>
  <c r="N1321" i="1"/>
  <c r="J1321" i="1"/>
  <c r="H1321" i="1"/>
  <c r="M1321" i="1" s="1"/>
  <c r="G1321" i="1"/>
  <c r="N1320" i="1"/>
  <c r="J1320" i="1"/>
  <c r="H1320" i="1"/>
  <c r="M1320" i="1" s="1"/>
  <c r="G1320" i="1"/>
  <c r="N1319" i="1"/>
  <c r="J1319" i="1"/>
  <c r="H1319" i="1"/>
  <c r="M1319" i="1" s="1"/>
  <c r="G1319" i="1"/>
  <c r="N1318" i="1"/>
  <c r="K1318" i="1"/>
  <c r="J1318" i="1"/>
  <c r="H1318" i="1"/>
  <c r="M1318" i="1" s="1"/>
  <c r="G1318" i="1"/>
  <c r="N1317" i="1"/>
  <c r="J1317" i="1"/>
  <c r="H1317" i="1"/>
  <c r="M1317" i="1" s="1"/>
  <c r="G1317" i="1"/>
  <c r="N1316" i="1"/>
  <c r="J1316" i="1"/>
  <c r="H1316" i="1"/>
  <c r="G1316" i="1"/>
  <c r="N1315" i="1"/>
  <c r="J1315" i="1"/>
  <c r="H1315" i="1"/>
  <c r="M1315" i="1" s="1"/>
  <c r="G1315" i="1"/>
  <c r="N1314" i="1"/>
  <c r="J1314" i="1"/>
  <c r="H1314" i="1"/>
  <c r="G1314" i="1"/>
  <c r="N1313" i="1"/>
  <c r="J1313" i="1"/>
  <c r="H1313" i="1"/>
  <c r="M1313" i="1" s="1"/>
  <c r="G1313" i="1"/>
  <c r="N1312" i="1"/>
  <c r="J1312" i="1"/>
  <c r="H1312" i="1"/>
  <c r="G1312" i="1"/>
  <c r="N1311" i="1"/>
  <c r="J1311" i="1"/>
  <c r="H1311" i="1"/>
  <c r="M1311" i="1" s="1"/>
  <c r="G1311" i="1"/>
  <c r="N1310" i="1"/>
  <c r="L1310" i="1"/>
  <c r="I1310" i="1" s="1"/>
  <c r="J1310" i="1"/>
  <c r="H1310" i="1"/>
  <c r="M1310" i="1" s="1"/>
  <c r="G1310" i="1"/>
  <c r="N1309" i="1"/>
  <c r="J1309" i="1"/>
  <c r="H1309" i="1"/>
  <c r="M1309" i="1" s="1"/>
  <c r="G1309" i="1"/>
  <c r="N1308" i="1"/>
  <c r="K1308" i="1"/>
  <c r="J1308" i="1"/>
  <c r="H1308" i="1"/>
  <c r="M1308" i="1" s="1"/>
  <c r="G1308" i="1"/>
  <c r="N1307" i="1"/>
  <c r="J1307" i="1"/>
  <c r="H1307" i="1"/>
  <c r="G1307" i="1"/>
  <c r="N1306" i="1"/>
  <c r="J1306" i="1"/>
  <c r="H1306" i="1"/>
  <c r="G1306" i="1"/>
  <c r="N1305" i="1"/>
  <c r="J1305" i="1"/>
  <c r="H1305" i="1"/>
  <c r="G1305" i="1"/>
  <c r="N1304" i="1"/>
  <c r="J1304" i="1"/>
  <c r="H1304" i="1"/>
  <c r="K1304" i="1" s="1"/>
  <c r="G1304" i="1"/>
  <c r="N1303" i="1"/>
  <c r="J1303" i="1"/>
  <c r="H1303" i="1"/>
  <c r="G1303" i="1"/>
  <c r="N1302" i="1"/>
  <c r="J1302" i="1"/>
  <c r="H1302" i="1"/>
  <c r="K1302" i="1" s="1"/>
  <c r="G1302" i="1"/>
  <c r="N1301" i="1"/>
  <c r="J1301" i="1"/>
  <c r="H1301" i="1"/>
  <c r="M1301" i="1" s="1"/>
  <c r="G1301" i="1"/>
  <c r="N1300" i="1"/>
  <c r="L1300" i="1"/>
  <c r="I1300" i="1" s="1"/>
  <c r="K1300" i="1"/>
  <c r="J1300" i="1"/>
  <c r="H1300" i="1"/>
  <c r="M1300" i="1" s="1"/>
  <c r="G1300" i="1"/>
  <c r="N1299" i="1"/>
  <c r="J1299" i="1"/>
  <c r="H1299" i="1"/>
  <c r="M1299" i="1" s="1"/>
  <c r="G1299" i="1"/>
  <c r="N1298" i="1"/>
  <c r="J1298" i="1"/>
  <c r="H1298" i="1"/>
  <c r="G1298" i="1"/>
  <c r="N1297" i="1"/>
  <c r="J1297" i="1"/>
  <c r="H1297" i="1"/>
  <c r="M1297" i="1" s="1"/>
  <c r="G1297" i="1"/>
  <c r="N1296" i="1"/>
  <c r="J1296" i="1"/>
  <c r="H1296" i="1"/>
  <c r="M1296" i="1" s="1"/>
  <c r="G1296" i="1"/>
  <c r="N1295" i="1"/>
  <c r="J1295" i="1"/>
  <c r="H1295" i="1"/>
  <c r="M1295" i="1" s="1"/>
  <c r="G1295" i="1"/>
  <c r="N1294" i="1"/>
  <c r="J1294" i="1"/>
  <c r="H1294" i="1"/>
  <c r="M1294" i="1" s="1"/>
  <c r="G1294" i="1"/>
  <c r="N1293" i="1"/>
  <c r="J1293" i="1"/>
  <c r="H1293" i="1"/>
  <c r="G1293" i="1"/>
  <c r="N1292" i="1"/>
  <c r="M1292" i="1"/>
  <c r="L1292" i="1"/>
  <c r="I1292" i="1" s="1"/>
  <c r="K1292" i="1"/>
  <c r="J1292" i="1"/>
  <c r="H1292" i="1"/>
  <c r="G1292" i="1"/>
  <c r="N1291" i="1"/>
  <c r="J1291" i="1"/>
  <c r="H1291" i="1"/>
  <c r="G1291" i="1"/>
  <c r="N1290" i="1"/>
  <c r="L1290" i="1" s="1"/>
  <c r="I1290" i="1" s="1"/>
  <c r="K1290" i="1"/>
  <c r="J1290" i="1"/>
  <c r="H1290" i="1"/>
  <c r="M1290" i="1" s="1"/>
  <c r="G1290" i="1"/>
  <c r="N1289" i="1"/>
  <c r="J1289" i="1"/>
  <c r="H1289" i="1"/>
  <c r="G1289" i="1"/>
  <c r="N1288" i="1"/>
  <c r="J1288" i="1"/>
  <c r="H1288" i="1"/>
  <c r="G1288" i="1"/>
  <c r="N1287" i="1"/>
  <c r="J1287" i="1"/>
  <c r="H1287" i="1"/>
  <c r="K1287" i="1" s="1"/>
  <c r="G1287" i="1"/>
  <c r="N1286" i="1"/>
  <c r="J1286" i="1"/>
  <c r="H1286" i="1"/>
  <c r="M1286" i="1" s="1"/>
  <c r="G1286" i="1"/>
  <c r="N1285" i="1"/>
  <c r="J1285" i="1"/>
  <c r="H1285" i="1"/>
  <c r="K1285" i="1" s="1"/>
  <c r="G1285" i="1"/>
  <c r="N1284" i="1"/>
  <c r="J1284" i="1"/>
  <c r="H1284" i="1"/>
  <c r="M1284" i="1" s="1"/>
  <c r="G1284" i="1"/>
  <c r="N1283" i="1"/>
  <c r="K1283" i="1"/>
  <c r="J1283" i="1"/>
  <c r="H1283" i="1"/>
  <c r="G1283" i="1"/>
  <c r="N1282" i="1"/>
  <c r="J1282" i="1"/>
  <c r="H1282" i="1"/>
  <c r="M1282" i="1" s="1"/>
  <c r="G1282" i="1"/>
  <c r="N1281" i="1"/>
  <c r="J1281" i="1"/>
  <c r="H1281" i="1"/>
  <c r="G1281" i="1"/>
  <c r="N1280" i="1"/>
  <c r="J1280" i="1"/>
  <c r="H1280" i="1"/>
  <c r="G1280" i="1"/>
  <c r="N1279" i="1"/>
  <c r="J1279" i="1"/>
  <c r="H1279" i="1"/>
  <c r="G1279" i="1"/>
  <c r="N1278" i="1"/>
  <c r="J1278" i="1"/>
  <c r="H1278" i="1"/>
  <c r="K1278" i="1" s="1"/>
  <c r="G1278" i="1"/>
  <c r="N1277" i="1"/>
  <c r="J1277" i="1"/>
  <c r="H1277" i="1"/>
  <c r="G1277" i="1"/>
  <c r="N1276" i="1"/>
  <c r="J1276" i="1"/>
  <c r="H1276" i="1"/>
  <c r="K1276" i="1" s="1"/>
  <c r="G1276" i="1"/>
  <c r="N1275" i="1"/>
  <c r="J1275" i="1"/>
  <c r="H1275" i="1"/>
  <c r="G1275" i="1"/>
  <c r="N1274" i="1"/>
  <c r="L1274" i="1"/>
  <c r="I1274" i="1" s="1"/>
  <c r="K1274" i="1"/>
  <c r="J1274" i="1"/>
  <c r="H1274" i="1"/>
  <c r="M1274" i="1" s="1"/>
  <c r="G1274" i="1"/>
  <c r="N1273" i="1"/>
  <c r="J1273" i="1"/>
  <c r="H1273" i="1"/>
  <c r="G1273" i="1"/>
  <c r="N1272" i="1"/>
  <c r="J1272" i="1"/>
  <c r="H1272" i="1"/>
  <c r="G1272" i="1"/>
  <c r="N1271" i="1"/>
  <c r="J1271" i="1"/>
  <c r="H1271" i="1"/>
  <c r="K1271" i="1" s="1"/>
  <c r="G1271" i="1"/>
  <c r="N1270" i="1"/>
  <c r="J1270" i="1"/>
  <c r="H1270" i="1"/>
  <c r="M1270" i="1" s="1"/>
  <c r="G1270" i="1"/>
  <c r="N1269" i="1"/>
  <c r="J1269" i="1"/>
  <c r="H1269" i="1"/>
  <c r="K1269" i="1" s="1"/>
  <c r="G1269" i="1"/>
  <c r="N1268" i="1"/>
  <c r="L1268" i="1" s="1"/>
  <c r="I1268" i="1" s="1"/>
  <c r="J1268" i="1"/>
  <c r="H1268" i="1"/>
  <c r="M1268" i="1" s="1"/>
  <c r="G1268" i="1"/>
  <c r="N1267" i="1"/>
  <c r="J1267" i="1"/>
  <c r="H1267" i="1"/>
  <c r="K1267" i="1" s="1"/>
  <c r="G1267" i="1"/>
  <c r="N1266" i="1"/>
  <c r="J1266" i="1"/>
  <c r="H1266" i="1"/>
  <c r="M1266" i="1" s="1"/>
  <c r="G1266" i="1"/>
  <c r="N1265" i="1"/>
  <c r="J1265" i="1"/>
  <c r="H1265" i="1"/>
  <c r="G1265" i="1"/>
  <c r="N1264" i="1"/>
  <c r="J1264" i="1"/>
  <c r="H1264" i="1"/>
  <c r="G1264" i="1"/>
  <c r="N1263" i="1"/>
  <c r="J1263" i="1"/>
  <c r="H1263" i="1"/>
  <c r="G1263" i="1"/>
  <c r="N1262" i="1"/>
  <c r="L1262" i="1" s="1"/>
  <c r="I1262" i="1" s="1"/>
  <c r="M1262" i="1"/>
  <c r="J1262" i="1"/>
  <c r="H1262" i="1"/>
  <c r="K1262" i="1" s="1"/>
  <c r="G1262" i="1"/>
  <c r="N1261" i="1"/>
  <c r="J1261" i="1"/>
  <c r="H1261" i="1"/>
  <c r="G1261" i="1"/>
  <c r="N1260" i="1"/>
  <c r="M1260" i="1"/>
  <c r="J1260" i="1"/>
  <c r="H1260" i="1"/>
  <c r="L1260" i="1" s="1"/>
  <c r="I1260" i="1" s="1"/>
  <c r="G1260" i="1"/>
  <c r="N1259" i="1"/>
  <c r="J1259" i="1"/>
  <c r="H1259" i="1"/>
  <c r="G1259" i="1"/>
  <c r="N1258" i="1"/>
  <c r="J1258" i="1"/>
  <c r="H1258" i="1"/>
  <c r="G1258" i="1"/>
  <c r="N1257" i="1"/>
  <c r="J1257" i="1"/>
  <c r="H1257" i="1"/>
  <c r="G1257" i="1"/>
  <c r="N1256" i="1"/>
  <c r="J1256" i="1"/>
  <c r="H1256" i="1"/>
  <c r="G1256" i="1"/>
  <c r="N1255" i="1"/>
  <c r="J1255" i="1"/>
  <c r="H1255" i="1"/>
  <c r="K1255" i="1" s="1"/>
  <c r="G1255" i="1"/>
  <c r="N1254" i="1"/>
  <c r="J1254" i="1"/>
  <c r="H1254" i="1"/>
  <c r="M1254" i="1" s="1"/>
  <c r="G1254" i="1"/>
  <c r="N1253" i="1"/>
  <c r="J1253" i="1"/>
  <c r="H1253" i="1"/>
  <c r="K1253" i="1" s="1"/>
  <c r="G1253" i="1"/>
  <c r="N1252" i="1"/>
  <c r="J1252" i="1"/>
  <c r="H1252" i="1"/>
  <c r="M1252" i="1" s="1"/>
  <c r="G1252" i="1"/>
  <c r="N1251" i="1"/>
  <c r="J1251" i="1"/>
  <c r="H1251" i="1"/>
  <c r="K1251" i="1" s="1"/>
  <c r="G1251" i="1"/>
  <c r="N1250" i="1"/>
  <c r="J1250" i="1"/>
  <c r="H1250" i="1"/>
  <c r="M1250" i="1" s="1"/>
  <c r="G1250" i="1"/>
  <c r="N1249" i="1"/>
  <c r="J1249" i="1"/>
  <c r="H1249" i="1"/>
  <c r="G1249" i="1"/>
  <c r="N1248" i="1"/>
  <c r="J1248" i="1"/>
  <c r="H1248" i="1"/>
  <c r="G1248" i="1"/>
  <c r="N1247" i="1"/>
  <c r="J1247" i="1"/>
  <c r="H1247" i="1"/>
  <c r="G1247" i="1"/>
  <c r="N1246" i="1"/>
  <c r="J1246" i="1"/>
  <c r="H1246" i="1"/>
  <c r="K1246" i="1" s="1"/>
  <c r="G1246" i="1"/>
  <c r="N1245" i="1"/>
  <c r="J1245" i="1"/>
  <c r="H1245" i="1"/>
  <c r="G1245" i="1"/>
  <c r="N1244" i="1"/>
  <c r="J1244" i="1"/>
  <c r="H1244" i="1"/>
  <c r="K1244" i="1" s="1"/>
  <c r="G1244" i="1"/>
  <c r="N1243" i="1"/>
  <c r="J1243" i="1"/>
  <c r="H1243" i="1"/>
  <c r="G1243" i="1"/>
  <c r="N1242" i="1"/>
  <c r="K1242" i="1"/>
  <c r="J1242" i="1"/>
  <c r="H1242" i="1"/>
  <c r="M1242" i="1" s="1"/>
  <c r="G1242" i="1"/>
  <c r="N1241" i="1"/>
  <c r="J1241" i="1"/>
  <c r="H1241" i="1"/>
  <c r="G1241" i="1"/>
  <c r="N1240" i="1"/>
  <c r="J1240" i="1"/>
  <c r="H1240" i="1"/>
  <c r="G1240" i="1"/>
  <c r="L1240" i="1" s="1"/>
  <c r="I1240" i="1" s="1"/>
  <c r="N1239" i="1"/>
  <c r="J1239" i="1"/>
  <c r="H1239" i="1"/>
  <c r="M1239" i="1" s="1"/>
  <c r="G1239" i="1"/>
  <c r="N1238" i="1"/>
  <c r="J1238" i="1"/>
  <c r="H1238" i="1"/>
  <c r="M1238" i="1" s="1"/>
  <c r="G1238" i="1"/>
  <c r="N1237" i="1"/>
  <c r="J1237" i="1"/>
  <c r="H1237" i="1"/>
  <c r="G1237" i="1"/>
  <c r="N1236" i="1"/>
  <c r="J1236" i="1"/>
  <c r="H1236" i="1"/>
  <c r="M1236" i="1" s="1"/>
  <c r="G1236" i="1"/>
  <c r="N1235" i="1"/>
  <c r="J1235" i="1"/>
  <c r="H1235" i="1"/>
  <c r="M1235" i="1" s="1"/>
  <c r="G1235" i="1"/>
  <c r="N1234" i="1"/>
  <c r="J1234" i="1"/>
  <c r="H1234" i="1"/>
  <c r="G1234" i="1"/>
  <c r="N1233" i="1"/>
  <c r="J1233" i="1"/>
  <c r="H1233" i="1"/>
  <c r="M1233" i="1" s="1"/>
  <c r="G1233" i="1"/>
  <c r="N1232" i="1"/>
  <c r="J1232" i="1"/>
  <c r="H1232" i="1"/>
  <c r="M1232" i="1" s="1"/>
  <c r="G1232" i="1"/>
  <c r="N1231" i="1"/>
  <c r="K1231" i="1"/>
  <c r="J1231" i="1"/>
  <c r="H1231" i="1"/>
  <c r="M1231" i="1" s="1"/>
  <c r="G1231" i="1"/>
  <c r="N1230" i="1"/>
  <c r="J1230" i="1"/>
  <c r="H1230" i="1"/>
  <c r="M1230" i="1" s="1"/>
  <c r="G1230" i="1"/>
  <c r="K1230" i="1" s="1"/>
  <c r="N1229" i="1"/>
  <c r="J1229" i="1"/>
  <c r="H1229" i="1"/>
  <c r="K1229" i="1" s="1"/>
  <c r="G1229" i="1"/>
  <c r="N1228" i="1"/>
  <c r="J1228" i="1"/>
  <c r="H1228" i="1"/>
  <c r="M1228" i="1" s="1"/>
  <c r="G1228" i="1"/>
  <c r="N1227" i="1"/>
  <c r="M1227" i="1"/>
  <c r="J1227" i="1"/>
  <c r="H1227" i="1"/>
  <c r="K1227" i="1" s="1"/>
  <c r="G1227" i="1"/>
  <c r="N1226" i="1"/>
  <c r="J1226" i="1"/>
  <c r="H1226" i="1"/>
  <c r="M1226" i="1" s="1"/>
  <c r="G1226" i="1"/>
  <c r="N1225" i="1"/>
  <c r="J1225" i="1"/>
  <c r="H1225" i="1"/>
  <c r="K1225" i="1" s="1"/>
  <c r="G1225" i="1"/>
  <c r="N1224" i="1"/>
  <c r="J1224" i="1"/>
  <c r="H1224" i="1"/>
  <c r="M1224" i="1" s="1"/>
  <c r="G1224" i="1"/>
  <c r="N1223" i="1"/>
  <c r="J1223" i="1"/>
  <c r="H1223" i="1"/>
  <c r="M1223" i="1" s="1"/>
  <c r="G1223" i="1"/>
  <c r="N1222" i="1"/>
  <c r="J1222" i="1"/>
  <c r="H1222" i="1"/>
  <c r="G1222" i="1"/>
  <c r="K1222" i="1" s="1"/>
  <c r="N1221" i="1"/>
  <c r="J1221" i="1"/>
  <c r="H1221" i="1"/>
  <c r="M1221" i="1" s="1"/>
  <c r="G1221" i="1"/>
  <c r="N1220" i="1"/>
  <c r="J1220" i="1"/>
  <c r="H1220" i="1"/>
  <c r="G1220" i="1"/>
  <c r="N1219" i="1"/>
  <c r="J1219" i="1"/>
  <c r="H1219" i="1"/>
  <c r="M1219" i="1" s="1"/>
  <c r="G1219" i="1"/>
  <c r="N1218" i="1"/>
  <c r="J1218" i="1"/>
  <c r="H1218" i="1"/>
  <c r="K1218" i="1" s="1"/>
  <c r="G1218" i="1"/>
  <c r="N1217" i="1"/>
  <c r="J1217" i="1"/>
  <c r="H1217" i="1"/>
  <c r="M1217" i="1" s="1"/>
  <c r="G1217" i="1"/>
  <c r="N1216" i="1"/>
  <c r="J1216" i="1"/>
  <c r="H1216" i="1"/>
  <c r="K1216" i="1" s="1"/>
  <c r="G1216" i="1"/>
  <c r="N1215" i="1"/>
  <c r="J1215" i="1"/>
  <c r="H1215" i="1"/>
  <c r="M1215" i="1" s="1"/>
  <c r="G1215" i="1"/>
  <c r="L1215" i="1" s="1"/>
  <c r="I1215" i="1" s="1"/>
  <c r="N1214" i="1"/>
  <c r="J1214" i="1"/>
  <c r="H1214" i="1"/>
  <c r="K1214" i="1" s="1"/>
  <c r="G1214" i="1"/>
  <c r="N1213" i="1"/>
  <c r="J1213" i="1"/>
  <c r="H1213" i="1"/>
  <c r="G1213" i="1"/>
  <c r="N1212" i="1"/>
  <c r="L1212" i="1" s="1"/>
  <c r="I1212" i="1" s="1"/>
  <c r="J1212" i="1"/>
  <c r="H1212" i="1"/>
  <c r="K1212" i="1" s="1"/>
  <c r="G1212" i="1"/>
  <c r="N1211" i="1"/>
  <c r="J1211" i="1"/>
  <c r="H1211" i="1"/>
  <c r="M1211" i="1" s="1"/>
  <c r="G1211" i="1"/>
  <c r="N1210" i="1"/>
  <c r="L1210" i="1" s="1"/>
  <c r="I1210" i="1" s="1"/>
  <c r="J1210" i="1"/>
  <c r="H1210" i="1"/>
  <c r="M1210" i="1" s="1"/>
  <c r="G1210" i="1"/>
  <c r="N1209" i="1"/>
  <c r="J1209" i="1"/>
  <c r="H1209" i="1"/>
  <c r="M1209" i="1" s="1"/>
  <c r="G1209" i="1"/>
  <c r="N1208" i="1"/>
  <c r="J1208" i="1"/>
  <c r="H1208" i="1"/>
  <c r="G1208" i="1"/>
  <c r="N1207" i="1"/>
  <c r="J1207" i="1"/>
  <c r="H1207" i="1"/>
  <c r="M1207" i="1" s="1"/>
  <c r="G1207" i="1"/>
  <c r="N1206" i="1"/>
  <c r="J1206" i="1"/>
  <c r="H1206" i="1"/>
  <c r="G1206" i="1"/>
  <c r="N1205" i="1"/>
  <c r="J1205" i="1"/>
  <c r="H1205" i="1"/>
  <c r="G1205" i="1"/>
  <c r="N1204" i="1"/>
  <c r="J1204" i="1"/>
  <c r="H1204" i="1"/>
  <c r="G1204" i="1"/>
  <c r="N1203" i="1"/>
  <c r="J1203" i="1"/>
  <c r="H1203" i="1"/>
  <c r="M1203" i="1" s="1"/>
  <c r="G1203" i="1"/>
  <c r="N1202" i="1"/>
  <c r="J1202" i="1"/>
  <c r="H1202" i="1"/>
  <c r="M1202" i="1" s="1"/>
  <c r="G1202" i="1"/>
  <c r="N1201" i="1"/>
  <c r="M1201" i="1"/>
  <c r="J1201" i="1"/>
  <c r="H1201" i="1"/>
  <c r="K1201" i="1" s="1"/>
  <c r="G1201" i="1"/>
  <c r="N1200" i="1"/>
  <c r="J1200" i="1"/>
  <c r="H1200" i="1"/>
  <c r="M1200" i="1" s="1"/>
  <c r="G1200" i="1"/>
  <c r="L1200" i="1" s="1"/>
  <c r="I1200" i="1" s="1"/>
  <c r="N1199" i="1"/>
  <c r="J1199" i="1"/>
  <c r="H1199" i="1"/>
  <c r="M1199" i="1" s="1"/>
  <c r="G1199" i="1"/>
  <c r="N1198" i="1"/>
  <c r="L1198" i="1"/>
  <c r="I1198" i="1" s="1"/>
  <c r="J1198" i="1"/>
  <c r="H1198" i="1"/>
  <c r="M1198" i="1" s="1"/>
  <c r="G1198" i="1"/>
  <c r="N1197" i="1"/>
  <c r="J1197" i="1"/>
  <c r="H1197" i="1"/>
  <c r="M1197" i="1" s="1"/>
  <c r="G1197" i="1"/>
  <c r="N1196" i="1"/>
  <c r="K1196" i="1"/>
  <c r="J1196" i="1"/>
  <c r="H1196" i="1"/>
  <c r="M1196" i="1" s="1"/>
  <c r="G1196" i="1"/>
  <c r="N1195" i="1"/>
  <c r="J1195" i="1"/>
  <c r="H1195" i="1"/>
  <c r="M1195" i="1" s="1"/>
  <c r="G1195" i="1"/>
  <c r="N1194" i="1"/>
  <c r="J1194" i="1"/>
  <c r="H1194" i="1"/>
  <c r="M1194" i="1" s="1"/>
  <c r="G1194" i="1"/>
  <c r="N1193" i="1"/>
  <c r="J1193" i="1"/>
  <c r="H1193" i="1"/>
  <c r="G1193" i="1"/>
  <c r="N1192" i="1"/>
  <c r="M1192" i="1"/>
  <c r="J1192" i="1"/>
  <c r="H1192" i="1"/>
  <c r="G1192" i="1"/>
  <c r="L1192" i="1" s="1"/>
  <c r="I1192" i="1" s="1"/>
  <c r="N1191" i="1"/>
  <c r="J1191" i="1"/>
  <c r="H1191" i="1"/>
  <c r="G1191" i="1"/>
  <c r="N1190" i="1"/>
  <c r="J1190" i="1"/>
  <c r="H1190" i="1"/>
  <c r="G1190" i="1"/>
  <c r="N1189" i="1"/>
  <c r="J1189" i="1"/>
  <c r="H1189" i="1"/>
  <c r="M1189" i="1" s="1"/>
  <c r="G1189" i="1"/>
  <c r="N1188" i="1"/>
  <c r="J1188" i="1"/>
  <c r="H1188" i="1"/>
  <c r="G1188" i="1"/>
  <c r="N1187" i="1"/>
  <c r="J1187" i="1"/>
  <c r="H1187" i="1"/>
  <c r="G1187" i="1"/>
  <c r="N1186" i="1"/>
  <c r="J1186" i="1"/>
  <c r="H1186" i="1"/>
  <c r="M1186" i="1" s="1"/>
  <c r="G1186" i="1"/>
  <c r="N1185" i="1"/>
  <c r="J1185" i="1"/>
  <c r="H1185" i="1"/>
  <c r="M1185" i="1" s="1"/>
  <c r="G1185" i="1"/>
  <c r="N1184" i="1"/>
  <c r="J1184" i="1"/>
  <c r="H1184" i="1"/>
  <c r="K1184" i="1" s="1"/>
  <c r="G1184" i="1"/>
  <c r="N1183" i="1"/>
  <c r="J1183" i="1"/>
  <c r="H1183" i="1"/>
  <c r="M1183" i="1" s="1"/>
  <c r="G1183" i="1"/>
  <c r="N1182" i="1"/>
  <c r="J1182" i="1"/>
  <c r="H1182" i="1"/>
  <c r="M1182" i="1" s="1"/>
  <c r="G1182" i="1"/>
  <c r="N1181" i="1"/>
  <c r="J1181" i="1"/>
  <c r="H1181" i="1"/>
  <c r="G1181" i="1"/>
  <c r="N1180" i="1"/>
  <c r="K1180" i="1"/>
  <c r="J1180" i="1"/>
  <c r="H1180" i="1"/>
  <c r="G1180" i="1"/>
  <c r="M1180" i="1" s="1"/>
  <c r="N1179" i="1"/>
  <c r="J1179" i="1"/>
  <c r="H1179" i="1"/>
  <c r="M1179" i="1" s="1"/>
  <c r="G1179" i="1"/>
  <c r="L1179" i="1" s="1"/>
  <c r="I1179" i="1" s="1"/>
  <c r="N1178" i="1"/>
  <c r="L1178" i="1"/>
  <c r="I1178" i="1" s="1"/>
  <c r="J1178" i="1"/>
  <c r="H1178" i="1"/>
  <c r="M1178" i="1" s="1"/>
  <c r="G1178" i="1"/>
  <c r="N1177" i="1"/>
  <c r="J1177" i="1"/>
  <c r="H1177" i="1"/>
  <c r="M1177" i="1" s="1"/>
  <c r="G1177" i="1"/>
  <c r="N1176" i="1"/>
  <c r="J1176" i="1"/>
  <c r="H1176" i="1"/>
  <c r="M1176" i="1" s="1"/>
  <c r="G1176" i="1"/>
  <c r="N1175" i="1"/>
  <c r="J1175" i="1"/>
  <c r="H1175" i="1"/>
  <c r="M1175" i="1" s="1"/>
  <c r="G1175" i="1"/>
  <c r="N1174" i="1"/>
  <c r="J1174" i="1"/>
  <c r="H1174" i="1"/>
  <c r="G1174" i="1"/>
  <c r="N1173" i="1"/>
  <c r="J1173" i="1"/>
  <c r="H1173" i="1"/>
  <c r="G1173" i="1"/>
  <c r="N1172" i="1"/>
  <c r="J1172" i="1"/>
  <c r="H1172" i="1"/>
  <c r="M1172" i="1" s="1"/>
  <c r="G1172" i="1"/>
  <c r="N1171" i="1"/>
  <c r="J1171" i="1"/>
  <c r="H1171" i="1"/>
  <c r="K1171" i="1" s="1"/>
  <c r="G1171" i="1"/>
  <c r="N1170" i="1"/>
  <c r="J1170" i="1"/>
  <c r="H1170" i="1"/>
  <c r="G1170" i="1"/>
  <c r="N1169" i="1"/>
  <c r="J1169" i="1"/>
  <c r="H1169" i="1"/>
  <c r="K1169" i="1" s="1"/>
  <c r="G1169" i="1"/>
  <c r="N1168" i="1"/>
  <c r="M1168" i="1"/>
  <c r="J1168" i="1"/>
  <c r="H1168" i="1"/>
  <c r="G1168" i="1"/>
  <c r="N1167" i="1"/>
  <c r="J1167" i="1"/>
  <c r="H1167" i="1"/>
  <c r="M1167" i="1" s="1"/>
  <c r="G1167" i="1"/>
  <c r="N1166" i="1"/>
  <c r="L1166" i="1" s="1"/>
  <c r="I1166" i="1" s="1"/>
  <c r="J1166" i="1"/>
  <c r="H1166" i="1"/>
  <c r="M1166" i="1" s="1"/>
  <c r="G1166" i="1"/>
  <c r="K1166" i="1" s="1"/>
  <c r="N1165" i="1"/>
  <c r="J1165" i="1"/>
  <c r="H1165" i="1"/>
  <c r="G1165" i="1"/>
  <c r="N1164" i="1"/>
  <c r="J1164" i="1"/>
  <c r="H1164" i="1"/>
  <c r="M1164" i="1" s="1"/>
  <c r="G1164" i="1"/>
  <c r="N1163" i="1"/>
  <c r="J1163" i="1"/>
  <c r="H1163" i="1"/>
  <c r="K1163" i="1" s="1"/>
  <c r="G1163" i="1"/>
  <c r="N1162" i="1"/>
  <c r="J1162" i="1"/>
  <c r="H1162" i="1"/>
  <c r="M1162" i="1" s="1"/>
  <c r="G1162" i="1"/>
  <c r="N1161" i="1"/>
  <c r="J1161" i="1"/>
  <c r="H1161" i="1"/>
  <c r="G1161" i="1"/>
  <c r="N1160" i="1"/>
  <c r="J1160" i="1"/>
  <c r="H1160" i="1"/>
  <c r="M1160" i="1" s="1"/>
  <c r="G1160" i="1"/>
  <c r="N1159" i="1"/>
  <c r="J1159" i="1"/>
  <c r="H1159" i="1"/>
  <c r="M1159" i="1" s="1"/>
  <c r="G1159" i="1"/>
  <c r="N1158" i="1"/>
  <c r="J1158" i="1"/>
  <c r="H1158" i="1"/>
  <c r="G1158" i="1"/>
  <c r="N1157" i="1"/>
  <c r="J1157" i="1"/>
  <c r="H1157" i="1"/>
  <c r="M1157" i="1" s="1"/>
  <c r="G1157" i="1"/>
  <c r="N1156" i="1"/>
  <c r="J1156" i="1"/>
  <c r="H1156" i="1"/>
  <c r="G1156" i="1"/>
  <c r="N1155" i="1"/>
  <c r="J1155" i="1"/>
  <c r="H1155" i="1"/>
  <c r="G1155" i="1"/>
  <c r="N1154" i="1"/>
  <c r="J1154" i="1"/>
  <c r="H1154" i="1"/>
  <c r="M1154" i="1" s="1"/>
  <c r="G1154" i="1"/>
  <c r="N1153" i="1"/>
  <c r="J1153" i="1"/>
  <c r="H1153" i="1"/>
  <c r="M1153" i="1" s="1"/>
  <c r="G1153" i="1"/>
  <c r="N1152" i="1"/>
  <c r="K1152" i="1"/>
  <c r="J1152" i="1"/>
  <c r="H1152" i="1"/>
  <c r="M1152" i="1" s="1"/>
  <c r="G1152" i="1"/>
  <c r="N1151" i="1"/>
  <c r="J1151" i="1"/>
  <c r="H1151" i="1"/>
  <c r="M1151" i="1" s="1"/>
  <c r="G1151" i="1"/>
  <c r="L1151" i="1" s="1"/>
  <c r="I1151" i="1" s="1"/>
  <c r="N1150" i="1"/>
  <c r="J1150" i="1"/>
  <c r="H1150" i="1"/>
  <c r="M1150" i="1" s="1"/>
  <c r="G1150" i="1"/>
  <c r="N1149" i="1"/>
  <c r="J1149" i="1"/>
  <c r="H1149" i="1"/>
  <c r="G1149" i="1"/>
  <c r="N1148" i="1"/>
  <c r="J1148" i="1"/>
  <c r="H1148" i="1"/>
  <c r="M1148" i="1" s="1"/>
  <c r="G1148" i="1"/>
  <c r="N1147" i="1"/>
  <c r="J1147" i="1"/>
  <c r="H1147" i="1"/>
  <c r="M1147" i="1" s="1"/>
  <c r="G1147" i="1"/>
  <c r="N1146" i="1"/>
  <c r="L1146" i="1" s="1"/>
  <c r="I1146" i="1" s="1"/>
  <c r="J1146" i="1"/>
  <c r="H1146" i="1"/>
  <c r="G1146" i="1"/>
  <c r="K1146" i="1" s="1"/>
  <c r="N1145" i="1"/>
  <c r="J1145" i="1"/>
  <c r="H1145" i="1"/>
  <c r="M1145" i="1" s="1"/>
  <c r="G1145" i="1"/>
  <c r="N1144" i="1"/>
  <c r="J1144" i="1"/>
  <c r="H1144" i="1"/>
  <c r="G1144" i="1"/>
  <c r="N1143" i="1"/>
  <c r="J1143" i="1"/>
  <c r="H1143" i="1"/>
  <c r="M1143" i="1" s="1"/>
  <c r="G1143" i="1"/>
  <c r="N1142" i="1"/>
  <c r="J1142" i="1"/>
  <c r="H1142" i="1"/>
  <c r="G1142" i="1"/>
  <c r="N1141" i="1"/>
  <c r="J1141" i="1"/>
  <c r="H1141" i="1"/>
  <c r="G1141" i="1"/>
  <c r="N1140" i="1"/>
  <c r="J1140" i="1"/>
  <c r="H1140" i="1"/>
  <c r="M1140" i="1" s="1"/>
  <c r="G1140" i="1"/>
  <c r="N1139" i="1"/>
  <c r="J1139" i="1"/>
  <c r="H1139" i="1"/>
  <c r="K1139" i="1" s="1"/>
  <c r="G1139" i="1"/>
  <c r="N1138" i="1"/>
  <c r="J1138" i="1"/>
  <c r="H1138" i="1"/>
  <c r="G1138" i="1"/>
  <c r="N1137" i="1"/>
  <c r="J1137" i="1"/>
  <c r="H1137" i="1"/>
  <c r="M1137" i="1" s="1"/>
  <c r="G1137" i="1"/>
  <c r="N1136" i="1"/>
  <c r="J1136" i="1"/>
  <c r="H1136" i="1"/>
  <c r="G1136" i="1"/>
  <c r="N1135" i="1"/>
  <c r="J1135" i="1"/>
  <c r="H1135" i="1"/>
  <c r="K1135" i="1" s="1"/>
  <c r="G1135" i="1"/>
  <c r="N1134" i="1"/>
  <c r="L1134" i="1" s="1"/>
  <c r="I1134" i="1" s="1"/>
  <c r="J1134" i="1"/>
  <c r="H1134" i="1"/>
  <c r="M1134" i="1" s="1"/>
  <c r="G1134" i="1"/>
  <c r="N1133" i="1"/>
  <c r="J1133" i="1"/>
  <c r="H1133" i="1"/>
  <c r="M1133" i="1" s="1"/>
  <c r="G1133" i="1"/>
  <c r="N1132" i="1"/>
  <c r="J1132" i="1"/>
  <c r="H1132" i="1"/>
  <c r="M1132" i="1" s="1"/>
  <c r="G1132" i="1"/>
  <c r="N1131" i="1"/>
  <c r="J1131" i="1"/>
  <c r="H1131" i="1"/>
  <c r="M1131" i="1" s="1"/>
  <c r="G1131" i="1"/>
  <c r="N1130" i="1"/>
  <c r="J1130" i="1"/>
  <c r="H1130" i="1"/>
  <c r="M1130" i="1" s="1"/>
  <c r="G1130" i="1"/>
  <c r="N1129" i="1"/>
  <c r="J1129" i="1"/>
  <c r="H1129" i="1"/>
  <c r="M1129" i="1" s="1"/>
  <c r="G1129" i="1"/>
  <c r="N1128" i="1"/>
  <c r="J1128" i="1"/>
  <c r="H1128" i="1"/>
  <c r="M1128" i="1" s="1"/>
  <c r="G1128" i="1"/>
  <c r="N1127" i="1"/>
  <c r="J1127" i="1"/>
  <c r="H1127" i="1"/>
  <c r="M1127" i="1" s="1"/>
  <c r="G1127" i="1"/>
  <c r="N1126" i="1"/>
  <c r="J1126" i="1"/>
  <c r="H1126" i="1"/>
  <c r="M1126" i="1" s="1"/>
  <c r="G1126" i="1"/>
  <c r="N1125" i="1"/>
  <c r="J1125" i="1"/>
  <c r="H1125" i="1"/>
  <c r="G1125" i="1"/>
  <c r="N1124" i="1"/>
  <c r="J1124" i="1"/>
  <c r="H1124" i="1"/>
  <c r="M1124" i="1" s="1"/>
  <c r="G1124" i="1"/>
  <c r="N1123" i="1"/>
  <c r="J1123" i="1"/>
  <c r="G1123" i="1"/>
  <c r="N1122" i="1"/>
  <c r="J1122" i="1"/>
  <c r="H1122" i="1"/>
  <c r="K1122" i="1" s="1"/>
  <c r="G1122" i="1"/>
  <c r="N1121" i="1"/>
  <c r="M1121" i="1"/>
  <c r="J1121" i="1"/>
  <c r="H1121" i="1"/>
  <c r="G1121" i="1"/>
  <c r="K1121" i="1" s="1"/>
  <c r="N1120" i="1"/>
  <c r="J1120" i="1"/>
  <c r="H1120" i="1"/>
  <c r="M1120" i="1" s="1"/>
  <c r="G1120" i="1"/>
  <c r="N1119" i="1"/>
  <c r="J1119" i="1"/>
  <c r="H1119" i="1"/>
  <c r="M1119" i="1" s="1"/>
  <c r="G1119" i="1"/>
  <c r="N1118" i="1"/>
  <c r="J1118" i="1"/>
  <c r="H1118" i="1"/>
  <c r="M1118" i="1" s="1"/>
  <c r="G1118" i="1"/>
  <c r="N1117" i="1"/>
  <c r="J1117" i="1"/>
  <c r="H1117" i="1"/>
  <c r="M1117" i="1" s="1"/>
  <c r="G1117" i="1"/>
  <c r="K1117" i="1" s="1"/>
  <c r="N1116" i="1"/>
  <c r="J1116" i="1"/>
  <c r="H1116" i="1"/>
  <c r="G1116" i="1"/>
  <c r="N1115" i="1"/>
  <c r="J1115" i="1"/>
  <c r="H1115" i="1"/>
  <c r="M1115" i="1" s="1"/>
  <c r="G1115" i="1"/>
  <c r="N1114" i="1"/>
  <c r="J1114" i="1"/>
  <c r="H1114" i="1"/>
  <c r="M1114" i="1" s="1"/>
  <c r="G1114" i="1"/>
  <c r="N1113" i="1"/>
  <c r="J1113" i="1"/>
  <c r="H1113" i="1"/>
  <c r="M1113" i="1" s="1"/>
  <c r="G1113" i="1"/>
  <c r="N1112" i="1"/>
  <c r="J1112" i="1"/>
  <c r="H1112" i="1"/>
  <c r="M1112" i="1" s="1"/>
  <c r="G1112" i="1"/>
  <c r="N1111" i="1"/>
  <c r="J1111" i="1"/>
  <c r="H1111" i="1"/>
  <c r="G1111" i="1"/>
  <c r="N1110" i="1"/>
  <c r="J1110" i="1"/>
  <c r="H1110" i="1"/>
  <c r="M1110" i="1" s="1"/>
  <c r="G1110" i="1"/>
  <c r="N1109" i="1"/>
  <c r="J1109" i="1"/>
  <c r="H1109" i="1"/>
  <c r="M1109" i="1" s="1"/>
  <c r="G1109" i="1"/>
  <c r="N1108" i="1"/>
  <c r="J1108" i="1"/>
  <c r="H1108" i="1"/>
  <c r="G1108" i="1"/>
  <c r="N1107" i="1"/>
  <c r="J1107" i="1"/>
  <c r="H1107" i="1"/>
  <c r="M1107" i="1" s="1"/>
  <c r="G1107" i="1"/>
  <c r="N1106" i="1"/>
  <c r="J1106" i="1"/>
  <c r="H1106" i="1"/>
  <c r="G1106" i="1"/>
  <c r="N1105" i="1"/>
  <c r="J1105" i="1"/>
  <c r="H1105" i="1"/>
  <c r="M1105" i="1" s="1"/>
  <c r="G1105" i="1"/>
  <c r="N1104" i="1"/>
  <c r="J1104" i="1"/>
  <c r="H1104" i="1"/>
  <c r="M1104" i="1" s="1"/>
  <c r="G1104" i="1"/>
  <c r="N1103" i="1"/>
  <c r="J1103" i="1"/>
  <c r="H1103" i="1"/>
  <c r="M1103" i="1" s="1"/>
  <c r="G1103" i="1"/>
  <c r="K1103" i="1" s="1"/>
  <c r="N1102" i="1"/>
  <c r="J1102" i="1"/>
  <c r="H1102" i="1"/>
  <c r="M1102" i="1" s="1"/>
  <c r="G1102" i="1"/>
  <c r="N1101" i="1"/>
  <c r="J1101" i="1"/>
  <c r="H1101" i="1"/>
  <c r="M1101" i="1" s="1"/>
  <c r="G1101" i="1"/>
  <c r="N1100" i="1"/>
  <c r="J1100" i="1"/>
  <c r="H1100" i="1"/>
  <c r="M1100" i="1" s="1"/>
  <c r="G1100" i="1"/>
  <c r="N1099" i="1"/>
  <c r="J1099" i="1"/>
  <c r="H1099" i="1"/>
  <c r="G1099" i="1"/>
  <c r="N1098" i="1"/>
  <c r="J1098" i="1"/>
  <c r="H1098" i="1"/>
  <c r="M1098" i="1" s="1"/>
  <c r="G1098" i="1"/>
  <c r="N1097" i="1"/>
  <c r="J1097" i="1"/>
  <c r="H1097" i="1"/>
  <c r="M1097" i="1" s="1"/>
  <c r="G1097" i="1"/>
  <c r="N1096" i="1"/>
  <c r="L1096" i="1" s="1"/>
  <c r="I1096" i="1" s="1"/>
  <c r="J1096" i="1"/>
  <c r="H1096" i="1"/>
  <c r="M1096" i="1" s="1"/>
  <c r="G1096" i="1"/>
  <c r="N1095" i="1"/>
  <c r="J1095" i="1"/>
  <c r="H1095" i="1"/>
  <c r="G1095" i="1"/>
  <c r="N1094" i="1"/>
  <c r="K1094" i="1"/>
  <c r="J1094" i="1"/>
  <c r="H1094" i="1"/>
  <c r="G1094" i="1"/>
  <c r="N1093" i="1"/>
  <c r="J1093" i="1"/>
  <c r="H1093" i="1"/>
  <c r="G1093" i="1"/>
  <c r="N1092" i="1"/>
  <c r="L1092" i="1" s="1"/>
  <c r="I1092" i="1" s="1"/>
  <c r="J1092" i="1"/>
  <c r="H1092" i="1"/>
  <c r="M1092" i="1" s="1"/>
  <c r="G1092" i="1"/>
  <c r="N1091" i="1"/>
  <c r="J1091" i="1"/>
  <c r="H1091" i="1"/>
  <c r="G1091" i="1"/>
  <c r="N1090" i="1"/>
  <c r="J1090" i="1"/>
  <c r="H1090" i="1"/>
  <c r="M1090" i="1" s="1"/>
  <c r="G1090" i="1"/>
  <c r="N1089" i="1"/>
  <c r="J1089" i="1"/>
  <c r="H1089" i="1"/>
  <c r="G1089" i="1"/>
  <c r="N1088" i="1"/>
  <c r="J1088" i="1"/>
  <c r="H1088" i="1"/>
  <c r="M1088" i="1" s="1"/>
  <c r="G1088" i="1"/>
  <c r="N1087" i="1"/>
  <c r="J1087" i="1"/>
  <c r="H1087" i="1"/>
  <c r="M1087" i="1" s="1"/>
  <c r="G1087" i="1"/>
  <c r="N1086" i="1"/>
  <c r="J1086" i="1"/>
  <c r="H1086" i="1"/>
  <c r="G1086" i="1"/>
  <c r="N1085" i="1"/>
  <c r="J1085" i="1"/>
  <c r="H1085" i="1"/>
  <c r="M1085" i="1" s="1"/>
  <c r="G1085" i="1"/>
  <c r="K1085" i="1" s="1"/>
  <c r="N1084" i="1"/>
  <c r="J1084" i="1"/>
  <c r="H1084" i="1"/>
  <c r="G1084" i="1"/>
  <c r="N1083" i="1"/>
  <c r="J1083" i="1"/>
  <c r="H1083" i="1"/>
  <c r="M1083" i="1" s="1"/>
  <c r="G1083" i="1"/>
  <c r="N1082" i="1"/>
  <c r="J1082" i="1"/>
  <c r="H1082" i="1"/>
  <c r="M1082" i="1" s="1"/>
  <c r="G1082" i="1"/>
  <c r="N1081" i="1"/>
  <c r="J1081" i="1"/>
  <c r="H1081" i="1"/>
  <c r="M1081" i="1" s="1"/>
  <c r="G1081" i="1"/>
  <c r="N1080" i="1"/>
  <c r="J1080" i="1"/>
  <c r="H1080" i="1"/>
  <c r="K1080" i="1" s="1"/>
  <c r="G1080" i="1"/>
  <c r="N1079" i="1"/>
  <c r="J1079" i="1"/>
  <c r="H1079" i="1"/>
  <c r="G1079" i="1"/>
  <c r="N1078" i="1"/>
  <c r="J1078" i="1"/>
  <c r="H1078" i="1"/>
  <c r="G1078" i="1"/>
  <c r="N1077" i="1"/>
  <c r="L1077" i="1" s="1"/>
  <c r="I1077" i="1" s="1"/>
  <c r="M1077" i="1"/>
  <c r="J1077" i="1"/>
  <c r="H1077" i="1"/>
  <c r="G1077" i="1"/>
  <c r="N1076" i="1"/>
  <c r="J1076" i="1"/>
  <c r="H1076" i="1"/>
  <c r="M1076" i="1" s="1"/>
  <c r="G1076" i="1"/>
  <c r="N1075" i="1"/>
  <c r="M1075" i="1"/>
  <c r="J1075" i="1"/>
  <c r="H1075" i="1"/>
  <c r="G1075" i="1"/>
  <c r="N1074" i="1"/>
  <c r="J1074" i="1"/>
  <c r="H1074" i="1"/>
  <c r="M1074" i="1" s="1"/>
  <c r="G1074" i="1"/>
  <c r="N1073" i="1"/>
  <c r="J1073" i="1"/>
  <c r="H1073" i="1"/>
  <c r="G1073" i="1"/>
  <c r="N1072" i="1"/>
  <c r="J1072" i="1"/>
  <c r="H1072" i="1"/>
  <c r="M1072" i="1" s="1"/>
  <c r="G1072" i="1"/>
  <c r="N1071" i="1"/>
  <c r="J1071" i="1"/>
  <c r="H1071" i="1"/>
  <c r="M1071" i="1" s="1"/>
  <c r="G1071" i="1"/>
  <c r="N1070" i="1"/>
  <c r="K1070" i="1"/>
  <c r="J1070" i="1"/>
  <c r="H1070" i="1"/>
  <c r="M1070" i="1" s="1"/>
  <c r="G1070" i="1"/>
  <c r="N1069" i="1"/>
  <c r="J1069" i="1"/>
  <c r="H1069" i="1"/>
  <c r="G1069" i="1"/>
  <c r="N1068" i="1"/>
  <c r="J1068" i="1"/>
  <c r="H1068" i="1"/>
  <c r="G1068" i="1"/>
  <c r="N1067" i="1"/>
  <c r="J1067" i="1"/>
  <c r="H1067" i="1"/>
  <c r="G1067" i="1"/>
  <c r="N1066" i="1"/>
  <c r="J1066" i="1"/>
  <c r="H1066" i="1"/>
  <c r="M1066" i="1" s="1"/>
  <c r="G1066" i="1"/>
  <c r="N1065" i="1"/>
  <c r="L1065" i="1"/>
  <c r="I1065" i="1" s="1"/>
  <c r="J1065" i="1"/>
  <c r="H1065" i="1"/>
  <c r="G1065" i="1"/>
  <c r="N1064" i="1"/>
  <c r="J1064" i="1"/>
  <c r="H1064" i="1"/>
  <c r="G1064" i="1"/>
  <c r="N1063" i="1"/>
  <c r="J1063" i="1"/>
  <c r="H1063" i="1"/>
  <c r="G1063" i="1"/>
  <c r="N1062" i="1"/>
  <c r="J1062" i="1"/>
  <c r="H1062" i="1"/>
  <c r="G1062" i="1"/>
  <c r="N1061" i="1"/>
  <c r="J1061" i="1"/>
  <c r="H1061" i="1"/>
  <c r="G1061" i="1"/>
  <c r="N1060" i="1"/>
  <c r="M1060" i="1"/>
  <c r="K1060" i="1"/>
  <c r="J1060" i="1"/>
  <c r="H1060" i="1"/>
  <c r="L1060" i="1" s="1"/>
  <c r="I1060" i="1" s="1"/>
  <c r="G1060" i="1"/>
  <c r="N1059" i="1"/>
  <c r="J1059" i="1"/>
  <c r="H1059" i="1"/>
  <c r="M1059" i="1" s="1"/>
  <c r="G1059" i="1"/>
  <c r="N1058" i="1"/>
  <c r="J1058" i="1"/>
  <c r="H1058" i="1"/>
  <c r="M1058" i="1" s="1"/>
  <c r="G1058" i="1"/>
  <c r="N1057" i="1"/>
  <c r="J1057" i="1"/>
  <c r="H1057" i="1"/>
  <c r="M1057" i="1" s="1"/>
  <c r="G1057" i="1"/>
  <c r="N1056" i="1"/>
  <c r="J1056" i="1"/>
  <c r="H1056" i="1"/>
  <c r="G1056" i="1"/>
  <c r="N1055" i="1"/>
  <c r="J1055" i="1"/>
  <c r="H1055" i="1"/>
  <c r="M1055" i="1" s="1"/>
  <c r="G1055" i="1"/>
  <c r="N1054" i="1"/>
  <c r="M1054" i="1"/>
  <c r="K1054" i="1"/>
  <c r="J1054" i="1"/>
  <c r="H1054" i="1"/>
  <c r="G1054" i="1"/>
  <c r="N1053" i="1"/>
  <c r="J1053" i="1"/>
  <c r="H1053" i="1"/>
  <c r="M1053" i="1" s="1"/>
  <c r="G1053" i="1"/>
  <c r="N1052" i="1"/>
  <c r="J1052" i="1"/>
  <c r="H1052" i="1"/>
  <c r="M1052" i="1" s="1"/>
  <c r="G1052" i="1"/>
  <c r="N1051" i="1"/>
  <c r="J1051" i="1"/>
  <c r="H1051" i="1"/>
  <c r="M1051" i="1" s="1"/>
  <c r="G1051" i="1"/>
  <c r="N1050" i="1"/>
  <c r="J1050" i="1"/>
  <c r="H1050" i="1"/>
  <c r="M1050" i="1" s="1"/>
  <c r="G1050" i="1"/>
  <c r="N1049" i="1"/>
  <c r="J1049" i="1"/>
  <c r="H1049" i="1"/>
  <c r="M1049" i="1" s="1"/>
  <c r="G1049" i="1"/>
  <c r="N1048" i="1"/>
  <c r="J1048" i="1"/>
  <c r="H1048" i="1"/>
  <c r="M1048" i="1" s="1"/>
  <c r="G1048" i="1"/>
  <c r="N1047" i="1"/>
  <c r="J1047" i="1"/>
  <c r="H1047" i="1"/>
  <c r="G1047" i="1"/>
  <c r="N1046" i="1"/>
  <c r="J1046" i="1"/>
  <c r="H1046" i="1"/>
  <c r="M1046" i="1" s="1"/>
  <c r="G1046" i="1"/>
  <c r="N1045" i="1"/>
  <c r="J1045" i="1"/>
  <c r="H1045" i="1"/>
  <c r="M1045" i="1" s="1"/>
  <c r="G1045" i="1"/>
  <c r="N1044" i="1"/>
  <c r="J1044" i="1"/>
  <c r="H1044" i="1"/>
  <c r="M1044" i="1" s="1"/>
  <c r="G1044" i="1"/>
  <c r="N1043" i="1"/>
  <c r="J1043" i="1"/>
  <c r="H1043" i="1"/>
  <c r="G1043" i="1"/>
  <c r="N1042" i="1"/>
  <c r="J1042" i="1"/>
  <c r="H1042" i="1"/>
  <c r="M1042" i="1" s="1"/>
  <c r="G1042" i="1"/>
  <c r="N1041" i="1"/>
  <c r="J1041" i="1"/>
  <c r="H1041" i="1"/>
  <c r="M1041" i="1" s="1"/>
  <c r="G1041" i="1"/>
  <c r="N1040" i="1"/>
  <c r="J1040" i="1"/>
  <c r="H1040" i="1"/>
  <c r="M1040" i="1" s="1"/>
  <c r="G1040" i="1"/>
  <c r="N1039" i="1"/>
  <c r="J1039" i="1"/>
  <c r="H1039" i="1"/>
  <c r="G1039" i="1"/>
  <c r="N1038" i="1"/>
  <c r="J1038" i="1"/>
  <c r="H1038" i="1"/>
  <c r="M1038" i="1" s="1"/>
  <c r="G1038" i="1"/>
  <c r="N1037" i="1"/>
  <c r="L1037" i="1" s="1"/>
  <c r="I1037" i="1" s="1"/>
  <c r="J1037" i="1"/>
  <c r="H1037" i="1"/>
  <c r="M1037" i="1" s="1"/>
  <c r="G1037" i="1"/>
  <c r="N1036" i="1"/>
  <c r="J1036" i="1"/>
  <c r="H1036" i="1"/>
  <c r="G1036" i="1"/>
  <c r="N1035" i="1"/>
  <c r="M1035" i="1"/>
  <c r="L1035" i="1"/>
  <c r="I1035" i="1" s="1"/>
  <c r="J1035" i="1"/>
  <c r="H1035" i="1"/>
  <c r="K1035" i="1" s="1"/>
  <c r="G1035" i="1"/>
  <c r="N1034" i="1"/>
  <c r="J1034" i="1"/>
  <c r="H1034" i="1"/>
  <c r="M1034" i="1" s="1"/>
  <c r="G1034" i="1"/>
  <c r="N1033" i="1"/>
  <c r="J1033" i="1"/>
  <c r="H1033" i="1"/>
  <c r="G1033" i="1"/>
  <c r="N1032" i="1"/>
  <c r="J1032" i="1"/>
  <c r="H1032" i="1"/>
  <c r="G1032" i="1"/>
  <c r="N1031" i="1"/>
  <c r="J1031" i="1"/>
  <c r="H1031" i="1"/>
  <c r="M1031" i="1" s="1"/>
  <c r="G1031" i="1"/>
  <c r="N1030" i="1"/>
  <c r="J1030" i="1"/>
  <c r="H1030" i="1"/>
  <c r="M1030" i="1" s="1"/>
  <c r="G1030" i="1"/>
  <c r="N1029" i="1"/>
  <c r="J1029" i="1"/>
  <c r="H1029" i="1"/>
  <c r="M1029" i="1" s="1"/>
  <c r="G1029" i="1"/>
  <c r="N1028" i="1"/>
  <c r="K1028" i="1"/>
  <c r="J1028" i="1"/>
  <c r="H1028" i="1"/>
  <c r="G1028" i="1"/>
  <c r="N1027" i="1"/>
  <c r="J1027" i="1"/>
  <c r="H1027" i="1"/>
  <c r="G1027" i="1"/>
  <c r="L1027" i="1" s="1"/>
  <c r="I1027" i="1" s="1"/>
  <c r="N1026" i="1"/>
  <c r="J1026" i="1"/>
  <c r="H1026" i="1"/>
  <c r="M1026" i="1" s="1"/>
  <c r="G1026" i="1"/>
  <c r="N1025" i="1"/>
  <c r="J1025" i="1"/>
  <c r="H1025" i="1"/>
  <c r="M1025" i="1" s="1"/>
  <c r="G1025" i="1"/>
  <c r="N1024" i="1"/>
  <c r="J1024" i="1"/>
  <c r="H1024" i="1"/>
  <c r="M1024" i="1" s="1"/>
  <c r="G1024" i="1"/>
  <c r="N1023" i="1"/>
  <c r="J1023" i="1"/>
  <c r="H1023" i="1"/>
  <c r="M1023" i="1" s="1"/>
  <c r="G1023" i="1"/>
  <c r="N1022" i="1"/>
  <c r="J1022" i="1"/>
  <c r="H1022" i="1"/>
  <c r="G1022" i="1"/>
  <c r="N1021" i="1"/>
  <c r="J1021" i="1"/>
  <c r="H1021" i="1"/>
  <c r="M1021" i="1" s="1"/>
  <c r="G1021" i="1"/>
  <c r="N1020" i="1"/>
  <c r="K1020" i="1"/>
  <c r="J1020" i="1"/>
  <c r="H1020" i="1"/>
  <c r="G1020" i="1"/>
  <c r="N1019" i="1"/>
  <c r="J1019" i="1"/>
  <c r="H1019" i="1"/>
  <c r="M1019" i="1" s="1"/>
  <c r="G1019" i="1"/>
  <c r="N1018" i="1"/>
  <c r="J1018" i="1"/>
  <c r="H1018" i="1"/>
  <c r="M1018" i="1" s="1"/>
  <c r="G1018" i="1"/>
  <c r="N1017" i="1"/>
  <c r="J1017" i="1"/>
  <c r="H1017" i="1"/>
  <c r="K1017" i="1" s="1"/>
  <c r="G1017" i="1"/>
  <c r="N1016" i="1"/>
  <c r="J1016" i="1"/>
  <c r="H1016" i="1"/>
  <c r="G1016" i="1"/>
  <c r="N1015" i="1"/>
  <c r="J1015" i="1"/>
  <c r="H1015" i="1"/>
  <c r="M1015" i="1" s="1"/>
  <c r="G1015" i="1"/>
  <c r="N1014" i="1"/>
  <c r="J1014" i="1"/>
  <c r="H1014" i="1"/>
  <c r="M1014" i="1" s="1"/>
  <c r="G1014" i="1"/>
  <c r="N1013" i="1"/>
  <c r="J1013" i="1"/>
  <c r="H1013" i="1"/>
  <c r="G1013" i="1"/>
  <c r="N1012" i="1"/>
  <c r="J1012" i="1"/>
  <c r="H1012" i="1"/>
  <c r="K1012" i="1" s="1"/>
  <c r="G1012" i="1"/>
  <c r="N1011" i="1"/>
  <c r="K1011" i="1"/>
  <c r="J1011" i="1"/>
  <c r="H1011" i="1"/>
  <c r="G1011" i="1"/>
  <c r="L1011" i="1" s="1"/>
  <c r="I1011" i="1" s="1"/>
  <c r="N1010" i="1"/>
  <c r="K1010" i="1"/>
  <c r="J1010" i="1"/>
  <c r="H1010" i="1"/>
  <c r="M1010" i="1" s="1"/>
  <c r="G1010" i="1"/>
  <c r="N1009" i="1"/>
  <c r="J1009" i="1"/>
  <c r="H1009" i="1"/>
  <c r="M1009" i="1" s="1"/>
  <c r="G1009" i="1"/>
  <c r="N1008" i="1"/>
  <c r="J1008" i="1"/>
  <c r="H1008" i="1"/>
  <c r="G1008" i="1"/>
  <c r="N1007" i="1"/>
  <c r="J1007" i="1"/>
  <c r="H1007" i="1"/>
  <c r="M1007" i="1" s="1"/>
  <c r="G1007" i="1"/>
  <c r="N1006" i="1"/>
  <c r="J1006" i="1"/>
  <c r="H1006" i="1"/>
  <c r="M1006" i="1" s="1"/>
  <c r="G1006" i="1"/>
  <c r="N1005" i="1"/>
  <c r="L1005" i="1" s="1"/>
  <c r="I1005" i="1" s="1"/>
  <c r="J1005" i="1"/>
  <c r="H1005" i="1"/>
  <c r="M1005" i="1" s="1"/>
  <c r="G1005" i="1"/>
  <c r="K1005" i="1" s="1"/>
  <c r="N1004" i="1"/>
  <c r="J1004" i="1"/>
  <c r="H1004" i="1"/>
  <c r="M1004" i="1" s="1"/>
  <c r="G1004" i="1"/>
  <c r="N1003" i="1"/>
  <c r="M1003" i="1"/>
  <c r="K1003" i="1"/>
  <c r="J1003" i="1"/>
  <c r="H1003" i="1"/>
  <c r="G1003" i="1"/>
  <c r="N1002" i="1"/>
  <c r="J1002" i="1"/>
  <c r="H1002" i="1"/>
  <c r="M1002" i="1" s="1"/>
  <c r="G1002" i="1"/>
  <c r="N1001" i="1"/>
  <c r="L1001" i="1" s="1"/>
  <c r="I1001" i="1" s="1"/>
  <c r="J1001" i="1"/>
  <c r="H1001" i="1"/>
  <c r="K1001" i="1" s="1"/>
  <c r="G1001" i="1"/>
  <c r="N1000" i="1"/>
  <c r="J1000" i="1"/>
  <c r="H1000" i="1"/>
  <c r="G1000" i="1"/>
  <c r="N999" i="1"/>
  <c r="J999" i="1"/>
  <c r="H999" i="1"/>
  <c r="M999" i="1" s="1"/>
  <c r="G999" i="1"/>
  <c r="N998" i="1"/>
  <c r="J998" i="1"/>
  <c r="H998" i="1"/>
  <c r="M998" i="1" s="1"/>
  <c r="G998" i="1"/>
  <c r="N997" i="1"/>
  <c r="M997" i="1"/>
  <c r="J997" i="1"/>
  <c r="H997" i="1"/>
  <c r="L997" i="1" s="1"/>
  <c r="I997" i="1" s="1"/>
  <c r="G997" i="1"/>
  <c r="N996" i="1"/>
  <c r="J996" i="1"/>
  <c r="H996" i="1"/>
  <c r="K996" i="1" s="1"/>
  <c r="G996" i="1"/>
  <c r="N995" i="1"/>
  <c r="J995" i="1"/>
  <c r="H995" i="1"/>
  <c r="G995" i="1"/>
  <c r="N994" i="1"/>
  <c r="J994" i="1"/>
  <c r="H994" i="1"/>
  <c r="M994" i="1" s="1"/>
  <c r="G994" i="1"/>
  <c r="N993" i="1"/>
  <c r="J993" i="1"/>
  <c r="H993" i="1"/>
  <c r="M993" i="1" s="1"/>
  <c r="G993" i="1"/>
  <c r="N992" i="1"/>
  <c r="J992" i="1"/>
  <c r="H992" i="1"/>
  <c r="M992" i="1" s="1"/>
  <c r="G992" i="1"/>
  <c r="N991" i="1"/>
  <c r="J991" i="1"/>
  <c r="H991" i="1"/>
  <c r="M991" i="1" s="1"/>
  <c r="G991" i="1"/>
  <c r="N990" i="1"/>
  <c r="J990" i="1"/>
  <c r="H990" i="1"/>
  <c r="M990" i="1" s="1"/>
  <c r="G990" i="1"/>
  <c r="N989" i="1"/>
  <c r="K989" i="1"/>
  <c r="J989" i="1"/>
  <c r="H989" i="1"/>
  <c r="M989" i="1" s="1"/>
  <c r="G989" i="1"/>
  <c r="N988" i="1"/>
  <c r="M988" i="1"/>
  <c r="J988" i="1"/>
  <c r="H988" i="1"/>
  <c r="G988" i="1"/>
  <c r="N987" i="1"/>
  <c r="M987" i="1"/>
  <c r="J987" i="1"/>
  <c r="H987" i="1"/>
  <c r="G987" i="1"/>
  <c r="K987" i="1" s="1"/>
  <c r="N986" i="1"/>
  <c r="J986" i="1"/>
  <c r="H986" i="1"/>
  <c r="G986" i="1"/>
  <c r="N985" i="1"/>
  <c r="L985" i="1"/>
  <c r="I985" i="1" s="1"/>
  <c r="K985" i="1"/>
  <c r="J985" i="1"/>
  <c r="H985" i="1"/>
  <c r="M985" i="1" s="1"/>
  <c r="G985" i="1"/>
  <c r="N984" i="1"/>
  <c r="J984" i="1"/>
  <c r="H984" i="1"/>
  <c r="G984" i="1"/>
  <c r="N983" i="1"/>
  <c r="J983" i="1"/>
  <c r="H983" i="1"/>
  <c r="M983" i="1" s="1"/>
  <c r="G983" i="1"/>
  <c r="N982" i="1"/>
  <c r="J982" i="1"/>
  <c r="H982" i="1"/>
  <c r="M982" i="1" s="1"/>
  <c r="G982" i="1"/>
  <c r="N981" i="1"/>
  <c r="J981" i="1"/>
  <c r="H981" i="1"/>
  <c r="M981" i="1" s="1"/>
  <c r="G981" i="1"/>
  <c r="N980" i="1"/>
  <c r="J980" i="1"/>
  <c r="H980" i="1"/>
  <c r="M980" i="1" s="1"/>
  <c r="G980" i="1"/>
  <c r="N979" i="1"/>
  <c r="J979" i="1"/>
  <c r="H979" i="1"/>
  <c r="M979" i="1" s="1"/>
  <c r="G979" i="1"/>
  <c r="N978" i="1"/>
  <c r="J978" i="1"/>
  <c r="H978" i="1"/>
  <c r="M978" i="1" s="1"/>
  <c r="G978" i="1"/>
  <c r="N977" i="1"/>
  <c r="J977" i="1"/>
  <c r="H977" i="1"/>
  <c r="G977" i="1"/>
  <c r="N976" i="1"/>
  <c r="J976" i="1"/>
  <c r="H976" i="1"/>
  <c r="G976" i="1"/>
  <c r="N975" i="1"/>
  <c r="J975" i="1"/>
  <c r="H975" i="1"/>
  <c r="M975" i="1" s="1"/>
  <c r="G975" i="1"/>
  <c r="N974" i="1"/>
  <c r="J974" i="1"/>
  <c r="H974" i="1"/>
  <c r="M974" i="1" s="1"/>
  <c r="G974" i="1"/>
  <c r="N973" i="1"/>
  <c r="J973" i="1"/>
  <c r="H973" i="1"/>
  <c r="M973" i="1" s="1"/>
  <c r="G973" i="1"/>
  <c r="N972" i="1"/>
  <c r="J972" i="1"/>
  <c r="H972" i="1"/>
  <c r="G972" i="1"/>
  <c r="N971" i="1"/>
  <c r="J971" i="1"/>
  <c r="H971" i="1"/>
  <c r="M971" i="1" s="1"/>
  <c r="G971" i="1"/>
  <c r="N970" i="1"/>
  <c r="J970" i="1"/>
  <c r="H970" i="1"/>
  <c r="G970" i="1"/>
  <c r="N969" i="1"/>
  <c r="J969" i="1"/>
  <c r="H969" i="1"/>
  <c r="G969" i="1"/>
  <c r="K969" i="1" s="1"/>
  <c r="N968" i="1"/>
  <c r="J968" i="1"/>
  <c r="H968" i="1"/>
  <c r="G968" i="1"/>
  <c r="N967" i="1"/>
  <c r="J967" i="1"/>
  <c r="H967" i="1"/>
  <c r="G967" i="1"/>
  <c r="N966" i="1"/>
  <c r="J966" i="1"/>
  <c r="H966" i="1"/>
  <c r="M966" i="1" s="1"/>
  <c r="G966" i="1"/>
  <c r="N965" i="1"/>
  <c r="J965" i="1"/>
  <c r="H965" i="1"/>
  <c r="M965" i="1" s="1"/>
  <c r="G965" i="1"/>
  <c r="N964" i="1"/>
  <c r="J964" i="1"/>
  <c r="H964" i="1"/>
  <c r="G964" i="1"/>
  <c r="N963" i="1"/>
  <c r="J963" i="1"/>
  <c r="H963" i="1"/>
  <c r="G963" i="1"/>
  <c r="N962" i="1"/>
  <c r="J962" i="1"/>
  <c r="H962" i="1"/>
  <c r="M962" i="1" s="1"/>
  <c r="G962" i="1"/>
  <c r="N961" i="1"/>
  <c r="J961" i="1"/>
  <c r="H961" i="1"/>
  <c r="G961" i="1"/>
  <c r="N960" i="1"/>
  <c r="J960" i="1"/>
  <c r="H960" i="1"/>
  <c r="G960" i="1"/>
  <c r="N959" i="1"/>
  <c r="J959" i="1"/>
  <c r="H959" i="1"/>
  <c r="G959" i="1"/>
  <c r="N958" i="1"/>
  <c r="J958" i="1"/>
  <c r="H958" i="1"/>
  <c r="M958" i="1" s="1"/>
  <c r="G958" i="1"/>
  <c r="N957" i="1"/>
  <c r="J957" i="1"/>
  <c r="H957" i="1"/>
  <c r="G957" i="1"/>
  <c r="N956" i="1"/>
  <c r="J956" i="1"/>
  <c r="H956" i="1"/>
  <c r="M956" i="1" s="1"/>
  <c r="G956" i="1"/>
  <c r="N955" i="1"/>
  <c r="J955" i="1"/>
  <c r="H955" i="1"/>
  <c r="K955" i="1" s="1"/>
  <c r="G955" i="1"/>
  <c r="N954" i="1"/>
  <c r="J954" i="1"/>
  <c r="H954" i="1"/>
  <c r="G954" i="1"/>
  <c r="N953" i="1"/>
  <c r="J953" i="1"/>
  <c r="H953" i="1"/>
  <c r="M953" i="1" s="1"/>
  <c r="G953" i="1"/>
  <c r="L953" i="1" s="1"/>
  <c r="I953" i="1" s="1"/>
  <c r="N952" i="1"/>
  <c r="J952" i="1"/>
  <c r="H952" i="1"/>
  <c r="M952" i="1" s="1"/>
  <c r="G952" i="1"/>
  <c r="N951" i="1"/>
  <c r="J951" i="1"/>
  <c r="H951" i="1"/>
  <c r="M951" i="1" s="1"/>
  <c r="G951" i="1"/>
  <c r="N950" i="1"/>
  <c r="J950" i="1"/>
  <c r="H950" i="1"/>
  <c r="G950" i="1"/>
  <c r="N949" i="1"/>
  <c r="J949" i="1"/>
  <c r="H949" i="1"/>
  <c r="K949" i="1" s="1"/>
  <c r="G949" i="1"/>
  <c r="N948" i="1"/>
  <c r="J948" i="1"/>
  <c r="H948" i="1"/>
  <c r="M948" i="1" s="1"/>
  <c r="G948" i="1"/>
  <c r="N947" i="1"/>
  <c r="J947" i="1"/>
  <c r="H947" i="1"/>
  <c r="G947" i="1"/>
  <c r="N946" i="1"/>
  <c r="J946" i="1"/>
  <c r="H946" i="1"/>
  <c r="G946" i="1"/>
  <c r="N945" i="1"/>
  <c r="J945" i="1"/>
  <c r="H945" i="1"/>
  <c r="G945" i="1"/>
  <c r="N944" i="1"/>
  <c r="J944" i="1"/>
  <c r="H944" i="1"/>
  <c r="M944" i="1" s="1"/>
  <c r="G944" i="1"/>
  <c r="N943" i="1"/>
  <c r="L943" i="1"/>
  <c r="I943" i="1" s="1"/>
  <c r="J943" i="1"/>
  <c r="H943" i="1"/>
  <c r="M943" i="1" s="1"/>
  <c r="G943" i="1"/>
  <c r="N942" i="1"/>
  <c r="J942" i="1"/>
  <c r="H942" i="1"/>
  <c r="M942" i="1" s="1"/>
  <c r="G942" i="1"/>
  <c r="N941" i="1"/>
  <c r="J941" i="1"/>
  <c r="H941" i="1"/>
  <c r="G941" i="1"/>
  <c r="N940" i="1"/>
  <c r="J940" i="1"/>
  <c r="H940" i="1"/>
  <c r="G940" i="1"/>
  <c r="N939" i="1"/>
  <c r="J939" i="1"/>
  <c r="H939" i="1"/>
  <c r="M939" i="1" s="1"/>
  <c r="G939" i="1"/>
  <c r="N938" i="1"/>
  <c r="J938" i="1"/>
  <c r="H938" i="1"/>
  <c r="G938" i="1"/>
  <c r="N937" i="1"/>
  <c r="J937" i="1"/>
  <c r="H937" i="1"/>
  <c r="G937" i="1"/>
  <c r="N936" i="1"/>
  <c r="J936" i="1"/>
  <c r="H936" i="1"/>
  <c r="G936" i="1"/>
  <c r="N935" i="1"/>
  <c r="J935" i="1"/>
  <c r="H935" i="1"/>
  <c r="G935" i="1"/>
  <c r="N934" i="1"/>
  <c r="J934" i="1"/>
  <c r="H934" i="1"/>
  <c r="M934" i="1" s="1"/>
  <c r="G934" i="1"/>
  <c r="N933" i="1"/>
  <c r="L933" i="1"/>
  <c r="I933" i="1" s="1"/>
  <c r="J933" i="1"/>
  <c r="H933" i="1"/>
  <c r="M933" i="1" s="1"/>
  <c r="G933" i="1"/>
  <c r="N932" i="1"/>
  <c r="J932" i="1"/>
  <c r="H932" i="1"/>
  <c r="G932" i="1"/>
  <c r="N931" i="1"/>
  <c r="J931" i="1"/>
  <c r="H931" i="1"/>
  <c r="G931" i="1"/>
  <c r="N930" i="1"/>
  <c r="J930" i="1"/>
  <c r="H930" i="1"/>
  <c r="M930" i="1" s="1"/>
  <c r="G930" i="1"/>
  <c r="N929" i="1"/>
  <c r="L929" i="1" s="1"/>
  <c r="I929" i="1" s="1"/>
  <c r="J929" i="1"/>
  <c r="H929" i="1"/>
  <c r="M929" i="1" s="1"/>
  <c r="G929" i="1"/>
  <c r="N928" i="1"/>
  <c r="J928" i="1"/>
  <c r="H928" i="1"/>
  <c r="G928" i="1"/>
  <c r="N927" i="1"/>
  <c r="J927" i="1"/>
  <c r="H927" i="1"/>
  <c r="G927" i="1"/>
  <c r="N926" i="1"/>
  <c r="J926" i="1"/>
  <c r="H926" i="1"/>
  <c r="M926" i="1" s="1"/>
  <c r="G926" i="1"/>
  <c r="N925" i="1"/>
  <c r="J925" i="1"/>
  <c r="H925" i="1"/>
  <c r="M925" i="1" s="1"/>
  <c r="G925" i="1"/>
  <c r="N924" i="1"/>
  <c r="J924" i="1"/>
  <c r="H924" i="1"/>
  <c r="M924" i="1" s="1"/>
  <c r="G924" i="1"/>
  <c r="N923" i="1"/>
  <c r="J923" i="1"/>
  <c r="H923" i="1"/>
  <c r="K923" i="1" s="1"/>
  <c r="G923" i="1"/>
  <c r="N922" i="1"/>
  <c r="J922" i="1"/>
  <c r="H922" i="1"/>
  <c r="G922" i="1"/>
  <c r="N921" i="1"/>
  <c r="J921" i="1"/>
  <c r="H921" i="1"/>
  <c r="G921" i="1"/>
  <c r="N920" i="1"/>
  <c r="J920" i="1"/>
  <c r="H920" i="1"/>
  <c r="M920" i="1" s="1"/>
  <c r="G920" i="1"/>
  <c r="N919" i="1"/>
  <c r="J919" i="1"/>
  <c r="H919" i="1"/>
  <c r="M919" i="1" s="1"/>
  <c r="G919" i="1"/>
  <c r="N918" i="1"/>
  <c r="J918" i="1"/>
  <c r="H918" i="1"/>
  <c r="G918" i="1"/>
  <c r="N917" i="1"/>
  <c r="L917" i="1"/>
  <c r="I917" i="1" s="1"/>
  <c r="J917" i="1"/>
  <c r="H917" i="1"/>
  <c r="K917" i="1" s="1"/>
  <c r="G917" i="1"/>
  <c r="N916" i="1"/>
  <c r="J916" i="1"/>
  <c r="H916" i="1"/>
  <c r="M916" i="1" s="1"/>
  <c r="G916" i="1"/>
  <c r="N915" i="1"/>
  <c r="J915" i="1"/>
  <c r="H915" i="1"/>
  <c r="G915" i="1"/>
  <c r="N914" i="1"/>
  <c r="J914" i="1"/>
  <c r="H914" i="1"/>
  <c r="G914" i="1"/>
  <c r="N913" i="1"/>
  <c r="J913" i="1"/>
  <c r="H913" i="1"/>
  <c r="G913" i="1"/>
  <c r="N912" i="1"/>
  <c r="J912" i="1"/>
  <c r="H912" i="1"/>
  <c r="M912" i="1" s="1"/>
  <c r="G912" i="1"/>
  <c r="N911" i="1"/>
  <c r="J911" i="1"/>
  <c r="H911" i="1"/>
  <c r="G911" i="1"/>
  <c r="N910" i="1"/>
  <c r="J910" i="1"/>
  <c r="H910" i="1"/>
  <c r="M910" i="1" s="1"/>
  <c r="G910" i="1"/>
  <c r="N909" i="1"/>
  <c r="J909" i="1"/>
  <c r="H909" i="1"/>
  <c r="M909" i="1" s="1"/>
  <c r="G909" i="1"/>
  <c r="N908" i="1"/>
  <c r="J908" i="1"/>
  <c r="H908" i="1"/>
  <c r="G908" i="1"/>
  <c r="N907" i="1"/>
  <c r="J907" i="1"/>
  <c r="H907" i="1"/>
  <c r="M907" i="1" s="1"/>
  <c r="G907" i="1"/>
  <c r="N906" i="1"/>
  <c r="J906" i="1"/>
  <c r="H906" i="1"/>
  <c r="G906" i="1"/>
  <c r="N905" i="1"/>
  <c r="J905" i="1"/>
  <c r="H905" i="1"/>
  <c r="G905" i="1"/>
  <c r="K905" i="1" s="1"/>
  <c r="N904" i="1"/>
  <c r="J904" i="1"/>
  <c r="H904" i="1"/>
  <c r="G904" i="1"/>
  <c r="N903" i="1"/>
  <c r="J903" i="1"/>
  <c r="H903" i="1"/>
  <c r="M903" i="1" s="1"/>
  <c r="G903" i="1"/>
  <c r="N902" i="1"/>
  <c r="J902" i="1"/>
  <c r="H902" i="1"/>
  <c r="M902" i="1" s="1"/>
  <c r="G902" i="1"/>
  <c r="N901" i="1"/>
  <c r="L901" i="1"/>
  <c r="I901" i="1" s="1"/>
  <c r="J901" i="1"/>
  <c r="H901" i="1"/>
  <c r="M901" i="1" s="1"/>
  <c r="G901" i="1"/>
  <c r="N900" i="1"/>
  <c r="J900" i="1"/>
  <c r="H900" i="1"/>
  <c r="M900" i="1" s="1"/>
  <c r="G900" i="1"/>
  <c r="N899" i="1"/>
  <c r="J899" i="1"/>
  <c r="H899" i="1"/>
  <c r="G899" i="1"/>
  <c r="N898" i="1"/>
  <c r="J898" i="1"/>
  <c r="H898" i="1"/>
  <c r="M898" i="1" s="1"/>
  <c r="G898" i="1"/>
  <c r="N897" i="1"/>
  <c r="L897" i="1"/>
  <c r="I897" i="1" s="1"/>
  <c r="J897" i="1"/>
  <c r="H897" i="1"/>
  <c r="M897" i="1" s="1"/>
  <c r="G897" i="1"/>
  <c r="N896" i="1"/>
  <c r="J896" i="1"/>
  <c r="H896" i="1"/>
  <c r="G896" i="1"/>
  <c r="N895" i="1"/>
  <c r="J895" i="1"/>
  <c r="H895" i="1"/>
  <c r="G895" i="1"/>
  <c r="N894" i="1"/>
  <c r="J894" i="1"/>
  <c r="H894" i="1"/>
  <c r="M894" i="1" s="1"/>
  <c r="G894" i="1"/>
  <c r="N893" i="1"/>
  <c r="J893" i="1"/>
  <c r="H893" i="1"/>
  <c r="G893" i="1"/>
  <c r="N892" i="1"/>
  <c r="J892" i="1"/>
  <c r="H892" i="1"/>
  <c r="M892" i="1" s="1"/>
  <c r="G892" i="1"/>
  <c r="N891" i="1"/>
  <c r="L891" i="1" s="1"/>
  <c r="I891" i="1" s="1"/>
  <c r="M891" i="1"/>
  <c r="J891" i="1"/>
  <c r="H891" i="1"/>
  <c r="K891" i="1" s="1"/>
  <c r="G891" i="1"/>
  <c r="N890" i="1"/>
  <c r="J890" i="1"/>
  <c r="H890" i="1"/>
  <c r="M890" i="1" s="1"/>
  <c r="G890" i="1"/>
  <c r="N889" i="1"/>
  <c r="J889" i="1"/>
  <c r="H889" i="1"/>
  <c r="M889" i="1" s="1"/>
  <c r="G889" i="1"/>
  <c r="N888" i="1"/>
  <c r="J888" i="1"/>
  <c r="H888" i="1"/>
  <c r="G888" i="1"/>
  <c r="N887" i="1"/>
  <c r="J887" i="1"/>
  <c r="H887" i="1"/>
  <c r="G887" i="1"/>
  <c r="N886" i="1"/>
  <c r="J886" i="1"/>
  <c r="H886" i="1"/>
  <c r="M886" i="1" s="1"/>
  <c r="G886" i="1"/>
  <c r="N885" i="1"/>
  <c r="J885" i="1"/>
  <c r="H885" i="1"/>
  <c r="G885" i="1"/>
  <c r="N884" i="1"/>
  <c r="J884" i="1"/>
  <c r="H884" i="1"/>
  <c r="M884" i="1" s="1"/>
  <c r="G884" i="1"/>
  <c r="N883" i="1"/>
  <c r="J883" i="1"/>
  <c r="H883" i="1"/>
  <c r="M883" i="1" s="1"/>
  <c r="G883" i="1"/>
  <c r="N882" i="1"/>
  <c r="J882" i="1"/>
  <c r="H882" i="1"/>
  <c r="M882" i="1" s="1"/>
  <c r="G882" i="1"/>
  <c r="N881" i="1"/>
  <c r="J881" i="1"/>
  <c r="H881" i="1"/>
  <c r="M881" i="1" s="1"/>
  <c r="G881" i="1"/>
  <c r="N880" i="1"/>
  <c r="J880" i="1"/>
  <c r="H880" i="1"/>
  <c r="G880" i="1"/>
  <c r="N879" i="1"/>
  <c r="L879" i="1"/>
  <c r="I879" i="1" s="1"/>
  <c r="J879" i="1"/>
  <c r="H879" i="1"/>
  <c r="M879" i="1" s="1"/>
  <c r="G879" i="1"/>
  <c r="N878" i="1"/>
  <c r="J878" i="1"/>
  <c r="H878" i="1"/>
  <c r="G878" i="1"/>
  <c r="N877" i="1"/>
  <c r="J877" i="1"/>
  <c r="H877" i="1"/>
  <c r="G877" i="1"/>
  <c r="N876" i="1"/>
  <c r="J876" i="1"/>
  <c r="H876" i="1"/>
  <c r="M876" i="1" s="1"/>
  <c r="G876" i="1"/>
  <c r="N875" i="1"/>
  <c r="K875" i="1"/>
  <c r="J875" i="1"/>
  <c r="H875" i="1"/>
  <c r="M875" i="1" s="1"/>
  <c r="G875" i="1"/>
  <c r="N874" i="1"/>
  <c r="J874" i="1"/>
  <c r="H874" i="1"/>
  <c r="M874" i="1" s="1"/>
  <c r="G874" i="1"/>
  <c r="N873" i="1"/>
  <c r="J873" i="1"/>
  <c r="H873" i="1"/>
  <c r="M873" i="1" s="1"/>
  <c r="G873" i="1"/>
  <c r="N872" i="1"/>
  <c r="J872" i="1"/>
  <c r="H872" i="1"/>
  <c r="G872" i="1"/>
  <c r="N871" i="1"/>
  <c r="J871" i="1"/>
  <c r="H871" i="1"/>
  <c r="M871" i="1" s="1"/>
  <c r="G871" i="1"/>
  <c r="N870" i="1"/>
  <c r="J870" i="1"/>
  <c r="H870" i="1"/>
  <c r="M870" i="1" s="1"/>
  <c r="G870" i="1"/>
  <c r="N869" i="1"/>
  <c r="J869" i="1"/>
  <c r="H869" i="1"/>
  <c r="G869" i="1"/>
  <c r="N868" i="1"/>
  <c r="J868" i="1"/>
  <c r="H868" i="1"/>
  <c r="M868" i="1" s="1"/>
  <c r="G868" i="1"/>
  <c r="N867" i="1"/>
  <c r="J867" i="1"/>
  <c r="H867" i="1"/>
  <c r="G867" i="1"/>
  <c r="N866" i="1"/>
  <c r="J866" i="1"/>
  <c r="H866" i="1"/>
  <c r="M866" i="1" s="1"/>
  <c r="G866" i="1"/>
  <c r="N865" i="1"/>
  <c r="J865" i="1"/>
  <c r="H865" i="1"/>
  <c r="M865" i="1" s="1"/>
  <c r="G865" i="1"/>
  <c r="N864" i="1"/>
  <c r="J864" i="1"/>
  <c r="H864" i="1"/>
  <c r="M864" i="1" s="1"/>
  <c r="G864" i="1"/>
  <c r="N863" i="1"/>
  <c r="J863" i="1"/>
  <c r="H863" i="1"/>
  <c r="M863" i="1" s="1"/>
  <c r="G863" i="1"/>
  <c r="N862" i="1"/>
  <c r="J862" i="1"/>
  <c r="H862" i="1"/>
  <c r="M862" i="1" s="1"/>
  <c r="G862" i="1"/>
  <c r="N861" i="1"/>
  <c r="J861" i="1"/>
  <c r="H861" i="1"/>
  <c r="G861" i="1"/>
  <c r="N860" i="1"/>
  <c r="J860" i="1"/>
  <c r="H860" i="1"/>
  <c r="M860" i="1" s="1"/>
  <c r="G860" i="1"/>
  <c r="N859" i="1"/>
  <c r="K859" i="1"/>
  <c r="J859" i="1"/>
  <c r="H859" i="1"/>
  <c r="M859" i="1" s="1"/>
  <c r="G859" i="1"/>
  <c r="N858" i="1"/>
  <c r="J858" i="1"/>
  <c r="H858" i="1"/>
  <c r="M858" i="1" s="1"/>
  <c r="G858" i="1"/>
  <c r="N857" i="1"/>
  <c r="J857" i="1"/>
  <c r="H857" i="1"/>
  <c r="M857" i="1" s="1"/>
  <c r="G857" i="1"/>
  <c r="N856" i="1"/>
  <c r="J856" i="1"/>
  <c r="H856" i="1"/>
  <c r="M856" i="1" s="1"/>
  <c r="G856" i="1"/>
  <c r="N855" i="1"/>
  <c r="J855" i="1"/>
  <c r="H855" i="1"/>
  <c r="G855" i="1"/>
  <c r="N854" i="1"/>
  <c r="J854" i="1"/>
  <c r="H854" i="1"/>
  <c r="M854" i="1" s="1"/>
  <c r="G854" i="1"/>
  <c r="N853" i="1"/>
  <c r="J853" i="1"/>
  <c r="H853" i="1"/>
  <c r="G853" i="1"/>
  <c r="N852" i="1"/>
  <c r="J852" i="1"/>
  <c r="H852" i="1"/>
  <c r="M852" i="1" s="1"/>
  <c r="G852" i="1"/>
  <c r="N851" i="1"/>
  <c r="J851" i="1"/>
  <c r="H851" i="1"/>
  <c r="M851" i="1" s="1"/>
  <c r="G851" i="1"/>
  <c r="N850" i="1"/>
  <c r="J850" i="1"/>
  <c r="H850" i="1"/>
  <c r="M850" i="1" s="1"/>
  <c r="G850" i="1"/>
  <c r="N849" i="1"/>
  <c r="J849" i="1"/>
  <c r="H849" i="1"/>
  <c r="M849" i="1" s="1"/>
  <c r="G849" i="1"/>
  <c r="N848" i="1"/>
  <c r="J848" i="1"/>
  <c r="H848" i="1"/>
  <c r="M848" i="1" s="1"/>
  <c r="G848" i="1"/>
  <c r="N847" i="1"/>
  <c r="J847" i="1"/>
  <c r="H847" i="1"/>
  <c r="M847" i="1" s="1"/>
  <c r="G847" i="1"/>
  <c r="N846" i="1"/>
  <c r="J846" i="1"/>
  <c r="H846" i="1"/>
  <c r="M846" i="1" s="1"/>
  <c r="G846" i="1"/>
  <c r="N845" i="1"/>
  <c r="J845" i="1"/>
  <c r="H845" i="1"/>
  <c r="G845" i="1"/>
  <c r="N844" i="1"/>
  <c r="J844" i="1"/>
  <c r="H844" i="1"/>
  <c r="M844" i="1" s="1"/>
  <c r="G844" i="1"/>
  <c r="N843" i="1"/>
  <c r="J843" i="1"/>
  <c r="H843" i="1"/>
  <c r="M843" i="1" s="1"/>
  <c r="G843" i="1"/>
  <c r="N842" i="1"/>
  <c r="J842" i="1"/>
  <c r="H842" i="1"/>
  <c r="M842" i="1" s="1"/>
  <c r="G842" i="1"/>
  <c r="N841" i="1"/>
  <c r="J841" i="1"/>
  <c r="H841" i="1"/>
  <c r="M841" i="1" s="1"/>
  <c r="G841" i="1"/>
  <c r="N840" i="1"/>
  <c r="J840" i="1"/>
  <c r="H840" i="1"/>
  <c r="M840" i="1" s="1"/>
  <c r="G840" i="1"/>
  <c r="N839" i="1"/>
  <c r="L839" i="1"/>
  <c r="I839" i="1" s="1"/>
  <c r="J839" i="1"/>
  <c r="H839" i="1"/>
  <c r="M839" i="1" s="1"/>
  <c r="G839" i="1"/>
  <c r="N838" i="1"/>
  <c r="J838" i="1"/>
  <c r="H838" i="1"/>
  <c r="M838" i="1" s="1"/>
  <c r="G838" i="1"/>
  <c r="N837" i="1"/>
  <c r="J837" i="1"/>
  <c r="H837" i="1"/>
  <c r="G837" i="1"/>
  <c r="N836" i="1"/>
  <c r="J836" i="1"/>
  <c r="H836" i="1"/>
  <c r="M836" i="1" s="1"/>
  <c r="G836" i="1"/>
  <c r="N835" i="1"/>
  <c r="J835" i="1"/>
  <c r="H835" i="1"/>
  <c r="M835" i="1" s="1"/>
  <c r="G835" i="1"/>
  <c r="N834" i="1"/>
  <c r="J834" i="1"/>
  <c r="H834" i="1"/>
  <c r="M834" i="1" s="1"/>
  <c r="G834" i="1"/>
  <c r="N833" i="1"/>
  <c r="J833" i="1"/>
  <c r="H833" i="1"/>
  <c r="G833" i="1"/>
  <c r="N832" i="1"/>
  <c r="J832" i="1"/>
  <c r="H832" i="1"/>
  <c r="M832" i="1" s="1"/>
  <c r="G832" i="1"/>
  <c r="N831" i="1"/>
  <c r="J831" i="1"/>
  <c r="H831" i="1"/>
  <c r="L831" i="1" s="1"/>
  <c r="I831" i="1" s="1"/>
  <c r="G831" i="1"/>
  <c r="N830" i="1"/>
  <c r="J830" i="1"/>
  <c r="H830" i="1"/>
  <c r="G830" i="1"/>
  <c r="N829" i="1"/>
  <c r="J829" i="1"/>
  <c r="H829" i="1"/>
  <c r="G829" i="1"/>
  <c r="N828" i="1"/>
  <c r="J828" i="1"/>
  <c r="H828" i="1"/>
  <c r="M828" i="1" s="1"/>
  <c r="G828" i="1"/>
  <c r="N827" i="1"/>
  <c r="J827" i="1"/>
  <c r="H827" i="1"/>
  <c r="G827" i="1"/>
  <c r="N826" i="1"/>
  <c r="J826" i="1"/>
  <c r="H826" i="1"/>
  <c r="M826" i="1" s="1"/>
  <c r="G826" i="1"/>
  <c r="N825" i="1"/>
  <c r="J825" i="1"/>
  <c r="H825" i="1"/>
  <c r="M825" i="1" s="1"/>
  <c r="G825" i="1"/>
  <c r="N824" i="1"/>
  <c r="J824" i="1"/>
  <c r="H824" i="1"/>
  <c r="M824" i="1" s="1"/>
  <c r="G824" i="1"/>
  <c r="N823" i="1"/>
  <c r="J823" i="1"/>
  <c r="H823" i="1"/>
  <c r="G823" i="1"/>
  <c r="N822" i="1"/>
  <c r="J822" i="1"/>
  <c r="H822" i="1"/>
  <c r="M822" i="1" s="1"/>
  <c r="G822" i="1"/>
  <c r="N821" i="1"/>
  <c r="J821" i="1"/>
  <c r="H821" i="1"/>
  <c r="G821" i="1"/>
  <c r="N820" i="1"/>
  <c r="J820" i="1"/>
  <c r="H820" i="1"/>
  <c r="M820" i="1" s="1"/>
  <c r="G820" i="1"/>
  <c r="N819" i="1"/>
  <c r="L819" i="1"/>
  <c r="I819" i="1" s="1"/>
  <c r="J819" i="1"/>
  <c r="H819" i="1"/>
  <c r="M819" i="1" s="1"/>
  <c r="G819" i="1"/>
  <c r="N818" i="1"/>
  <c r="J818" i="1"/>
  <c r="H818" i="1"/>
  <c r="M818" i="1" s="1"/>
  <c r="G818" i="1"/>
  <c r="N817" i="1"/>
  <c r="J817" i="1"/>
  <c r="H817" i="1"/>
  <c r="M817" i="1" s="1"/>
  <c r="G817" i="1"/>
  <c r="N816" i="1"/>
  <c r="J816" i="1"/>
  <c r="H816" i="1"/>
  <c r="M816" i="1" s="1"/>
  <c r="G816" i="1"/>
  <c r="N815" i="1"/>
  <c r="L815" i="1" s="1"/>
  <c r="I815" i="1" s="1"/>
  <c r="J815" i="1"/>
  <c r="H815" i="1"/>
  <c r="G815" i="1"/>
  <c r="N814" i="1"/>
  <c r="J814" i="1"/>
  <c r="H814" i="1"/>
  <c r="G814" i="1"/>
  <c r="N813" i="1"/>
  <c r="J813" i="1"/>
  <c r="H813" i="1"/>
  <c r="G813" i="1"/>
  <c r="N812" i="1"/>
  <c r="J812" i="1"/>
  <c r="H812" i="1"/>
  <c r="M812" i="1" s="1"/>
  <c r="G812" i="1"/>
  <c r="N811" i="1"/>
  <c r="L811" i="1" s="1"/>
  <c r="I811" i="1" s="1"/>
  <c r="M811" i="1"/>
  <c r="J811" i="1"/>
  <c r="H811" i="1"/>
  <c r="K811" i="1" s="1"/>
  <c r="G811" i="1"/>
  <c r="N810" i="1"/>
  <c r="J810" i="1"/>
  <c r="H810" i="1"/>
  <c r="M810" i="1" s="1"/>
  <c r="G810" i="1"/>
  <c r="N809" i="1"/>
  <c r="J809" i="1"/>
  <c r="H809" i="1"/>
  <c r="G809" i="1"/>
  <c r="N808" i="1"/>
  <c r="J808" i="1"/>
  <c r="H808" i="1"/>
  <c r="M808" i="1" s="1"/>
  <c r="G808" i="1"/>
  <c r="N807" i="1"/>
  <c r="J807" i="1"/>
  <c r="H807" i="1"/>
  <c r="G807" i="1"/>
  <c r="N806" i="1"/>
  <c r="J806" i="1"/>
  <c r="H806" i="1"/>
  <c r="M806" i="1" s="1"/>
  <c r="G806" i="1"/>
  <c r="N805" i="1"/>
  <c r="J805" i="1"/>
  <c r="H805" i="1"/>
  <c r="G805" i="1"/>
  <c r="N804" i="1"/>
  <c r="J804" i="1"/>
  <c r="H804" i="1"/>
  <c r="M804" i="1" s="1"/>
  <c r="G804" i="1"/>
  <c r="N803" i="1"/>
  <c r="J803" i="1"/>
  <c r="H803" i="1"/>
  <c r="G803" i="1"/>
  <c r="N802" i="1"/>
  <c r="J802" i="1"/>
  <c r="H802" i="1"/>
  <c r="M802" i="1" s="1"/>
  <c r="G802" i="1"/>
  <c r="N801" i="1"/>
  <c r="J801" i="1"/>
  <c r="H801" i="1"/>
  <c r="M801" i="1" s="1"/>
  <c r="G801" i="1"/>
  <c r="N800" i="1"/>
  <c r="J800" i="1"/>
  <c r="H800" i="1"/>
  <c r="M800" i="1" s="1"/>
  <c r="G800" i="1"/>
  <c r="N799" i="1"/>
  <c r="J799" i="1"/>
  <c r="H799" i="1"/>
  <c r="L799" i="1" s="1"/>
  <c r="I799" i="1" s="1"/>
  <c r="G799" i="1"/>
  <c r="N798" i="1"/>
  <c r="J798" i="1"/>
  <c r="H798" i="1"/>
  <c r="G798" i="1"/>
  <c r="N797" i="1"/>
  <c r="J797" i="1"/>
  <c r="H797" i="1"/>
  <c r="G797" i="1"/>
  <c r="N796" i="1"/>
  <c r="J796" i="1"/>
  <c r="H796" i="1"/>
  <c r="M796" i="1" s="1"/>
  <c r="G796" i="1"/>
  <c r="N795" i="1"/>
  <c r="J795" i="1"/>
  <c r="H795" i="1"/>
  <c r="G795" i="1"/>
  <c r="N794" i="1"/>
  <c r="J794" i="1"/>
  <c r="H794" i="1"/>
  <c r="M794" i="1" s="1"/>
  <c r="G794" i="1"/>
  <c r="N793" i="1"/>
  <c r="J793" i="1"/>
  <c r="H793" i="1"/>
  <c r="M793" i="1" s="1"/>
  <c r="G793" i="1"/>
  <c r="N792" i="1"/>
  <c r="J792" i="1"/>
  <c r="H792" i="1"/>
  <c r="M792" i="1" s="1"/>
  <c r="G792" i="1"/>
  <c r="N791" i="1"/>
  <c r="J791" i="1"/>
  <c r="H791" i="1"/>
  <c r="G791" i="1"/>
  <c r="N790" i="1"/>
  <c r="J790" i="1"/>
  <c r="H790" i="1"/>
  <c r="M790" i="1" s="1"/>
  <c r="G790" i="1"/>
  <c r="N789" i="1"/>
  <c r="J789" i="1"/>
  <c r="H789" i="1"/>
  <c r="G789" i="1"/>
  <c r="N788" i="1"/>
  <c r="J788" i="1"/>
  <c r="H788" i="1"/>
  <c r="M788" i="1" s="1"/>
  <c r="G788" i="1"/>
  <c r="N787" i="1"/>
  <c r="J787" i="1"/>
  <c r="H787" i="1"/>
  <c r="G787" i="1"/>
  <c r="N786" i="1"/>
  <c r="J786" i="1"/>
  <c r="H786" i="1"/>
  <c r="M786" i="1" s="1"/>
  <c r="G786" i="1"/>
  <c r="N785" i="1"/>
  <c r="J785" i="1"/>
  <c r="H785" i="1"/>
  <c r="M785" i="1" s="1"/>
  <c r="G785" i="1"/>
  <c r="N784" i="1"/>
  <c r="J784" i="1"/>
  <c r="H784" i="1"/>
  <c r="M784" i="1" s="1"/>
  <c r="G784" i="1"/>
  <c r="N783" i="1"/>
  <c r="L783" i="1" s="1"/>
  <c r="I783" i="1" s="1"/>
  <c r="J783" i="1"/>
  <c r="H783" i="1"/>
  <c r="M783" i="1" s="1"/>
  <c r="G783" i="1"/>
  <c r="K783" i="1" s="1"/>
  <c r="N782" i="1"/>
  <c r="J782" i="1"/>
  <c r="H782" i="1"/>
  <c r="M782" i="1" s="1"/>
  <c r="G782" i="1"/>
  <c r="N781" i="1"/>
  <c r="J781" i="1"/>
  <c r="H781" i="1"/>
  <c r="G781" i="1"/>
  <c r="N780" i="1"/>
  <c r="J780" i="1"/>
  <c r="H780" i="1"/>
  <c r="M780" i="1" s="1"/>
  <c r="G780" i="1"/>
  <c r="N779" i="1"/>
  <c r="J779" i="1"/>
  <c r="H779" i="1"/>
  <c r="M779" i="1" s="1"/>
  <c r="G779" i="1"/>
  <c r="N778" i="1"/>
  <c r="J778" i="1"/>
  <c r="H778" i="1"/>
  <c r="M778" i="1" s="1"/>
  <c r="G778" i="1"/>
  <c r="N777" i="1"/>
  <c r="J777" i="1"/>
  <c r="H777" i="1"/>
  <c r="M777" i="1" s="1"/>
  <c r="G777" i="1"/>
  <c r="N776" i="1"/>
  <c r="J776" i="1"/>
  <c r="H776" i="1"/>
  <c r="M776" i="1" s="1"/>
  <c r="G776" i="1"/>
  <c r="N775" i="1"/>
  <c r="J775" i="1"/>
  <c r="H775" i="1"/>
  <c r="M775" i="1" s="1"/>
  <c r="G775" i="1"/>
  <c r="N774" i="1"/>
  <c r="J774" i="1"/>
  <c r="H774" i="1"/>
  <c r="M774" i="1" s="1"/>
  <c r="G774" i="1"/>
  <c r="N773" i="1"/>
  <c r="J773" i="1"/>
  <c r="H773" i="1"/>
  <c r="G773" i="1"/>
  <c r="N772" i="1"/>
  <c r="J772" i="1"/>
  <c r="H772" i="1"/>
  <c r="M772" i="1" s="1"/>
  <c r="G772" i="1"/>
  <c r="N771" i="1"/>
  <c r="M771" i="1"/>
  <c r="J771" i="1"/>
  <c r="H771" i="1"/>
  <c r="G771" i="1"/>
  <c r="N770" i="1"/>
  <c r="J770" i="1"/>
  <c r="H770" i="1"/>
  <c r="M770" i="1" s="1"/>
  <c r="G770" i="1"/>
  <c r="N769" i="1"/>
  <c r="J769" i="1"/>
  <c r="H769" i="1"/>
  <c r="M769" i="1" s="1"/>
  <c r="G769" i="1"/>
  <c r="N768" i="1"/>
  <c r="J768" i="1"/>
  <c r="H768" i="1"/>
  <c r="M768" i="1" s="1"/>
  <c r="G768" i="1"/>
  <c r="N767" i="1"/>
  <c r="J767" i="1"/>
  <c r="H767" i="1"/>
  <c r="G767" i="1"/>
  <c r="N766" i="1"/>
  <c r="J766" i="1"/>
  <c r="H766" i="1"/>
  <c r="M766" i="1" s="1"/>
  <c r="G766" i="1"/>
  <c r="N765" i="1"/>
  <c r="J765" i="1"/>
  <c r="H765" i="1"/>
  <c r="M765" i="1" s="1"/>
  <c r="G765" i="1"/>
  <c r="N764" i="1"/>
  <c r="J764" i="1"/>
  <c r="H764" i="1"/>
  <c r="G764" i="1"/>
  <c r="N763" i="1"/>
  <c r="J763" i="1"/>
  <c r="H763" i="1"/>
  <c r="G763" i="1"/>
  <c r="N762" i="1"/>
  <c r="J762" i="1"/>
  <c r="H762" i="1"/>
  <c r="M762" i="1" s="1"/>
  <c r="G762" i="1"/>
  <c r="N761" i="1"/>
  <c r="J761" i="1"/>
  <c r="H761" i="1"/>
  <c r="M761" i="1" s="1"/>
  <c r="G761" i="1"/>
  <c r="N760" i="1"/>
  <c r="K760" i="1"/>
  <c r="J760" i="1"/>
  <c r="H760" i="1"/>
  <c r="G760" i="1"/>
  <c r="N759" i="1"/>
  <c r="J759" i="1"/>
  <c r="H759" i="1"/>
  <c r="M759" i="1" s="1"/>
  <c r="G759" i="1"/>
  <c r="N758" i="1"/>
  <c r="J758" i="1"/>
  <c r="H758" i="1"/>
  <c r="G758" i="1"/>
  <c r="N757" i="1"/>
  <c r="J757" i="1"/>
  <c r="H757" i="1"/>
  <c r="M757" i="1" s="1"/>
  <c r="G757" i="1"/>
  <c r="N756" i="1"/>
  <c r="J756" i="1"/>
  <c r="H756" i="1"/>
  <c r="G756" i="1"/>
  <c r="N755" i="1"/>
  <c r="K755" i="1"/>
  <c r="J755" i="1"/>
  <c r="H755" i="1"/>
  <c r="M755" i="1" s="1"/>
  <c r="G755" i="1"/>
  <c r="N754" i="1"/>
  <c r="J754" i="1"/>
  <c r="H754" i="1"/>
  <c r="G754" i="1"/>
  <c r="N753" i="1"/>
  <c r="J753" i="1"/>
  <c r="H753" i="1"/>
  <c r="G753" i="1"/>
  <c r="N752" i="1"/>
  <c r="J752" i="1"/>
  <c r="H752" i="1"/>
  <c r="G752" i="1"/>
  <c r="N751" i="1"/>
  <c r="J751" i="1"/>
  <c r="H751" i="1"/>
  <c r="M751" i="1" s="1"/>
  <c r="G751" i="1"/>
  <c r="N750" i="1"/>
  <c r="J750" i="1"/>
  <c r="H750" i="1"/>
  <c r="M750" i="1" s="1"/>
  <c r="G750" i="1"/>
  <c r="N749" i="1"/>
  <c r="J749" i="1"/>
  <c r="H749" i="1"/>
  <c r="M749" i="1" s="1"/>
  <c r="G749" i="1"/>
  <c r="N748" i="1"/>
  <c r="J748" i="1"/>
  <c r="H748" i="1"/>
  <c r="G748" i="1"/>
  <c r="N747" i="1"/>
  <c r="J747" i="1"/>
  <c r="H747" i="1"/>
  <c r="M747" i="1" s="1"/>
  <c r="G747" i="1"/>
  <c r="N746" i="1"/>
  <c r="J746" i="1"/>
  <c r="H746" i="1"/>
  <c r="G746" i="1"/>
  <c r="N745" i="1"/>
  <c r="K745" i="1"/>
  <c r="J745" i="1"/>
  <c r="H745" i="1"/>
  <c r="M745" i="1" s="1"/>
  <c r="G745" i="1"/>
  <c r="N744" i="1"/>
  <c r="J744" i="1"/>
  <c r="H744" i="1"/>
  <c r="G744" i="1"/>
  <c r="N743" i="1"/>
  <c r="J743" i="1"/>
  <c r="H743" i="1"/>
  <c r="M743" i="1" s="1"/>
  <c r="G743" i="1"/>
  <c r="N742" i="1"/>
  <c r="J742" i="1"/>
  <c r="H742" i="1"/>
  <c r="G742" i="1"/>
  <c r="N741" i="1"/>
  <c r="J741" i="1"/>
  <c r="H741" i="1"/>
  <c r="G741" i="1"/>
  <c r="N740" i="1"/>
  <c r="J740" i="1"/>
  <c r="H740" i="1"/>
  <c r="M740" i="1" s="1"/>
  <c r="G740" i="1"/>
  <c r="N739" i="1"/>
  <c r="J739" i="1"/>
  <c r="H739" i="1"/>
  <c r="M739" i="1" s="1"/>
  <c r="G739" i="1"/>
  <c r="N738" i="1"/>
  <c r="J738" i="1"/>
  <c r="H738" i="1"/>
  <c r="G738" i="1"/>
  <c r="N737" i="1"/>
  <c r="J737" i="1"/>
  <c r="H737" i="1"/>
  <c r="M737" i="1" s="1"/>
  <c r="G737" i="1"/>
  <c r="N736" i="1"/>
  <c r="J736" i="1"/>
  <c r="H736" i="1"/>
  <c r="G736" i="1"/>
  <c r="N735" i="1"/>
  <c r="J735" i="1"/>
  <c r="H735" i="1"/>
  <c r="M735" i="1" s="1"/>
  <c r="G735" i="1"/>
  <c r="N734" i="1"/>
  <c r="J734" i="1"/>
  <c r="H734" i="1"/>
  <c r="G734" i="1"/>
  <c r="N733" i="1"/>
  <c r="K733" i="1"/>
  <c r="J733" i="1"/>
  <c r="H733" i="1"/>
  <c r="M733" i="1" s="1"/>
  <c r="G733" i="1"/>
  <c r="N732" i="1"/>
  <c r="J732" i="1"/>
  <c r="H732" i="1"/>
  <c r="G732" i="1"/>
  <c r="N731" i="1"/>
  <c r="J731" i="1"/>
  <c r="H731" i="1"/>
  <c r="G731" i="1"/>
  <c r="N730" i="1"/>
  <c r="J730" i="1"/>
  <c r="H730" i="1"/>
  <c r="M730" i="1" s="1"/>
  <c r="G730" i="1"/>
  <c r="N729" i="1"/>
  <c r="J729" i="1"/>
  <c r="H729" i="1"/>
  <c r="M729" i="1" s="1"/>
  <c r="G729" i="1"/>
  <c r="N728" i="1"/>
  <c r="J728" i="1"/>
  <c r="H728" i="1"/>
  <c r="M728" i="1" s="1"/>
  <c r="G728" i="1"/>
  <c r="N727" i="1"/>
  <c r="J727" i="1"/>
  <c r="H727" i="1"/>
  <c r="M727" i="1" s="1"/>
  <c r="G727" i="1"/>
  <c r="N726" i="1"/>
  <c r="J726" i="1"/>
  <c r="H726" i="1"/>
  <c r="M726" i="1" s="1"/>
  <c r="G726" i="1"/>
  <c r="N725" i="1"/>
  <c r="J725" i="1"/>
  <c r="H725" i="1"/>
  <c r="M725" i="1" s="1"/>
  <c r="G725" i="1"/>
  <c r="N724" i="1"/>
  <c r="J724" i="1"/>
  <c r="H724" i="1"/>
  <c r="G724" i="1"/>
  <c r="N723" i="1"/>
  <c r="J723" i="1"/>
  <c r="H723" i="1"/>
  <c r="M723" i="1" s="1"/>
  <c r="G723" i="1"/>
  <c r="N722" i="1"/>
  <c r="J722" i="1"/>
  <c r="H722" i="1"/>
  <c r="G722" i="1"/>
  <c r="N721" i="1"/>
  <c r="J721" i="1"/>
  <c r="H721" i="1"/>
  <c r="G721" i="1"/>
  <c r="N720" i="1"/>
  <c r="J720" i="1"/>
  <c r="H720" i="1"/>
  <c r="G720" i="1"/>
  <c r="N719" i="1"/>
  <c r="J719" i="1"/>
  <c r="H719" i="1"/>
  <c r="M719" i="1" s="1"/>
  <c r="G719" i="1"/>
  <c r="N718" i="1"/>
  <c r="J718" i="1"/>
  <c r="H718" i="1"/>
  <c r="M718" i="1" s="1"/>
  <c r="G718" i="1"/>
  <c r="N717" i="1"/>
  <c r="J717" i="1"/>
  <c r="H717" i="1"/>
  <c r="M717" i="1" s="1"/>
  <c r="G717" i="1"/>
  <c r="N716" i="1"/>
  <c r="J716" i="1"/>
  <c r="H716" i="1"/>
  <c r="G716" i="1"/>
  <c r="N715" i="1"/>
  <c r="J715" i="1"/>
  <c r="H715" i="1"/>
  <c r="M715" i="1" s="1"/>
  <c r="G715" i="1"/>
  <c r="N714" i="1"/>
  <c r="J714" i="1"/>
  <c r="H714" i="1"/>
  <c r="M714" i="1" s="1"/>
  <c r="G714" i="1"/>
  <c r="N713" i="1"/>
  <c r="J713" i="1"/>
  <c r="H713" i="1"/>
  <c r="G713" i="1"/>
  <c r="N712" i="1"/>
  <c r="J712" i="1"/>
  <c r="H712" i="1"/>
  <c r="G712" i="1"/>
  <c r="N711" i="1"/>
  <c r="J711" i="1"/>
  <c r="H711" i="1"/>
  <c r="M711" i="1" s="1"/>
  <c r="G711" i="1"/>
  <c r="N710" i="1"/>
  <c r="J710" i="1"/>
  <c r="H710" i="1"/>
  <c r="M710" i="1" s="1"/>
  <c r="G710" i="1"/>
  <c r="N709" i="1"/>
  <c r="J709" i="1"/>
  <c r="H709" i="1"/>
  <c r="M709" i="1" s="1"/>
  <c r="G709" i="1"/>
  <c r="N708" i="1"/>
  <c r="J708" i="1"/>
  <c r="H708" i="1"/>
  <c r="M708" i="1" s="1"/>
  <c r="G708" i="1"/>
  <c r="N707" i="1"/>
  <c r="J707" i="1"/>
  <c r="H707" i="1"/>
  <c r="M707" i="1" s="1"/>
  <c r="G707" i="1"/>
  <c r="N706" i="1"/>
  <c r="J706" i="1"/>
  <c r="H706" i="1"/>
  <c r="M706" i="1" s="1"/>
  <c r="G706" i="1"/>
  <c r="N705" i="1"/>
  <c r="J705" i="1"/>
  <c r="H705" i="1"/>
  <c r="M705" i="1" s="1"/>
  <c r="G705" i="1"/>
  <c r="N704" i="1"/>
  <c r="J704" i="1"/>
  <c r="H704" i="1"/>
  <c r="G704" i="1"/>
  <c r="N703" i="1"/>
  <c r="M703" i="1"/>
  <c r="J703" i="1"/>
  <c r="H703" i="1"/>
  <c r="K703" i="1" s="1"/>
  <c r="G703" i="1"/>
  <c r="N702" i="1"/>
  <c r="J702" i="1"/>
  <c r="H702" i="1"/>
  <c r="M702" i="1" s="1"/>
  <c r="G702" i="1"/>
  <c r="N701" i="1"/>
  <c r="J701" i="1"/>
  <c r="H701" i="1"/>
  <c r="M701" i="1" s="1"/>
  <c r="G701" i="1"/>
  <c r="N700" i="1"/>
  <c r="J700" i="1"/>
  <c r="H700" i="1"/>
  <c r="M700" i="1" s="1"/>
  <c r="G700" i="1"/>
  <c r="N699" i="1"/>
  <c r="J699" i="1"/>
  <c r="H699" i="1"/>
  <c r="G699" i="1"/>
  <c r="N698" i="1"/>
  <c r="J698" i="1"/>
  <c r="H698" i="1"/>
  <c r="M698" i="1" s="1"/>
  <c r="G698" i="1"/>
  <c r="N697" i="1"/>
  <c r="J697" i="1"/>
  <c r="H697" i="1"/>
  <c r="M697" i="1" s="1"/>
  <c r="G697" i="1"/>
  <c r="N696" i="1"/>
  <c r="J696" i="1"/>
  <c r="H696" i="1"/>
  <c r="M696" i="1" s="1"/>
  <c r="G696" i="1"/>
  <c r="N695" i="1"/>
  <c r="J695" i="1"/>
  <c r="H695" i="1"/>
  <c r="M695" i="1" s="1"/>
  <c r="G695" i="1"/>
  <c r="N694" i="1"/>
  <c r="J694" i="1"/>
  <c r="H694" i="1"/>
  <c r="M694" i="1" s="1"/>
  <c r="G694" i="1"/>
  <c r="N693" i="1"/>
  <c r="J693" i="1"/>
  <c r="H693" i="1"/>
  <c r="M693" i="1" s="1"/>
  <c r="G693" i="1"/>
  <c r="N692" i="1"/>
  <c r="J692" i="1"/>
  <c r="H692" i="1"/>
  <c r="G692" i="1"/>
  <c r="N691" i="1"/>
  <c r="M691" i="1"/>
  <c r="J691" i="1"/>
  <c r="H691" i="1"/>
  <c r="K691" i="1" s="1"/>
  <c r="G691" i="1"/>
  <c r="N690" i="1"/>
  <c r="J690" i="1"/>
  <c r="H690" i="1"/>
  <c r="M690" i="1" s="1"/>
  <c r="G690" i="1"/>
  <c r="N689" i="1"/>
  <c r="J689" i="1"/>
  <c r="H689" i="1"/>
  <c r="G689" i="1"/>
  <c r="N688" i="1"/>
  <c r="J688" i="1"/>
  <c r="H688" i="1"/>
  <c r="M688" i="1" s="1"/>
  <c r="G688" i="1"/>
  <c r="N687" i="1"/>
  <c r="J687" i="1"/>
  <c r="H687" i="1"/>
  <c r="M687" i="1" s="1"/>
  <c r="G687" i="1"/>
  <c r="N686" i="1"/>
  <c r="J686" i="1"/>
  <c r="H686" i="1"/>
  <c r="M686" i="1" s="1"/>
  <c r="G686" i="1"/>
  <c r="N685" i="1"/>
  <c r="J685" i="1"/>
  <c r="H685" i="1"/>
  <c r="M685" i="1" s="1"/>
  <c r="G685" i="1"/>
  <c r="N684" i="1"/>
  <c r="J684" i="1"/>
  <c r="H684" i="1"/>
  <c r="G684" i="1"/>
  <c r="N683" i="1"/>
  <c r="J683" i="1"/>
  <c r="H683" i="1"/>
  <c r="M683" i="1" s="1"/>
  <c r="G683" i="1"/>
  <c r="N682" i="1"/>
  <c r="J682" i="1"/>
  <c r="H682" i="1"/>
  <c r="M682" i="1" s="1"/>
  <c r="G682" i="1"/>
  <c r="N681" i="1"/>
  <c r="J681" i="1"/>
  <c r="H681" i="1"/>
  <c r="M681" i="1" s="1"/>
  <c r="G681" i="1"/>
  <c r="N680" i="1"/>
  <c r="J680" i="1"/>
  <c r="H680" i="1"/>
  <c r="G680" i="1"/>
  <c r="N679" i="1"/>
  <c r="J679" i="1"/>
  <c r="H679" i="1"/>
  <c r="M679" i="1" s="1"/>
  <c r="G679" i="1"/>
  <c r="N678" i="1"/>
  <c r="J678" i="1"/>
  <c r="H678" i="1"/>
  <c r="M678" i="1" s="1"/>
  <c r="G678" i="1"/>
  <c r="N677" i="1"/>
  <c r="J677" i="1"/>
  <c r="H677" i="1"/>
  <c r="G677" i="1"/>
  <c r="N676" i="1"/>
  <c r="J676" i="1"/>
  <c r="H676" i="1"/>
  <c r="M676" i="1" s="1"/>
  <c r="G676" i="1"/>
  <c r="N675" i="1"/>
  <c r="J675" i="1"/>
  <c r="H675" i="1"/>
  <c r="M675" i="1" s="1"/>
  <c r="G675" i="1"/>
  <c r="N674" i="1"/>
  <c r="J674" i="1"/>
  <c r="H674" i="1"/>
  <c r="M674" i="1" s="1"/>
  <c r="G674" i="1"/>
  <c r="N673" i="1"/>
  <c r="J673" i="1"/>
  <c r="H673" i="1"/>
  <c r="M673" i="1" s="1"/>
  <c r="G673" i="1"/>
  <c r="N672" i="1"/>
  <c r="J672" i="1"/>
  <c r="H672" i="1"/>
  <c r="G672" i="1"/>
  <c r="N671" i="1"/>
  <c r="J671" i="1"/>
  <c r="H671" i="1"/>
  <c r="M671" i="1" s="1"/>
  <c r="G671" i="1"/>
  <c r="N670" i="1"/>
  <c r="J670" i="1"/>
  <c r="H670" i="1"/>
  <c r="M670" i="1" s="1"/>
  <c r="G670" i="1"/>
  <c r="N669" i="1"/>
  <c r="J669" i="1"/>
  <c r="H669" i="1"/>
  <c r="M669" i="1" s="1"/>
  <c r="G669" i="1"/>
  <c r="N668" i="1"/>
  <c r="J668" i="1"/>
  <c r="H668" i="1"/>
  <c r="M668" i="1" s="1"/>
  <c r="G668" i="1"/>
  <c r="N667" i="1"/>
  <c r="J667" i="1"/>
  <c r="H667" i="1"/>
  <c r="G667" i="1"/>
  <c r="N666" i="1"/>
  <c r="J666" i="1"/>
  <c r="H666" i="1"/>
  <c r="M666" i="1" s="1"/>
  <c r="G666" i="1"/>
  <c r="N665" i="1"/>
  <c r="J665" i="1"/>
  <c r="H665" i="1"/>
  <c r="G665" i="1"/>
  <c r="N664" i="1"/>
  <c r="J664" i="1"/>
  <c r="H664" i="1"/>
  <c r="M664" i="1" s="1"/>
  <c r="G664" i="1"/>
  <c r="N663" i="1"/>
  <c r="J663" i="1"/>
  <c r="H663" i="1"/>
  <c r="M663" i="1" s="1"/>
  <c r="G663" i="1"/>
  <c r="N662" i="1"/>
  <c r="J662" i="1"/>
  <c r="H662" i="1"/>
  <c r="M662" i="1" s="1"/>
  <c r="G662" i="1"/>
  <c r="N661" i="1"/>
  <c r="J661" i="1"/>
  <c r="H661" i="1"/>
  <c r="M661" i="1" s="1"/>
  <c r="G661" i="1"/>
  <c r="N660" i="1"/>
  <c r="J660" i="1"/>
  <c r="H660" i="1"/>
  <c r="M660" i="1" s="1"/>
  <c r="G660" i="1"/>
  <c r="N659" i="1"/>
  <c r="J659" i="1"/>
  <c r="H659" i="1"/>
  <c r="G659" i="1"/>
  <c r="N658" i="1"/>
  <c r="J658" i="1"/>
  <c r="H658" i="1"/>
  <c r="M658" i="1" s="1"/>
  <c r="G658" i="1"/>
  <c r="N657" i="1"/>
  <c r="J657" i="1"/>
  <c r="H657" i="1"/>
  <c r="G657" i="1"/>
  <c r="N656" i="1"/>
  <c r="J656" i="1"/>
  <c r="H656" i="1"/>
  <c r="M656" i="1" s="1"/>
  <c r="G656" i="1"/>
  <c r="N655" i="1"/>
  <c r="J655" i="1"/>
  <c r="H655" i="1"/>
  <c r="M655" i="1" s="1"/>
  <c r="G655" i="1"/>
  <c r="N654" i="1"/>
  <c r="M654" i="1"/>
  <c r="J654" i="1"/>
  <c r="H654" i="1"/>
  <c r="G654" i="1"/>
  <c r="N653" i="1"/>
  <c r="J653" i="1"/>
  <c r="H653" i="1"/>
  <c r="M653" i="1" s="1"/>
  <c r="G653" i="1"/>
  <c r="N652" i="1"/>
  <c r="M652" i="1"/>
  <c r="J652" i="1"/>
  <c r="H652" i="1"/>
  <c r="G652" i="1"/>
  <c r="N651" i="1"/>
  <c r="J651" i="1"/>
  <c r="H651" i="1"/>
  <c r="M651" i="1" s="1"/>
  <c r="G651" i="1"/>
  <c r="N650" i="1"/>
  <c r="J650" i="1"/>
  <c r="H650" i="1"/>
  <c r="M650" i="1" s="1"/>
  <c r="G650" i="1"/>
  <c r="N649" i="1"/>
  <c r="M649" i="1"/>
  <c r="J649" i="1"/>
  <c r="H649" i="1"/>
  <c r="K649" i="1" s="1"/>
  <c r="G649" i="1"/>
  <c r="N648" i="1"/>
  <c r="J648" i="1"/>
  <c r="H648" i="1"/>
  <c r="G648" i="1"/>
  <c r="N647" i="1"/>
  <c r="J647" i="1"/>
  <c r="H647" i="1"/>
  <c r="M647" i="1" s="1"/>
  <c r="G647" i="1"/>
  <c r="N646" i="1"/>
  <c r="J646" i="1"/>
  <c r="H646" i="1"/>
  <c r="M646" i="1" s="1"/>
  <c r="G646" i="1"/>
  <c r="N645" i="1"/>
  <c r="J645" i="1"/>
  <c r="H645" i="1"/>
  <c r="M645" i="1" s="1"/>
  <c r="G645" i="1"/>
  <c r="N644" i="1"/>
  <c r="J644" i="1"/>
  <c r="H644" i="1"/>
  <c r="M644" i="1" s="1"/>
  <c r="G644" i="1"/>
  <c r="N643" i="1"/>
  <c r="J643" i="1"/>
  <c r="H643" i="1"/>
  <c r="M643" i="1" s="1"/>
  <c r="G643" i="1"/>
  <c r="N642" i="1"/>
  <c r="J642" i="1"/>
  <c r="H642" i="1"/>
  <c r="M642" i="1" s="1"/>
  <c r="G642" i="1"/>
  <c r="N641" i="1"/>
  <c r="J641" i="1"/>
  <c r="H641" i="1"/>
  <c r="M641" i="1" s="1"/>
  <c r="G641" i="1"/>
  <c r="N640" i="1"/>
  <c r="J640" i="1"/>
  <c r="H640" i="1"/>
  <c r="G640" i="1"/>
  <c r="N639" i="1"/>
  <c r="K639" i="1"/>
  <c r="J639" i="1"/>
  <c r="H639" i="1"/>
  <c r="M639" i="1" s="1"/>
  <c r="G639" i="1"/>
  <c r="N638" i="1"/>
  <c r="J638" i="1"/>
  <c r="H638" i="1"/>
  <c r="M638" i="1" s="1"/>
  <c r="G638" i="1"/>
  <c r="N637" i="1"/>
  <c r="K637" i="1"/>
  <c r="J637" i="1"/>
  <c r="H637" i="1"/>
  <c r="M637" i="1" s="1"/>
  <c r="G637" i="1"/>
  <c r="N636" i="1"/>
  <c r="J636" i="1"/>
  <c r="H636" i="1"/>
  <c r="M636" i="1" s="1"/>
  <c r="G636" i="1"/>
  <c r="N635" i="1"/>
  <c r="J635" i="1"/>
  <c r="H635" i="1"/>
  <c r="K635" i="1" s="1"/>
  <c r="G635" i="1"/>
  <c r="N634" i="1"/>
  <c r="M634" i="1"/>
  <c r="J634" i="1"/>
  <c r="H634" i="1"/>
  <c r="G634" i="1"/>
  <c r="N633" i="1"/>
  <c r="J633" i="1"/>
  <c r="H633" i="1"/>
  <c r="G633" i="1"/>
  <c r="N632" i="1"/>
  <c r="J632" i="1"/>
  <c r="H632" i="1"/>
  <c r="M632" i="1" s="1"/>
  <c r="G632" i="1"/>
  <c r="N631" i="1"/>
  <c r="J631" i="1"/>
  <c r="H631" i="1"/>
  <c r="M631" i="1" s="1"/>
  <c r="G631" i="1"/>
  <c r="N630" i="1"/>
  <c r="J630" i="1"/>
  <c r="H630" i="1"/>
  <c r="M630" i="1" s="1"/>
  <c r="G630" i="1"/>
  <c r="N629" i="1"/>
  <c r="J629" i="1"/>
  <c r="H629" i="1"/>
  <c r="M629" i="1" s="1"/>
  <c r="G629" i="1"/>
  <c r="N628" i="1"/>
  <c r="J628" i="1"/>
  <c r="H628" i="1"/>
  <c r="K628" i="1" s="1"/>
  <c r="G628" i="1"/>
  <c r="N627" i="1"/>
  <c r="J627" i="1"/>
  <c r="H627" i="1"/>
  <c r="M627" i="1" s="1"/>
  <c r="G627" i="1"/>
  <c r="N626" i="1"/>
  <c r="J626" i="1"/>
  <c r="H626" i="1"/>
  <c r="M626" i="1" s="1"/>
  <c r="G626" i="1"/>
  <c r="N625" i="1"/>
  <c r="K625" i="1"/>
  <c r="J625" i="1"/>
  <c r="H625" i="1"/>
  <c r="M625" i="1" s="1"/>
  <c r="G625" i="1"/>
  <c r="N624" i="1"/>
  <c r="J624" i="1"/>
  <c r="H624" i="1"/>
  <c r="M624" i="1" s="1"/>
  <c r="G624" i="1"/>
  <c r="N623" i="1"/>
  <c r="K623" i="1"/>
  <c r="J623" i="1"/>
  <c r="H623" i="1"/>
  <c r="M623" i="1" s="1"/>
  <c r="G623" i="1"/>
  <c r="N622" i="1"/>
  <c r="J622" i="1"/>
  <c r="H622" i="1"/>
  <c r="M622" i="1" s="1"/>
  <c r="G622" i="1"/>
  <c r="N621" i="1"/>
  <c r="M621" i="1"/>
  <c r="K621" i="1"/>
  <c r="J621" i="1"/>
  <c r="H621" i="1"/>
  <c r="L621" i="1" s="1"/>
  <c r="I621" i="1" s="1"/>
  <c r="G621" i="1"/>
  <c r="N620" i="1"/>
  <c r="J620" i="1"/>
  <c r="H620" i="1"/>
  <c r="G620" i="1"/>
  <c r="N619" i="1"/>
  <c r="J619" i="1"/>
  <c r="H619" i="1"/>
  <c r="G619" i="1"/>
  <c r="N618" i="1"/>
  <c r="J618" i="1"/>
  <c r="H618" i="1"/>
  <c r="G618" i="1"/>
  <c r="N617" i="1"/>
  <c r="M617" i="1"/>
  <c r="J617" i="1"/>
  <c r="H617" i="1"/>
  <c r="K617" i="1" s="1"/>
  <c r="G617" i="1"/>
  <c r="N616" i="1"/>
  <c r="J616" i="1"/>
  <c r="H616" i="1"/>
  <c r="M616" i="1" s="1"/>
  <c r="G616" i="1"/>
  <c r="N615" i="1"/>
  <c r="M615" i="1"/>
  <c r="K615" i="1"/>
  <c r="J615" i="1"/>
  <c r="H615" i="1"/>
  <c r="L615" i="1" s="1"/>
  <c r="I615" i="1" s="1"/>
  <c r="G615" i="1"/>
  <c r="N614" i="1"/>
  <c r="J614" i="1"/>
  <c r="H614" i="1"/>
  <c r="M614" i="1" s="1"/>
  <c r="G614" i="1"/>
  <c r="N613" i="1"/>
  <c r="K613" i="1"/>
  <c r="J613" i="1"/>
  <c r="H613" i="1"/>
  <c r="G613" i="1"/>
  <c r="N612" i="1"/>
  <c r="J612" i="1"/>
  <c r="H612" i="1"/>
  <c r="G612" i="1"/>
  <c r="N611" i="1"/>
  <c r="J611" i="1"/>
  <c r="H611" i="1"/>
  <c r="M611" i="1" s="1"/>
  <c r="G611" i="1"/>
  <c r="N610" i="1"/>
  <c r="J610" i="1"/>
  <c r="H610" i="1"/>
  <c r="G610" i="1"/>
  <c r="N609" i="1"/>
  <c r="K609" i="1"/>
  <c r="J609" i="1"/>
  <c r="H609" i="1"/>
  <c r="G609" i="1"/>
  <c r="N608" i="1"/>
  <c r="J608" i="1"/>
  <c r="H608" i="1"/>
  <c r="M608" i="1" s="1"/>
  <c r="G608" i="1"/>
  <c r="N607" i="1"/>
  <c r="J607" i="1"/>
  <c r="H607" i="1"/>
  <c r="G607" i="1"/>
  <c r="N606" i="1"/>
  <c r="J606" i="1"/>
  <c r="H606" i="1"/>
  <c r="G606" i="1"/>
  <c r="N605" i="1"/>
  <c r="J605" i="1"/>
  <c r="H605" i="1"/>
  <c r="M605" i="1" s="1"/>
  <c r="G605" i="1"/>
  <c r="N604" i="1"/>
  <c r="J604" i="1"/>
  <c r="H604" i="1"/>
  <c r="G604" i="1"/>
  <c r="N603" i="1"/>
  <c r="J603" i="1"/>
  <c r="H603" i="1"/>
  <c r="L603" i="1" s="1"/>
  <c r="I603" i="1" s="1"/>
  <c r="G603" i="1"/>
  <c r="N602" i="1"/>
  <c r="J602" i="1"/>
  <c r="H602" i="1"/>
  <c r="M602" i="1" s="1"/>
  <c r="G602" i="1"/>
  <c r="N601" i="1"/>
  <c r="J601" i="1"/>
  <c r="H601" i="1"/>
  <c r="G601" i="1"/>
  <c r="N600" i="1"/>
  <c r="J600" i="1"/>
  <c r="H600" i="1"/>
  <c r="M600" i="1" s="1"/>
  <c r="G600" i="1"/>
  <c r="N599" i="1"/>
  <c r="J599" i="1"/>
  <c r="H599" i="1"/>
  <c r="L599" i="1" s="1"/>
  <c r="I599" i="1" s="1"/>
  <c r="G599" i="1"/>
  <c r="N598" i="1"/>
  <c r="J598" i="1"/>
  <c r="H598" i="1"/>
  <c r="M598" i="1" s="1"/>
  <c r="G598" i="1"/>
  <c r="N597" i="1"/>
  <c r="J597" i="1"/>
  <c r="H597" i="1"/>
  <c r="G597" i="1"/>
  <c r="N596" i="1"/>
  <c r="J596" i="1"/>
  <c r="H596" i="1"/>
  <c r="G596" i="1"/>
  <c r="N595" i="1"/>
  <c r="K595" i="1"/>
  <c r="J595" i="1"/>
  <c r="H595" i="1"/>
  <c r="G595" i="1"/>
  <c r="N594" i="1"/>
  <c r="J594" i="1"/>
  <c r="H594" i="1"/>
  <c r="G594" i="1"/>
  <c r="N593" i="1"/>
  <c r="J593" i="1"/>
  <c r="H593" i="1"/>
  <c r="M593" i="1" s="1"/>
  <c r="G593" i="1"/>
  <c r="N592" i="1"/>
  <c r="J592" i="1"/>
  <c r="H592" i="1"/>
  <c r="M592" i="1" s="1"/>
  <c r="G592" i="1"/>
  <c r="N591" i="1"/>
  <c r="J591" i="1"/>
  <c r="H591" i="1"/>
  <c r="G591" i="1"/>
  <c r="N590" i="1"/>
  <c r="J590" i="1"/>
  <c r="H590" i="1"/>
  <c r="M590" i="1" s="1"/>
  <c r="G590" i="1"/>
  <c r="N589" i="1"/>
  <c r="J589" i="1"/>
  <c r="H589" i="1"/>
  <c r="G589" i="1"/>
  <c r="N588" i="1"/>
  <c r="J588" i="1"/>
  <c r="H588" i="1"/>
  <c r="G588" i="1"/>
  <c r="N587" i="1"/>
  <c r="J587" i="1"/>
  <c r="H587" i="1"/>
  <c r="G587" i="1"/>
  <c r="N586" i="1"/>
  <c r="J586" i="1"/>
  <c r="H586" i="1"/>
  <c r="G586" i="1"/>
  <c r="N585" i="1"/>
  <c r="J585" i="1"/>
  <c r="H585" i="1"/>
  <c r="M585" i="1" s="1"/>
  <c r="G585" i="1"/>
  <c r="N584" i="1"/>
  <c r="J584" i="1"/>
  <c r="H584" i="1"/>
  <c r="M584" i="1" s="1"/>
  <c r="G584" i="1"/>
  <c r="N583" i="1"/>
  <c r="J583" i="1"/>
  <c r="H583" i="1"/>
  <c r="G583" i="1"/>
  <c r="N582" i="1"/>
  <c r="J582" i="1"/>
  <c r="H582" i="1"/>
  <c r="M582" i="1" s="1"/>
  <c r="G582" i="1"/>
  <c r="N581" i="1"/>
  <c r="J581" i="1"/>
  <c r="H581" i="1"/>
  <c r="G581" i="1"/>
  <c r="N580" i="1"/>
  <c r="J580" i="1"/>
  <c r="H580" i="1"/>
  <c r="G580" i="1"/>
  <c r="N579" i="1"/>
  <c r="J579" i="1"/>
  <c r="H579" i="1"/>
  <c r="G579" i="1"/>
  <c r="N578" i="1"/>
  <c r="J578" i="1"/>
  <c r="H578" i="1"/>
  <c r="G578" i="1"/>
  <c r="N577" i="1"/>
  <c r="J577" i="1"/>
  <c r="H577" i="1"/>
  <c r="G577" i="1"/>
  <c r="N576" i="1"/>
  <c r="J576" i="1"/>
  <c r="H576" i="1"/>
  <c r="M576" i="1" s="1"/>
  <c r="G576" i="1"/>
  <c r="N575" i="1"/>
  <c r="J575" i="1"/>
  <c r="H575" i="1"/>
  <c r="L575" i="1" s="1"/>
  <c r="I575" i="1" s="1"/>
  <c r="G575" i="1"/>
  <c r="N574" i="1"/>
  <c r="J574" i="1"/>
  <c r="H574" i="1"/>
  <c r="G574" i="1"/>
  <c r="N573" i="1"/>
  <c r="J573" i="1"/>
  <c r="H573" i="1"/>
  <c r="G573" i="1"/>
  <c r="N572" i="1"/>
  <c r="J572" i="1"/>
  <c r="H572" i="1"/>
  <c r="G572" i="1"/>
  <c r="N571" i="1"/>
  <c r="J571" i="1"/>
  <c r="H571" i="1"/>
  <c r="K571" i="1" s="1"/>
  <c r="G571" i="1"/>
  <c r="N570" i="1"/>
  <c r="J570" i="1"/>
  <c r="H570" i="1"/>
  <c r="M570" i="1" s="1"/>
  <c r="G570" i="1"/>
  <c r="N569" i="1"/>
  <c r="J569" i="1"/>
  <c r="H569" i="1"/>
  <c r="G569" i="1"/>
  <c r="N568" i="1"/>
  <c r="J568" i="1"/>
  <c r="H568" i="1"/>
  <c r="M568" i="1" s="1"/>
  <c r="G568" i="1"/>
  <c r="N567" i="1"/>
  <c r="J567" i="1"/>
  <c r="H567" i="1"/>
  <c r="M567" i="1" s="1"/>
  <c r="G567" i="1"/>
  <c r="N566" i="1"/>
  <c r="J566" i="1"/>
  <c r="H566" i="1"/>
  <c r="M566" i="1" s="1"/>
  <c r="G566" i="1"/>
  <c r="N565" i="1"/>
  <c r="J565" i="1"/>
  <c r="H565" i="1"/>
  <c r="G565" i="1"/>
  <c r="N564" i="1"/>
  <c r="J564" i="1"/>
  <c r="H564" i="1"/>
  <c r="G564" i="1"/>
  <c r="N563" i="1"/>
  <c r="J563" i="1"/>
  <c r="H563" i="1"/>
  <c r="K563" i="1" s="1"/>
  <c r="G563" i="1"/>
  <c r="N562" i="1"/>
  <c r="J562" i="1"/>
  <c r="H562" i="1"/>
  <c r="G562" i="1"/>
  <c r="N561" i="1"/>
  <c r="J561" i="1"/>
  <c r="H561" i="1"/>
  <c r="M561" i="1" s="1"/>
  <c r="G561" i="1"/>
  <c r="N560" i="1"/>
  <c r="J560" i="1"/>
  <c r="H560" i="1"/>
  <c r="M560" i="1" s="1"/>
  <c r="G560" i="1"/>
  <c r="N559" i="1"/>
  <c r="J559" i="1"/>
  <c r="H559" i="1"/>
  <c r="G559" i="1"/>
  <c r="N558" i="1"/>
  <c r="J558" i="1"/>
  <c r="H558" i="1"/>
  <c r="M558" i="1" s="1"/>
  <c r="G558" i="1"/>
  <c r="N557" i="1"/>
  <c r="J557" i="1"/>
  <c r="H557" i="1"/>
  <c r="G557" i="1"/>
  <c r="N556" i="1"/>
  <c r="J556" i="1"/>
  <c r="H556" i="1"/>
  <c r="G556" i="1"/>
  <c r="N555" i="1"/>
  <c r="J555" i="1"/>
  <c r="H555" i="1"/>
  <c r="G555" i="1"/>
  <c r="N554" i="1"/>
  <c r="J554" i="1"/>
  <c r="H554" i="1"/>
  <c r="G554" i="1"/>
  <c r="N553" i="1"/>
  <c r="M553" i="1"/>
  <c r="K553" i="1"/>
  <c r="J553" i="1"/>
  <c r="H553" i="1"/>
  <c r="G553" i="1"/>
  <c r="N552" i="1"/>
  <c r="J552" i="1"/>
  <c r="H552" i="1"/>
  <c r="M552" i="1" s="1"/>
  <c r="G552" i="1"/>
  <c r="N551" i="1"/>
  <c r="J551" i="1"/>
  <c r="H551" i="1"/>
  <c r="G551" i="1"/>
  <c r="N550" i="1"/>
  <c r="J550" i="1"/>
  <c r="H550" i="1"/>
  <c r="M550" i="1" s="1"/>
  <c r="G550" i="1"/>
  <c r="N549" i="1"/>
  <c r="J549" i="1"/>
  <c r="H549" i="1"/>
  <c r="G549" i="1"/>
  <c r="N548" i="1"/>
  <c r="J548" i="1"/>
  <c r="H548" i="1"/>
  <c r="G548" i="1"/>
  <c r="N547" i="1"/>
  <c r="J547" i="1"/>
  <c r="H547" i="1"/>
  <c r="G547" i="1"/>
  <c r="N546" i="1"/>
  <c r="J546" i="1"/>
  <c r="H546" i="1"/>
  <c r="G546" i="1"/>
  <c r="N545" i="1"/>
  <c r="J545" i="1"/>
  <c r="H545" i="1"/>
  <c r="G545" i="1"/>
  <c r="N544" i="1"/>
  <c r="J544" i="1"/>
  <c r="H544" i="1"/>
  <c r="M544" i="1" s="1"/>
  <c r="G544" i="1"/>
  <c r="N543" i="1"/>
  <c r="J543" i="1"/>
  <c r="H543" i="1"/>
  <c r="G543" i="1"/>
  <c r="N542" i="1"/>
  <c r="J542" i="1"/>
  <c r="H542" i="1"/>
  <c r="G542" i="1"/>
  <c r="N541" i="1"/>
  <c r="J541" i="1"/>
  <c r="H541" i="1"/>
  <c r="G541" i="1"/>
  <c r="N540" i="1"/>
  <c r="J540" i="1"/>
  <c r="H540" i="1"/>
  <c r="G540" i="1"/>
  <c r="N539" i="1"/>
  <c r="J539" i="1"/>
  <c r="H539" i="1"/>
  <c r="K539" i="1" s="1"/>
  <c r="G539" i="1"/>
  <c r="N538" i="1"/>
  <c r="J538" i="1"/>
  <c r="H538" i="1"/>
  <c r="M538" i="1" s="1"/>
  <c r="G538" i="1"/>
  <c r="N537" i="1"/>
  <c r="J537" i="1"/>
  <c r="H537" i="1"/>
  <c r="G537" i="1"/>
  <c r="N536" i="1"/>
  <c r="J536" i="1"/>
  <c r="H536" i="1"/>
  <c r="M536" i="1" s="1"/>
  <c r="G536" i="1"/>
  <c r="N535" i="1"/>
  <c r="J535" i="1"/>
  <c r="H535" i="1"/>
  <c r="M535" i="1" s="1"/>
  <c r="G535" i="1"/>
  <c r="N534" i="1"/>
  <c r="J534" i="1"/>
  <c r="H534" i="1"/>
  <c r="M534" i="1" s="1"/>
  <c r="G534" i="1"/>
  <c r="N533" i="1"/>
  <c r="J533" i="1"/>
  <c r="H533" i="1"/>
  <c r="G533" i="1"/>
  <c r="N532" i="1"/>
  <c r="J532" i="1"/>
  <c r="H532" i="1"/>
  <c r="G532" i="1"/>
  <c r="N531" i="1"/>
  <c r="K531" i="1"/>
  <c r="J531" i="1"/>
  <c r="H531" i="1"/>
  <c r="G531" i="1"/>
  <c r="N530" i="1"/>
  <c r="J530" i="1"/>
  <c r="H530" i="1"/>
  <c r="G530" i="1"/>
  <c r="N529" i="1"/>
  <c r="J529" i="1"/>
  <c r="H529" i="1"/>
  <c r="M529" i="1" s="1"/>
  <c r="G529" i="1"/>
  <c r="N528" i="1"/>
  <c r="J528" i="1"/>
  <c r="H528" i="1"/>
  <c r="M528" i="1" s="1"/>
  <c r="G528" i="1"/>
  <c r="N527" i="1"/>
  <c r="J527" i="1"/>
  <c r="H527" i="1"/>
  <c r="G527" i="1"/>
  <c r="N526" i="1"/>
  <c r="J526" i="1"/>
  <c r="H526" i="1"/>
  <c r="M526" i="1" s="1"/>
  <c r="G526" i="1"/>
  <c r="N525" i="1"/>
  <c r="J525" i="1"/>
  <c r="H525" i="1"/>
  <c r="G525" i="1"/>
  <c r="N524" i="1"/>
  <c r="J524" i="1"/>
  <c r="H524" i="1"/>
  <c r="M524" i="1" s="1"/>
  <c r="G524" i="1"/>
  <c r="N523" i="1"/>
  <c r="J523" i="1"/>
  <c r="H523" i="1"/>
  <c r="G523" i="1"/>
  <c r="N522" i="1"/>
  <c r="J522" i="1"/>
  <c r="H522" i="1"/>
  <c r="G522" i="1"/>
  <c r="N521" i="1"/>
  <c r="J521" i="1"/>
  <c r="H521" i="1"/>
  <c r="M521" i="1" s="1"/>
  <c r="G521" i="1"/>
  <c r="N520" i="1"/>
  <c r="J520" i="1"/>
  <c r="H520" i="1"/>
  <c r="M520" i="1" s="1"/>
  <c r="G520" i="1"/>
  <c r="N519" i="1"/>
  <c r="J519" i="1"/>
  <c r="H519" i="1"/>
  <c r="G519" i="1"/>
  <c r="N518" i="1"/>
  <c r="J518" i="1"/>
  <c r="H518" i="1"/>
  <c r="M518" i="1" s="1"/>
  <c r="G518" i="1"/>
  <c r="N517" i="1"/>
  <c r="J517" i="1"/>
  <c r="H517" i="1"/>
  <c r="G517" i="1"/>
  <c r="N516" i="1"/>
  <c r="J516" i="1"/>
  <c r="H516" i="1"/>
  <c r="M516" i="1" s="1"/>
  <c r="G516" i="1"/>
  <c r="N515" i="1"/>
  <c r="J515" i="1"/>
  <c r="H515" i="1"/>
  <c r="G515" i="1"/>
  <c r="N514" i="1"/>
  <c r="J514" i="1"/>
  <c r="H514" i="1"/>
  <c r="G514" i="1"/>
  <c r="N513" i="1"/>
  <c r="J513" i="1"/>
  <c r="H513" i="1"/>
  <c r="M513" i="1" s="1"/>
  <c r="G513" i="1"/>
  <c r="N512" i="1"/>
  <c r="J512" i="1"/>
  <c r="H512" i="1"/>
  <c r="M512" i="1" s="1"/>
  <c r="G512" i="1"/>
  <c r="N511" i="1"/>
  <c r="J511" i="1"/>
  <c r="H511" i="1"/>
  <c r="L511" i="1" s="1"/>
  <c r="I511" i="1" s="1"/>
  <c r="G511" i="1"/>
  <c r="N510" i="1"/>
  <c r="J510" i="1"/>
  <c r="H510" i="1"/>
  <c r="M510" i="1" s="1"/>
  <c r="G510" i="1"/>
  <c r="N509" i="1"/>
  <c r="J509" i="1"/>
  <c r="H509" i="1"/>
  <c r="G509" i="1"/>
  <c r="N508" i="1"/>
  <c r="K508" i="1"/>
  <c r="J508" i="1"/>
  <c r="H508" i="1"/>
  <c r="M508" i="1" s="1"/>
  <c r="G508" i="1"/>
  <c r="N507" i="1"/>
  <c r="J507" i="1"/>
  <c r="H507" i="1"/>
  <c r="M507" i="1" s="1"/>
  <c r="G507" i="1"/>
  <c r="N506" i="1"/>
  <c r="J506" i="1"/>
  <c r="H506" i="1"/>
  <c r="G506" i="1"/>
  <c r="N505" i="1"/>
  <c r="J505" i="1"/>
  <c r="H505" i="1"/>
  <c r="K505" i="1" s="1"/>
  <c r="G505" i="1"/>
  <c r="N504" i="1"/>
  <c r="J504" i="1"/>
  <c r="H504" i="1"/>
  <c r="G504" i="1"/>
  <c r="N503" i="1"/>
  <c r="M503" i="1"/>
  <c r="J503" i="1"/>
  <c r="H503" i="1"/>
  <c r="K503" i="1" s="1"/>
  <c r="G503" i="1"/>
  <c r="N502" i="1"/>
  <c r="J502" i="1"/>
  <c r="H502" i="1"/>
  <c r="G502" i="1"/>
  <c r="N501" i="1"/>
  <c r="K501" i="1"/>
  <c r="J501" i="1"/>
  <c r="H501" i="1"/>
  <c r="M501" i="1" s="1"/>
  <c r="G501" i="1"/>
  <c r="N500" i="1"/>
  <c r="J500" i="1"/>
  <c r="H500" i="1"/>
  <c r="M500" i="1" s="1"/>
  <c r="G500" i="1"/>
  <c r="N499" i="1"/>
  <c r="J499" i="1"/>
  <c r="H499" i="1"/>
  <c r="M499" i="1" s="1"/>
  <c r="G499" i="1"/>
  <c r="N498" i="1"/>
  <c r="J498" i="1"/>
  <c r="H498" i="1"/>
  <c r="G498" i="1"/>
  <c r="N497" i="1"/>
  <c r="J497" i="1"/>
  <c r="H497" i="1"/>
  <c r="K497" i="1" s="1"/>
  <c r="G497" i="1"/>
  <c r="N496" i="1"/>
  <c r="J496" i="1"/>
  <c r="H496" i="1"/>
  <c r="G496" i="1"/>
  <c r="N495" i="1"/>
  <c r="J495" i="1"/>
  <c r="H495" i="1"/>
  <c r="M495" i="1" s="1"/>
  <c r="G495" i="1"/>
  <c r="N494" i="1"/>
  <c r="J494" i="1"/>
  <c r="H494" i="1"/>
  <c r="G494" i="1"/>
  <c r="N493" i="1"/>
  <c r="J493" i="1"/>
  <c r="H493" i="1"/>
  <c r="M493" i="1" s="1"/>
  <c r="G493" i="1"/>
  <c r="N492" i="1"/>
  <c r="J492" i="1"/>
  <c r="H492" i="1"/>
  <c r="M492" i="1" s="1"/>
  <c r="G492" i="1"/>
  <c r="N491" i="1"/>
  <c r="J491" i="1"/>
  <c r="H491" i="1"/>
  <c r="M491" i="1" s="1"/>
  <c r="G491" i="1"/>
  <c r="N490" i="1"/>
  <c r="J490" i="1"/>
  <c r="H490" i="1"/>
  <c r="G490" i="1"/>
  <c r="N489" i="1"/>
  <c r="J489" i="1"/>
  <c r="H489" i="1"/>
  <c r="K489" i="1" s="1"/>
  <c r="G489" i="1"/>
  <c r="N488" i="1"/>
  <c r="J488" i="1"/>
  <c r="H488" i="1"/>
  <c r="M488" i="1" s="1"/>
  <c r="G488" i="1"/>
  <c r="N487" i="1"/>
  <c r="J487" i="1"/>
  <c r="H487" i="1"/>
  <c r="M487" i="1" s="1"/>
  <c r="G487" i="1"/>
  <c r="N486" i="1"/>
  <c r="J486" i="1"/>
  <c r="H486" i="1"/>
  <c r="G486" i="1"/>
  <c r="N485" i="1"/>
  <c r="K485" i="1"/>
  <c r="J485" i="1"/>
  <c r="H485" i="1"/>
  <c r="M485" i="1" s="1"/>
  <c r="G485" i="1"/>
  <c r="N484" i="1"/>
  <c r="J484" i="1"/>
  <c r="H484" i="1"/>
  <c r="M484" i="1" s="1"/>
  <c r="G484" i="1"/>
  <c r="N483" i="1"/>
  <c r="J483" i="1"/>
  <c r="H483" i="1"/>
  <c r="M483" i="1" s="1"/>
  <c r="G483" i="1"/>
  <c r="N482" i="1"/>
  <c r="J482" i="1"/>
  <c r="H482" i="1"/>
  <c r="M482" i="1" s="1"/>
  <c r="G482" i="1"/>
  <c r="N481" i="1"/>
  <c r="J481" i="1"/>
  <c r="H481" i="1"/>
  <c r="G481" i="1"/>
  <c r="N480" i="1"/>
  <c r="J480" i="1"/>
  <c r="H480" i="1"/>
  <c r="M480" i="1" s="1"/>
  <c r="G480" i="1"/>
  <c r="N479" i="1"/>
  <c r="J479" i="1"/>
  <c r="H479" i="1"/>
  <c r="M479" i="1" s="1"/>
  <c r="G479" i="1"/>
  <c r="N478" i="1"/>
  <c r="J478" i="1"/>
  <c r="H478" i="1"/>
  <c r="G478" i="1"/>
  <c r="N477" i="1"/>
  <c r="J477" i="1"/>
  <c r="H477" i="1"/>
  <c r="M477" i="1" s="1"/>
  <c r="G477" i="1"/>
  <c r="N476" i="1"/>
  <c r="J476" i="1"/>
  <c r="H476" i="1"/>
  <c r="M476" i="1" s="1"/>
  <c r="G476" i="1"/>
  <c r="N475" i="1"/>
  <c r="J475" i="1"/>
  <c r="H475" i="1"/>
  <c r="M475" i="1" s="1"/>
  <c r="G475" i="1"/>
  <c r="N474" i="1"/>
  <c r="J474" i="1"/>
  <c r="H474" i="1"/>
  <c r="M474" i="1" s="1"/>
  <c r="G474" i="1"/>
  <c r="N473" i="1"/>
  <c r="J473" i="1"/>
  <c r="H473" i="1"/>
  <c r="K473" i="1" s="1"/>
  <c r="G473" i="1"/>
  <c r="N472" i="1"/>
  <c r="J472" i="1"/>
  <c r="H472" i="1"/>
  <c r="G472" i="1"/>
  <c r="N471" i="1"/>
  <c r="J471" i="1"/>
  <c r="H471" i="1"/>
  <c r="K471" i="1" s="1"/>
  <c r="G471" i="1"/>
  <c r="N470" i="1"/>
  <c r="J470" i="1"/>
  <c r="H470" i="1"/>
  <c r="G470" i="1"/>
  <c r="N469" i="1"/>
  <c r="J469" i="1"/>
  <c r="H469" i="1"/>
  <c r="M469" i="1" s="1"/>
  <c r="G469" i="1"/>
  <c r="N468" i="1"/>
  <c r="J468" i="1"/>
  <c r="H468" i="1"/>
  <c r="M468" i="1" s="1"/>
  <c r="G468" i="1"/>
  <c r="N467" i="1"/>
  <c r="J467" i="1"/>
  <c r="H467" i="1"/>
  <c r="G467" i="1"/>
  <c r="N466" i="1"/>
  <c r="J466" i="1"/>
  <c r="H466" i="1"/>
  <c r="M466" i="1" s="1"/>
  <c r="G466" i="1"/>
  <c r="N465" i="1"/>
  <c r="J465" i="1"/>
  <c r="H465" i="1"/>
  <c r="M465" i="1" s="1"/>
  <c r="G465" i="1"/>
  <c r="N464" i="1"/>
  <c r="J464" i="1"/>
  <c r="H464" i="1"/>
  <c r="G464" i="1"/>
  <c r="L464" i="1" s="1"/>
  <c r="I464" i="1" s="1"/>
  <c r="N463" i="1"/>
  <c r="J463" i="1"/>
  <c r="H463" i="1"/>
  <c r="M463" i="1" s="1"/>
  <c r="G463" i="1"/>
  <c r="N462" i="1"/>
  <c r="J462" i="1"/>
  <c r="H462" i="1"/>
  <c r="G462" i="1"/>
  <c r="N461" i="1"/>
  <c r="K461" i="1"/>
  <c r="J461" i="1"/>
  <c r="H461" i="1"/>
  <c r="M461" i="1" s="1"/>
  <c r="G461" i="1"/>
  <c r="N460" i="1"/>
  <c r="J460" i="1"/>
  <c r="H460" i="1"/>
  <c r="G460" i="1"/>
  <c r="N459" i="1"/>
  <c r="J459" i="1"/>
  <c r="H459" i="1"/>
  <c r="M459" i="1" s="1"/>
  <c r="G459" i="1"/>
  <c r="N458" i="1"/>
  <c r="J458" i="1"/>
  <c r="H458" i="1"/>
  <c r="G458" i="1"/>
  <c r="N457" i="1"/>
  <c r="J457" i="1"/>
  <c r="H457" i="1"/>
  <c r="M457" i="1" s="1"/>
  <c r="G457" i="1"/>
  <c r="N456" i="1"/>
  <c r="K456" i="1"/>
  <c r="J456" i="1"/>
  <c r="H456" i="1"/>
  <c r="M456" i="1" s="1"/>
  <c r="G456" i="1"/>
  <c r="N455" i="1"/>
  <c r="J455" i="1"/>
  <c r="H455" i="1"/>
  <c r="G455" i="1"/>
  <c r="N454" i="1"/>
  <c r="K454" i="1"/>
  <c r="J454" i="1"/>
  <c r="H454" i="1"/>
  <c r="G454" i="1"/>
  <c r="N453" i="1"/>
  <c r="J453" i="1"/>
  <c r="H453" i="1"/>
  <c r="M453" i="1" s="1"/>
  <c r="G453" i="1"/>
  <c r="N452" i="1"/>
  <c r="J452" i="1"/>
  <c r="H452" i="1"/>
  <c r="G452" i="1"/>
  <c r="N451" i="1"/>
  <c r="M451" i="1"/>
  <c r="J451" i="1"/>
  <c r="H451" i="1"/>
  <c r="K451" i="1" s="1"/>
  <c r="G451" i="1"/>
  <c r="N450" i="1"/>
  <c r="J450" i="1"/>
  <c r="H450" i="1"/>
  <c r="M450" i="1" s="1"/>
  <c r="G450" i="1"/>
  <c r="N449" i="1"/>
  <c r="J449" i="1"/>
  <c r="H449" i="1"/>
  <c r="G449" i="1"/>
  <c r="N448" i="1"/>
  <c r="J448" i="1"/>
  <c r="H448" i="1"/>
  <c r="G448" i="1"/>
  <c r="N447" i="1"/>
  <c r="J447" i="1"/>
  <c r="H447" i="1"/>
  <c r="M447" i="1" s="1"/>
  <c r="G447" i="1"/>
  <c r="N446" i="1"/>
  <c r="J446" i="1"/>
  <c r="H446" i="1"/>
  <c r="K446" i="1" s="1"/>
  <c r="G446" i="1"/>
  <c r="N445" i="1"/>
  <c r="J445" i="1"/>
  <c r="H445" i="1"/>
  <c r="M445" i="1" s="1"/>
  <c r="G445" i="1"/>
  <c r="N444" i="1"/>
  <c r="J444" i="1"/>
  <c r="H444" i="1"/>
  <c r="M444" i="1" s="1"/>
  <c r="G444" i="1"/>
  <c r="N443" i="1"/>
  <c r="J443" i="1"/>
  <c r="H443" i="1"/>
  <c r="M443" i="1" s="1"/>
  <c r="G443" i="1"/>
  <c r="N442" i="1"/>
  <c r="J442" i="1"/>
  <c r="H442" i="1"/>
  <c r="M442" i="1" s="1"/>
  <c r="G442" i="1"/>
  <c r="N441" i="1"/>
  <c r="J441" i="1"/>
  <c r="H441" i="1"/>
  <c r="K441" i="1" s="1"/>
  <c r="G441" i="1"/>
  <c r="N440" i="1"/>
  <c r="J440" i="1"/>
  <c r="H440" i="1"/>
  <c r="G440" i="1"/>
  <c r="L440" i="1" s="1"/>
  <c r="I440" i="1" s="1"/>
  <c r="N439" i="1"/>
  <c r="K439" i="1"/>
  <c r="J439" i="1"/>
  <c r="H439" i="1"/>
  <c r="M439" i="1" s="1"/>
  <c r="G439" i="1"/>
  <c r="N438" i="1"/>
  <c r="J438" i="1"/>
  <c r="H438" i="1"/>
  <c r="G438" i="1"/>
  <c r="N437" i="1"/>
  <c r="J437" i="1"/>
  <c r="H437" i="1"/>
  <c r="M437" i="1" s="1"/>
  <c r="G437" i="1"/>
  <c r="N436" i="1"/>
  <c r="J436" i="1"/>
  <c r="H436" i="1"/>
  <c r="M436" i="1" s="1"/>
  <c r="G436" i="1"/>
  <c r="N435" i="1"/>
  <c r="J435" i="1"/>
  <c r="H435" i="1"/>
  <c r="G435" i="1"/>
  <c r="N434" i="1"/>
  <c r="J434" i="1"/>
  <c r="H434" i="1"/>
  <c r="M434" i="1" s="1"/>
  <c r="G434" i="1"/>
  <c r="N433" i="1"/>
  <c r="J433" i="1"/>
  <c r="H433" i="1"/>
  <c r="M433" i="1" s="1"/>
  <c r="G433" i="1"/>
  <c r="N432" i="1"/>
  <c r="J432" i="1"/>
  <c r="H432" i="1"/>
  <c r="G432" i="1"/>
  <c r="N431" i="1"/>
  <c r="J431" i="1"/>
  <c r="H431" i="1"/>
  <c r="G431" i="1"/>
  <c r="N430" i="1"/>
  <c r="J430" i="1"/>
  <c r="H430" i="1"/>
  <c r="K430" i="1" s="1"/>
  <c r="G430" i="1"/>
  <c r="N429" i="1"/>
  <c r="M429" i="1"/>
  <c r="K429" i="1"/>
  <c r="J429" i="1"/>
  <c r="H429" i="1"/>
  <c r="G429" i="1"/>
  <c r="N428" i="1"/>
  <c r="J428" i="1"/>
  <c r="H428" i="1"/>
  <c r="G428" i="1"/>
  <c r="N427" i="1"/>
  <c r="J427" i="1"/>
  <c r="H427" i="1"/>
  <c r="G427" i="1"/>
  <c r="N426" i="1"/>
  <c r="J426" i="1"/>
  <c r="H426" i="1"/>
  <c r="G426" i="1"/>
  <c r="N425" i="1"/>
  <c r="J425" i="1"/>
  <c r="H425" i="1"/>
  <c r="M425" i="1" s="1"/>
  <c r="G425" i="1"/>
  <c r="N424" i="1"/>
  <c r="J424" i="1"/>
  <c r="H424" i="1"/>
  <c r="M424" i="1" s="1"/>
  <c r="G424" i="1"/>
  <c r="N423" i="1"/>
  <c r="J423" i="1"/>
  <c r="H423" i="1"/>
  <c r="M423" i="1" s="1"/>
  <c r="G423" i="1"/>
  <c r="N422" i="1"/>
  <c r="J422" i="1"/>
  <c r="H422" i="1"/>
  <c r="G422" i="1"/>
  <c r="N421" i="1"/>
  <c r="J421" i="1"/>
  <c r="H421" i="1"/>
  <c r="G421" i="1"/>
  <c r="N420" i="1"/>
  <c r="J420" i="1"/>
  <c r="H420" i="1"/>
  <c r="M420" i="1" s="1"/>
  <c r="G420" i="1"/>
  <c r="N419" i="1"/>
  <c r="J419" i="1"/>
  <c r="H419" i="1"/>
  <c r="M419" i="1" s="1"/>
  <c r="G419" i="1"/>
  <c r="N418" i="1"/>
  <c r="J418" i="1"/>
  <c r="H418" i="1"/>
  <c r="G418" i="1"/>
  <c r="N417" i="1"/>
  <c r="J417" i="1"/>
  <c r="H417" i="1"/>
  <c r="K417" i="1" s="1"/>
  <c r="G417" i="1"/>
  <c r="N416" i="1"/>
  <c r="J416" i="1"/>
  <c r="H416" i="1"/>
  <c r="M416" i="1" s="1"/>
  <c r="G416" i="1"/>
  <c r="N415" i="1"/>
  <c r="K415" i="1"/>
  <c r="J415" i="1"/>
  <c r="H415" i="1"/>
  <c r="M415" i="1" s="1"/>
  <c r="G415" i="1"/>
  <c r="N414" i="1"/>
  <c r="J414" i="1"/>
  <c r="H414" i="1"/>
  <c r="G414" i="1"/>
  <c r="N413" i="1"/>
  <c r="J413" i="1"/>
  <c r="H413" i="1"/>
  <c r="K413" i="1" s="1"/>
  <c r="G413" i="1"/>
  <c r="N412" i="1"/>
  <c r="J412" i="1"/>
  <c r="H412" i="1"/>
  <c r="G412" i="1"/>
  <c r="N411" i="1"/>
  <c r="J411" i="1"/>
  <c r="H411" i="1"/>
  <c r="G411" i="1"/>
  <c r="N410" i="1"/>
  <c r="J410" i="1"/>
  <c r="H410" i="1"/>
  <c r="K410" i="1" s="1"/>
  <c r="G410" i="1"/>
  <c r="N409" i="1"/>
  <c r="J409" i="1"/>
  <c r="H409" i="1"/>
  <c r="M409" i="1" s="1"/>
  <c r="G409" i="1"/>
  <c r="N408" i="1"/>
  <c r="J408" i="1"/>
  <c r="H408" i="1"/>
  <c r="M408" i="1" s="1"/>
  <c r="G408" i="1"/>
  <c r="N407" i="1"/>
  <c r="J407" i="1"/>
  <c r="H407" i="1"/>
  <c r="M407" i="1" s="1"/>
  <c r="G407" i="1"/>
  <c r="N406" i="1"/>
  <c r="J406" i="1"/>
  <c r="H406" i="1"/>
  <c r="M406" i="1" s="1"/>
  <c r="G406" i="1"/>
  <c r="N405" i="1"/>
  <c r="J405" i="1"/>
  <c r="H405" i="1"/>
  <c r="M405" i="1" s="1"/>
  <c r="G405" i="1"/>
  <c r="N404" i="1"/>
  <c r="J404" i="1"/>
  <c r="H404" i="1"/>
  <c r="M404" i="1" s="1"/>
  <c r="G404" i="1"/>
  <c r="N403" i="1"/>
  <c r="J403" i="1"/>
  <c r="H403" i="1"/>
  <c r="M403" i="1" s="1"/>
  <c r="G403" i="1"/>
  <c r="N402" i="1"/>
  <c r="J402" i="1"/>
  <c r="H402" i="1"/>
  <c r="G402" i="1"/>
  <c r="N401" i="1"/>
  <c r="J401" i="1"/>
  <c r="H401" i="1"/>
  <c r="G401" i="1"/>
  <c r="N400" i="1"/>
  <c r="J400" i="1"/>
  <c r="H400" i="1"/>
  <c r="M400" i="1" s="1"/>
  <c r="G400" i="1"/>
  <c r="N399" i="1"/>
  <c r="L399" i="1" s="1"/>
  <c r="I399" i="1" s="1"/>
  <c r="K399" i="1"/>
  <c r="J399" i="1"/>
  <c r="H399" i="1"/>
  <c r="M399" i="1" s="1"/>
  <c r="G399" i="1"/>
  <c r="N398" i="1"/>
  <c r="J398" i="1"/>
  <c r="H398" i="1"/>
  <c r="G398" i="1"/>
  <c r="N397" i="1"/>
  <c r="J397" i="1"/>
  <c r="H397" i="1"/>
  <c r="G397" i="1"/>
  <c r="N396" i="1"/>
  <c r="J396" i="1"/>
  <c r="H396" i="1"/>
  <c r="G396" i="1"/>
  <c r="N395" i="1"/>
  <c r="J395" i="1"/>
  <c r="H395" i="1"/>
  <c r="M395" i="1" s="1"/>
  <c r="G395" i="1"/>
  <c r="N394" i="1"/>
  <c r="J394" i="1"/>
  <c r="H394" i="1"/>
  <c r="K394" i="1" s="1"/>
  <c r="G394" i="1"/>
  <c r="N393" i="1"/>
  <c r="J393" i="1"/>
  <c r="H393" i="1"/>
  <c r="M393" i="1" s="1"/>
  <c r="G393" i="1"/>
  <c r="N392" i="1"/>
  <c r="J392" i="1"/>
  <c r="H392" i="1"/>
  <c r="M392" i="1" s="1"/>
  <c r="G392" i="1"/>
  <c r="N391" i="1"/>
  <c r="J391" i="1"/>
  <c r="H391" i="1"/>
  <c r="M391" i="1" s="1"/>
  <c r="G391" i="1"/>
  <c r="N390" i="1"/>
  <c r="J390" i="1"/>
  <c r="H390" i="1"/>
  <c r="G390" i="1"/>
  <c r="N389" i="1"/>
  <c r="J389" i="1"/>
  <c r="H389" i="1"/>
  <c r="G389" i="1"/>
  <c r="N388" i="1"/>
  <c r="J388" i="1"/>
  <c r="H388" i="1"/>
  <c r="M388" i="1" s="1"/>
  <c r="G388" i="1"/>
  <c r="N387" i="1"/>
  <c r="J387" i="1"/>
  <c r="H387" i="1"/>
  <c r="M387" i="1" s="1"/>
  <c r="G387" i="1"/>
  <c r="N386" i="1"/>
  <c r="J386" i="1"/>
  <c r="H386" i="1"/>
  <c r="G386" i="1"/>
  <c r="N385" i="1"/>
  <c r="J385" i="1"/>
  <c r="H385" i="1"/>
  <c r="K385" i="1" s="1"/>
  <c r="G385" i="1"/>
  <c r="N384" i="1"/>
  <c r="J384" i="1"/>
  <c r="H384" i="1"/>
  <c r="M384" i="1" s="1"/>
  <c r="G384" i="1"/>
  <c r="N383" i="1"/>
  <c r="L383" i="1" s="1"/>
  <c r="I383" i="1" s="1"/>
  <c r="M383" i="1"/>
  <c r="J383" i="1"/>
  <c r="H383" i="1"/>
  <c r="K383" i="1" s="1"/>
  <c r="G383" i="1"/>
  <c r="N382" i="1"/>
  <c r="J382" i="1"/>
  <c r="H382" i="1"/>
  <c r="G382" i="1"/>
  <c r="N381" i="1"/>
  <c r="J381" i="1"/>
  <c r="H381" i="1"/>
  <c r="G381" i="1"/>
  <c r="N380" i="1"/>
  <c r="J380" i="1"/>
  <c r="H380" i="1"/>
  <c r="M380" i="1" s="1"/>
  <c r="G380" i="1"/>
  <c r="N379" i="1"/>
  <c r="J379" i="1"/>
  <c r="H379" i="1"/>
  <c r="G379" i="1"/>
  <c r="N378" i="1"/>
  <c r="J378" i="1"/>
  <c r="H378" i="1"/>
  <c r="K378" i="1" s="1"/>
  <c r="G378" i="1"/>
  <c r="N377" i="1"/>
  <c r="J377" i="1"/>
  <c r="H377" i="1"/>
  <c r="M377" i="1" s="1"/>
  <c r="G377" i="1"/>
  <c r="N376" i="1"/>
  <c r="J376" i="1"/>
  <c r="H376" i="1"/>
  <c r="M376" i="1" s="1"/>
  <c r="G376" i="1"/>
  <c r="N375" i="1"/>
  <c r="J375" i="1"/>
  <c r="H375" i="1"/>
  <c r="M375" i="1" s="1"/>
  <c r="G375" i="1"/>
  <c r="N374" i="1"/>
  <c r="J374" i="1"/>
  <c r="H374" i="1"/>
  <c r="G374" i="1"/>
  <c r="N373" i="1"/>
  <c r="J373" i="1"/>
  <c r="H373" i="1"/>
  <c r="M373" i="1" s="1"/>
  <c r="G373" i="1"/>
  <c r="N372" i="1"/>
  <c r="J372" i="1"/>
  <c r="H372" i="1"/>
  <c r="M372" i="1" s="1"/>
  <c r="G372" i="1"/>
  <c r="N371" i="1"/>
  <c r="J371" i="1"/>
  <c r="H371" i="1"/>
  <c r="G371" i="1"/>
  <c r="N370" i="1"/>
  <c r="J370" i="1"/>
  <c r="H370" i="1"/>
  <c r="M370" i="1" s="1"/>
  <c r="G370" i="1"/>
  <c r="N369" i="1"/>
  <c r="L369" i="1" s="1"/>
  <c r="I369" i="1" s="1"/>
  <c r="J369" i="1"/>
  <c r="H369" i="1"/>
  <c r="K369" i="1" s="1"/>
  <c r="G369" i="1"/>
  <c r="N368" i="1"/>
  <c r="J368" i="1"/>
  <c r="H368" i="1"/>
  <c r="M368" i="1" s="1"/>
  <c r="G368" i="1"/>
  <c r="N367" i="1"/>
  <c r="L367" i="1" s="1"/>
  <c r="I367" i="1" s="1"/>
  <c r="J367" i="1"/>
  <c r="H367" i="1"/>
  <c r="K367" i="1" s="1"/>
  <c r="G367" i="1"/>
  <c r="N366" i="1"/>
  <c r="J366" i="1"/>
  <c r="H366" i="1"/>
  <c r="G366" i="1"/>
  <c r="N365" i="1"/>
  <c r="J365" i="1"/>
  <c r="H365" i="1"/>
  <c r="G365" i="1"/>
  <c r="N364" i="1"/>
  <c r="J364" i="1"/>
  <c r="H364" i="1"/>
  <c r="M364" i="1" s="1"/>
  <c r="G364" i="1"/>
  <c r="N363" i="1"/>
  <c r="J363" i="1"/>
  <c r="H363" i="1"/>
  <c r="M363" i="1" s="1"/>
  <c r="G363" i="1"/>
  <c r="N362" i="1"/>
  <c r="J362" i="1"/>
  <c r="H362" i="1"/>
  <c r="K362" i="1" s="1"/>
  <c r="G362" i="1"/>
  <c r="N361" i="1"/>
  <c r="J361" i="1"/>
  <c r="H361" i="1"/>
  <c r="K361" i="1" s="1"/>
  <c r="G361" i="1"/>
  <c r="N360" i="1"/>
  <c r="J360" i="1"/>
  <c r="H360" i="1"/>
  <c r="G360" i="1"/>
  <c r="N359" i="1"/>
  <c r="J359" i="1"/>
  <c r="H359" i="1"/>
  <c r="G359" i="1"/>
  <c r="N358" i="1"/>
  <c r="J358" i="1"/>
  <c r="H358" i="1"/>
  <c r="K358" i="1" s="1"/>
  <c r="G358" i="1"/>
  <c r="N357" i="1"/>
  <c r="J357" i="1"/>
  <c r="H357" i="1"/>
  <c r="G357" i="1"/>
  <c r="N356" i="1"/>
  <c r="J356" i="1"/>
  <c r="H356" i="1"/>
  <c r="M356" i="1" s="1"/>
  <c r="G356" i="1"/>
  <c r="N355" i="1"/>
  <c r="J355" i="1"/>
  <c r="H355" i="1"/>
  <c r="G355" i="1"/>
  <c r="K355" i="1" s="1"/>
  <c r="N354" i="1"/>
  <c r="J354" i="1"/>
  <c r="H354" i="1"/>
  <c r="G354" i="1"/>
  <c r="N353" i="1"/>
  <c r="L353" i="1" s="1"/>
  <c r="I353" i="1" s="1"/>
  <c r="J353" i="1"/>
  <c r="H353" i="1"/>
  <c r="K353" i="1" s="1"/>
  <c r="G353" i="1"/>
  <c r="N352" i="1"/>
  <c r="J352" i="1"/>
  <c r="H352" i="1"/>
  <c r="M352" i="1" s="1"/>
  <c r="G352" i="1"/>
  <c r="N351" i="1"/>
  <c r="J351" i="1"/>
  <c r="H351" i="1"/>
  <c r="K351" i="1" s="1"/>
  <c r="G351" i="1"/>
  <c r="N350" i="1"/>
  <c r="J350" i="1"/>
  <c r="H350" i="1"/>
  <c r="M350" i="1" s="1"/>
  <c r="G350" i="1"/>
  <c r="N349" i="1"/>
  <c r="J349" i="1"/>
  <c r="H349" i="1"/>
  <c r="K349" i="1" s="1"/>
  <c r="G349" i="1"/>
  <c r="N348" i="1"/>
  <c r="J348" i="1"/>
  <c r="H348" i="1"/>
  <c r="G348" i="1"/>
  <c r="N347" i="1"/>
  <c r="J347" i="1"/>
  <c r="H347" i="1"/>
  <c r="M347" i="1" s="1"/>
  <c r="G347" i="1"/>
  <c r="N346" i="1"/>
  <c r="J346" i="1"/>
  <c r="H346" i="1"/>
  <c r="M346" i="1" s="1"/>
  <c r="G346" i="1"/>
  <c r="N345" i="1"/>
  <c r="J345" i="1"/>
  <c r="H345" i="1"/>
  <c r="G345" i="1"/>
  <c r="N344" i="1"/>
  <c r="J344" i="1"/>
  <c r="H344" i="1"/>
  <c r="M344" i="1" s="1"/>
  <c r="G344" i="1"/>
  <c r="N343" i="1"/>
  <c r="J343" i="1"/>
  <c r="H343" i="1"/>
  <c r="M343" i="1" s="1"/>
  <c r="G343" i="1"/>
  <c r="N342" i="1"/>
  <c r="J342" i="1"/>
  <c r="H342" i="1"/>
  <c r="G342" i="1"/>
  <c r="N341" i="1"/>
  <c r="J341" i="1"/>
  <c r="H341" i="1"/>
  <c r="M341" i="1" s="1"/>
  <c r="G341" i="1"/>
  <c r="N340" i="1"/>
  <c r="J340" i="1"/>
  <c r="H340" i="1"/>
  <c r="M340" i="1" s="1"/>
  <c r="G340" i="1"/>
  <c r="N339" i="1"/>
  <c r="J339" i="1"/>
  <c r="H339" i="1"/>
  <c r="G339" i="1"/>
  <c r="N338" i="1"/>
  <c r="J338" i="1"/>
  <c r="H338" i="1"/>
  <c r="M338" i="1" s="1"/>
  <c r="G338" i="1"/>
  <c r="N337" i="1"/>
  <c r="J337" i="1"/>
  <c r="H337" i="1"/>
  <c r="M337" i="1" s="1"/>
  <c r="G337" i="1"/>
  <c r="N336" i="1"/>
  <c r="J336" i="1"/>
  <c r="H336" i="1"/>
  <c r="K336" i="1" s="1"/>
  <c r="G336" i="1"/>
  <c r="N335" i="1"/>
  <c r="J335" i="1"/>
  <c r="H335" i="1"/>
  <c r="G335" i="1"/>
  <c r="N334" i="1"/>
  <c r="J334" i="1"/>
  <c r="H334" i="1"/>
  <c r="M334" i="1" s="1"/>
  <c r="G334" i="1"/>
  <c r="N333" i="1"/>
  <c r="J333" i="1"/>
  <c r="H333" i="1"/>
  <c r="G333" i="1"/>
  <c r="N332" i="1"/>
  <c r="J332" i="1"/>
  <c r="H332" i="1"/>
  <c r="G332" i="1"/>
  <c r="N331" i="1"/>
  <c r="J331" i="1"/>
  <c r="H331" i="1"/>
  <c r="G331" i="1"/>
  <c r="N330" i="1"/>
  <c r="J330" i="1"/>
  <c r="H330" i="1"/>
  <c r="G330" i="1"/>
  <c r="N329" i="1"/>
  <c r="J329" i="1"/>
  <c r="H329" i="1"/>
  <c r="M329" i="1" s="1"/>
  <c r="G329" i="1"/>
  <c r="N328" i="1"/>
  <c r="J328" i="1"/>
  <c r="H328" i="1"/>
  <c r="G328" i="1"/>
  <c r="N327" i="1"/>
  <c r="J327" i="1"/>
  <c r="H327" i="1"/>
  <c r="M327" i="1" s="1"/>
  <c r="G327" i="1"/>
  <c r="N326" i="1"/>
  <c r="J326" i="1"/>
  <c r="H326" i="1"/>
  <c r="M326" i="1" s="1"/>
  <c r="G326" i="1"/>
  <c r="N325" i="1"/>
  <c r="K325" i="1"/>
  <c r="J325" i="1"/>
  <c r="H325" i="1"/>
  <c r="M325" i="1" s="1"/>
  <c r="G325" i="1"/>
  <c r="N324" i="1"/>
  <c r="J324" i="1"/>
  <c r="H324" i="1"/>
  <c r="M324" i="1" s="1"/>
  <c r="G324" i="1"/>
  <c r="N323" i="1"/>
  <c r="J323" i="1"/>
  <c r="H323" i="1"/>
  <c r="L323" i="1" s="1"/>
  <c r="I323" i="1" s="1"/>
  <c r="G323" i="1"/>
  <c r="N322" i="1"/>
  <c r="J322" i="1"/>
  <c r="H322" i="1"/>
  <c r="G322" i="1"/>
  <c r="N321" i="1"/>
  <c r="J321" i="1"/>
  <c r="H321" i="1"/>
  <c r="G321" i="1"/>
  <c r="N320" i="1"/>
  <c r="J320" i="1"/>
  <c r="H320" i="1"/>
  <c r="G320" i="1"/>
  <c r="N319" i="1"/>
  <c r="J319" i="1"/>
  <c r="H319" i="1"/>
  <c r="M319" i="1" s="1"/>
  <c r="G319" i="1"/>
  <c r="N318" i="1"/>
  <c r="J318" i="1"/>
  <c r="H318" i="1"/>
  <c r="G318" i="1"/>
  <c r="N317" i="1"/>
  <c r="J317" i="1"/>
  <c r="H317" i="1"/>
  <c r="G317" i="1"/>
  <c r="N316" i="1"/>
  <c r="K316" i="1"/>
  <c r="J316" i="1"/>
  <c r="H316" i="1"/>
  <c r="M316" i="1" s="1"/>
  <c r="G316" i="1"/>
  <c r="N315" i="1"/>
  <c r="J315" i="1"/>
  <c r="H315" i="1"/>
  <c r="G315" i="1"/>
  <c r="N314" i="1"/>
  <c r="J314" i="1"/>
  <c r="H314" i="1"/>
  <c r="M314" i="1" s="1"/>
  <c r="G314" i="1"/>
  <c r="N313" i="1"/>
  <c r="J313" i="1"/>
  <c r="H313" i="1"/>
  <c r="K313" i="1" s="1"/>
  <c r="G313" i="1"/>
  <c r="N312" i="1"/>
  <c r="J312" i="1"/>
  <c r="H312" i="1"/>
  <c r="G312" i="1"/>
  <c r="L312" i="1" s="1"/>
  <c r="I312" i="1" s="1"/>
  <c r="N311" i="1"/>
  <c r="J311" i="1"/>
  <c r="H311" i="1"/>
  <c r="G311" i="1"/>
  <c r="N310" i="1"/>
  <c r="J310" i="1"/>
  <c r="H310" i="1"/>
  <c r="K310" i="1" s="1"/>
  <c r="G310" i="1"/>
  <c r="N309" i="1"/>
  <c r="J309" i="1"/>
  <c r="H309" i="1"/>
  <c r="M309" i="1" s="1"/>
  <c r="G309" i="1"/>
  <c r="N308" i="1"/>
  <c r="J308" i="1"/>
  <c r="H308" i="1"/>
  <c r="G308" i="1"/>
  <c r="N307" i="1"/>
  <c r="J307" i="1"/>
  <c r="H307" i="1"/>
  <c r="K307" i="1" s="1"/>
  <c r="G307" i="1"/>
  <c r="N306" i="1"/>
  <c r="J306" i="1"/>
  <c r="H306" i="1"/>
  <c r="M306" i="1" s="1"/>
  <c r="G306" i="1"/>
  <c r="N305" i="1"/>
  <c r="J305" i="1"/>
  <c r="H305" i="1"/>
  <c r="M305" i="1" s="1"/>
  <c r="G305" i="1"/>
  <c r="N304" i="1"/>
  <c r="K304" i="1"/>
  <c r="J304" i="1"/>
  <c r="H304" i="1"/>
  <c r="G304" i="1"/>
  <c r="N303" i="1"/>
  <c r="J303" i="1"/>
  <c r="H303" i="1"/>
  <c r="G303" i="1"/>
  <c r="N302" i="1"/>
  <c r="J302" i="1"/>
  <c r="H302" i="1"/>
  <c r="M302" i="1" s="1"/>
  <c r="G302" i="1"/>
  <c r="N301" i="1"/>
  <c r="J301" i="1"/>
  <c r="H301" i="1"/>
  <c r="G301" i="1"/>
  <c r="K301" i="1" s="1"/>
  <c r="N300" i="1"/>
  <c r="J300" i="1"/>
  <c r="H300" i="1"/>
  <c r="G300" i="1"/>
  <c r="N299" i="1"/>
  <c r="J299" i="1"/>
  <c r="H299" i="1"/>
  <c r="G299" i="1"/>
  <c r="N298" i="1"/>
  <c r="J298" i="1"/>
  <c r="H298" i="1"/>
  <c r="G298" i="1"/>
  <c r="N297" i="1"/>
  <c r="J297" i="1"/>
  <c r="H297" i="1"/>
  <c r="M297" i="1" s="1"/>
  <c r="G297" i="1"/>
  <c r="N296" i="1"/>
  <c r="J296" i="1"/>
  <c r="H296" i="1"/>
  <c r="G296" i="1"/>
  <c r="N295" i="1"/>
  <c r="J295" i="1"/>
  <c r="H295" i="1"/>
  <c r="M295" i="1" s="1"/>
  <c r="G295" i="1"/>
  <c r="N294" i="1"/>
  <c r="J294" i="1"/>
  <c r="H294" i="1"/>
  <c r="M294" i="1" s="1"/>
  <c r="G294" i="1"/>
  <c r="N293" i="1"/>
  <c r="K293" i="1"/>
  <c r="J293" i="1"/>
  <c r="H293" i="1"/>
  <c r="M293" i="1" s="1"/>
  <c r="G293" i="1"/>
  <c r="L293" i="1" s="1"/>
  <c r="I293" i="1" s="1"/>
  <c r="N292" i="1"/>
  <c r="J292" i="1"/>
  <c r="H292" i="1"/>
  <c r="M292" i="1" s="1"/>
  <c r="G292" i="1"/>
  <c r="N291" i="1"/>
  <c r="J291" i="1"/>
  <c r="H291" i="1"/>
  <c r="L291" i="1" s="1"/>
  <c r="I291" i="1" s="1"/>
  <c r="G291" i="1"/>
  <c r="N290" i="1"/>
  <c r="J290" i="1"/>
  <c r="H290" i="1"/>
  <c r="M290" i="1" s="1"/>
  <c r="G290" i="1"/>
  <c r="N289" i="1"/>
  <c r="J289" i="1"/>
  <c r="H289" i="1"/>
  <c r="G289" i="1"/>
  <c r="N288" i="1"/>
  <c r="J288" i="1"/>
  <c r="H288" i="1"/>
  <c r="G288" i="1"/>
  <c r="N287" i="1"/>
  <c r="J287" i="1"/>
  <c r="H287" i="1"/>
  <c r="K287" i="1" s="1"/>
  <c r="G287" i="1"/>
  <c r="N286" i="1"/>
  <c r="J286" i="1"/>
  <c r="H286" i="1"/>
  <c r="G286" i="1"/>
  <c r="L286" i="1" s="1"/>
  <c r="I286" i="1" s="1"/>
  <c r="N285" i="1"/>
  <c r="J285" i="1"/>
  <c r="H285" i="1"/>
  <c r="G285" i="1"/>
  <c r="N284" i="1"/>
  <c r="J284" i="1"/>
  <c r="H284" i="1"/>
  <c r="K284" i="1" s="1"/>
  <c r="G284" i="1"/>
  <c r="N283" i="1"/>
  <c r="J283" i="1"/>
  <c r="H283" i="1"/>
  <c r="M283" i="1" s="1"/>
  <c r="G283" i="1"/>
  <c r="N282" i="1"/>
  <c r="J282" i="1"/>
  <c r="H282" i="1"/>
  <c r="G282" i="1"/>
  <c r="N281" i="1"/>
  <c r="J281" i="1"/>
  <c r="H281" i="1"/>
  <c r="G281" i="1"/>
  <c r="N280" i="1"/>
  <c r="J280" i="1"/>
  <c r="H280" i="1"/>
  <c r="G280" i="1"/>
  <c r="N279" i="1"/>
  <c r="K279" i="1"/>
  <c r="J279" i="1"/>
  <c r="H279" i="1"/>
  <c r="L279" i="1" s="1"/>
  <c r="I279" i="1" s="1"/>
  <c r="G279" i="1"/>
  <c r="N278" i="1"/>
  <c r="J278" i="1"/>
  <c r="H278" i="1"/>
  <c r="G278" i="1"/>
  <c r="N277" i="1"/>
  <c r="J277" i="1"/>
  <c r="H277" i="1"/>
  <c r="G277" i="1"/>
  <c r="N276" i="1"/>
  <c r="J276" i="1"/>
  <c r="H276" i="1"/>
  <c r="K276" i="1" s="1"/>
  <c r="G276" i="1"/>
  <c r="N275" i="1"/>
  <c r="J275" i="1"/>
  <c r="H275" i="1"/>
  <c r="M275" i="1" s="1"/>
  <c r="G275" i="1"/>
  <c r="N274" i="1"/>
  <c r="J274" i="1"/>
  <c r="H274" i="1"/>
  <c r="G274" i="1"/>
  <c r="N273" i="1"/>
  <c r="J273" i="1"/>
  <c r="H273" i="1"/>
  <c r="G273" i="1"/>
  <c r="N272" i="1"/>
  <c r="J272" i="1"/>
  <c r="H272" i="1"/>
  <c r="G272" i="1"/>
  <c r="N271" i="1"/>
  <c r="J271" i="1"/>
  <c r="H271" i="1"/>
  <c r="K271" i="1" s="1"/>
  <c r="G271" i="1"/>
  <c r="N270" i="1"/>
  <c r="J270" i="1"/>
  <c r="H270" i="1"/>
  <c r="G270" i="1"/>
  <c r="N269" i="1"/>
  <c r="J269" i="1"/>
  <c r="H269" i="1"/>
  <c r="G269" i="1"/>
  <c r="K269" i="1" s="1"/>
  <c r="N268" i="1"/>
  <c r="J268" i="1"/>
  <c r="H268" i="1"/>
  <c r="K268" i="1" s="1"/>
  <c r="G268" i="1"/>
  <c r="N267" i="1"/>
  <c r="J267" i="1"/>
  <c r="H267" i="1"/>
  <c r="M267" i="1" s="1"/>
  <c r="G267" i="1"/>
  <c r="N266" i="1"/>
  <c r="J266" i="1"/>
  <c r="H266" i="1"/>
  <c r="G266" i="1"/>
  <c r="N265" i="1"/>
  <c r="J265" i="1"/>
  <c r="H265" i="1"/>
  <c r="G265" i="1"/>
  <c r="N264" i="1"/>
  <c r="J264" i="1"/>
  <c r="H264" i="1"/>
  <c r="G264" i="1"/>
  <c r="N263" i="1"/>
  <c r="K263" i="1"/>
  <c r="J263" i="1"/>
  <c r="H263" i="1"/>
  <c r="G263" i="1"/>
  <c r="N262" i="1"/>
  <c r="J262" i="1"/>
  <c r="H262" i="1"/>
  <c r="G262" i="1"/>
  <c r="N261" i="1"/>
  <c r="J261" i="1"/>
  <c r="H261" i="1"/>
  <c r="G261" i="1"/>
  <c r="N260" i="1"/>
  <c r="J260" i="1"/>
  <c r="H260" i="1"/>
  <c r="G260" i="1"/>
  <c r="N259" i="1"/>
  <c r="J259" i="1"/>
  <c r="H259" i="1"/>
  <c r="G259" i="1"/>
  <c r="N258" i="1"/>
  <c r="K258" i="1"/>
  <c r="J258" i="1"/>
  <c r="H258" i="1"/>
  <c r="M258" i="1" s="1"/>
  <c r="G258" i="1"/>
  <c r="N257" i="1"/>
  <c r="J257" i="1"/>
  <c r="H257" i="1"/>
  <c r="M257" i="1" s="1"/>
  <c r="G257" i="1"/>
  <c r="N256" i="1"/>
  <c r="J256" i="1"/>
  <c r="H256" i="1"/>
  <c r="M256" i="1" s="1"/>
  <c r="G256" i="1"/>
  <c r="N255" i="1"/>
  <c r="M255" i="1"/>
  <c r="J255" i="1"/>
  <c r="H255" i="1"/>
  <c r="G255" i="1"/>
  <c r="N254" i="1"/>
  <c r="J254" i="1"/>
  <c r="H254" i="1"/>
  <c r="G254" i="1"/>
  <c r="N253" i="1"/>
  <c r="M253" i="1"/>
  <c r="J253" i="1"/>
  <c r="H253" i="1"/>
  <c r="K253" i="1" s="1"/>
  <c r="G253" i="1"/>
  <c r="N252" i="1"/>
  <c r="J252" i="1"/>
  <c r="H252" i="1"/>
  <c r="M252" i="1" s="1"/>
  <c r="G252" i="1"/>
  <c r="N251" i="1"/>
  <c r="J251" i="1"/>
  <c r="H251" i="1"/>
  <c r="G251" i="1"/>
  <c r="N250" i="1"/>
  <c r="J250" i="1"/>
  <c r="H250" i="1"/>
  <c r="M250" i="1" s="1"/>
  <c r="G250" i="1"/>
  <c r="N249" i="1"/>
  <c r="J249" i="1"/>
  <c r="H249" i="1"/>
  <c r="G249" i="1"/>
  <c r="N248" i="1"/>
  <c r="J248" i="1"/>
  <c r="H248" i="1"/>
  <c r="K248" i="1" s="1"/>
  <c r="G248" i="1"/>
  <c r="N247" i="1"/>
  <c r="J247" i="1"/>
  <c r="H247" i="1"/>
  <c r="M247" i="1" s="1"/>
  <c r="G247" i="1"/>
  <c r="L247" i="1" s="1"/>
  <c r="I247" i="1" s="1"/>
  <c r="N246" i="1"/>
  <c r="L246" i="1"/>
  <c r="I246" i="1" s="1"/>
  <c r="K246" i="1"/>
  <c r="J246" i="1"/>
  <c r="H246" i="1"/>
  <c r="M246" i="1" s="1"/>
  <c r="G246" i="1"/>
  <c r="N245" i="1"/>
  <c r="J245" i="1"/>
  <c r="H245" i="1"/>
  <c r="M245" i="1" s="1"/>
  <c r="G245" i="1"/>
  <c r="L245" i="1" s="1"/>
  <c r="I245" i="1" s="1"/>
  <c r="N244" i="1"/>
  <c r="J244" i="1"/>
  <c r="H244" i="1"/>
  <c r="G244" i="1"/>
  <c r="N243" i="1"/>
  <c r="J243" i="1"/>
  <c r="H243" i="1"/>
  <c r="M243" i="1" s="1"/>
  <c r="G243" i="1"/>
  <c r="L243" i="1" s="1"/>
  <c r="I243" i="1" s="1"/>
  <c r="N242" i="1"/>
  <c r="J242" i="1"/>
  <c r="H242" i="1"/>
  <c r="G242" i="1"/>
  <c r="N241" i="1"/>
  <c r="J241" i="1"/>
  <c r="H241" i="1"/>
  <c r="M241" i="1" s="1"/>
  <c r="G241" i="1"/>
  <c r="N240" i="1"/>
  <c r="J240" i="1"/>
  <c r="H240" i="1"/>
  <c r="L240" i="1" s="1"/>
  <c r="I240" i="1" s="1"/>
  <c r="G240" i="1"/>
  <c r="N239" i="1"/>
  <c r="M239" i="1"/>
  <c r="L239" i="1"/>
  <c r="I239" i="1" s="1"/>
  <c r="K239" i="1"/>
  <c r="J239" i="1"/>
  <c r="H239" i="1"/>
  <c r="G239" i="1"/>
  <c r="N238" i="1"/>
  <c r="J238" i="1"/>
  <c r="H238" i="1"/>
  <c r="G238" i="1"/>
  <c r="N237" i="1"/>
  <c r="M237" i="1"/>
  <c r="J237" i="1"/>
  <c r="H237" i="1"/>
  <c r="G237" i="1"/>
  <c r="N236" i="1"/>
  <c r="J236" i="1"/>
  <c r="H236" i="1"/>
  <c r="G236" i="1"/>
  <c r="N235" i="1"/>
  <c r="J235" i="1"/>
  <c r="H235" i="1"/>
  <c r="G235" i="1"/>
  <c r="N234" i="1"/>
  <c r="J234" i="1"/>
  <c r="H234" i="1"/>
  <c r="M234" i="1" s="1"/>
  <c r="G234" i="1"/>
  <c r="N233" i="1"/>
  <c r="J233" i="1"/>
  <c r="H233" i="1"/>
  <c r="G233" i="1"/>
  <c r="N232" i="1"/>
  <c r="L232" i="1"/>
  <c r="I232" i="1" s="1"/>
  <c r="K232" i="1"/>
  <c r="J232" i="1"/>
  <c r="H232" i="1"/>
  <c r="G232" i="1"/>
  <c r="N231" i="1"/>
  <c r="K231" i="1"/>
  <c r="J231" i="1"/>
  <c r="H231" i="1"/>
  <c r="M231" i="1" s="1"/>
  <c r="G231" i="1"/>
  <c r="L231" i="1" s="1"/>
  <c r="I231" i="1" s="1"/>
  <c r="N230" i="1"/>
  <c r="K230" i="1"/>
  <c r="J230" i="1"/>
  <c r="H230" i="1"/>
  <c r="M230" i="1" s="1"/>
  <c r="G230" i="1"/>
  <c r="N229" i="1"/>
  <c r="J229" i="1"/>
  <c r="H229" i="1"/>
  <c r="M229" i="1" s="1"/>
  <c r="G229" i="1"/>
  <c r="N228" i="1"/>
  <c r="J228" i="1"/>
  <c r="H228" i="1"/>
  <c r="G228" i="1"/>
  <c r="N227" i="1"/>
  <c r="J227" i="1"/>
  <c r="H227" i="1"/>
  <c r="M227" i="1" s="1"/>
  <c r="G227" i="1"/>
  <c r="N226" i="1"/>
  <c r="J226" i="1"/>
  <c r="H226" i="1"/>
  <c r="G226" i="1"/>
  <c r="N225" i="1"/>
  <c r="M225" i="1"/>
  <c r="J225" i="1"/>
  <c r="H225" i="1"/>
  <c r="G225" i="1"/>
  <c r="N224" i="1"/>
  <c r="J224" i="1"/>
  <c r="H224" i="1"/>
  <c r="G224" i="1"/>
  <c r="N223" i="1"/>
  <c r="J223" i="1"/>
  <c r="H223" i="1"/>
  <c r="M223" i="1" s="1"/>
  <c r="G223" i="1"/>
  <c r="N222" i="1"/>
  <c r="J222" i="1"/>
  <c r="H222" i="1"/>
  <c r="M222" i="1" s="1"/>
  <c r="G222" i="1"/>
  <c r="N221" i="1"/>
  <c r="J221" i="1"/>
  <c r="H221" i="1"/>
  <c r="M221" i="1" s="1"/>
  <c r="G221" i="1"/>
  <c r="N220" i="1"/>
  <c r="J220" i="1"/>
  <c r="H220" i="1"/>
  <c r="K220" i="1" s="1"/>
  <c r="G220" i="1"/>
  <c r="N219" i="1"/>
  <c r="J219" i="1"/>
  <c r="H219" i="1"/>
  <c r="M219" i="1" s="1"/>
  <c r="G219" i="1"/>
  <c r="N218" i="1"/>
  <c r="J218" i="1"/>
  <c r="H218" i="1"/>
  <c r="M218" i="1" s="1"/>
  <c r="G218" i="1"/>
  <c r="N217" i="1"/>
  <c r="L217" i="1" s="1"/>
  <c r="I217" i="1" s="1"/>
  <c r="J217" i="1"/>
  <c r="H217" i="1"/>
  <c r="K217" i="1" s="1"/>
  <c r="G217" i="1"/>
  <c r="N216" i="1"/>
  <c r="J216" i="1"/>
  <c r="H216" i="1"/>
  <c r="G216" i="1"/>
  <c r="N215" i="1"/>
  <c r="J215" i="1"/>
  <c r="H215" i="1"/>
  <c r="G215" i="1"/>
  <c r="N214" i="1"/>
  <c r="J214" i="1"/>
  <c r="H214" i="1"/>
  <c r="M214" i="1" s="1"/>
  <c r="G214" i="1"/>
  <c r="N213" i="1"/>
  <c r="J213" i="1"/>
  <c r="H213" i="1"/>
  <c r="G213" i="1"/>
  <c r="N212" i="1"/>
  <c r="J212" i="1"/>
  <c r="H212" i="1"/>
  <c r="G212" i="1"/>
  <c r="N211" i="1"/>
  <c r="J211" i="1"/>
  <c r="H211" i="1"/>
  <c r="G211" i="1"/>
  <c r="N210" i="1"/>
  <c r="J210" i="1"/>
  <c r="H210" i="1"/>
  <c r="G210" i="1"/>
  <c r="N209" i="1"/>
  <c r="J209" i="1"/>
  <c r="H209" i="1"/>
  <c r="G209" i="1"/>
  <c r="N208" i="1"/>
  <c r="J208" i="1"/>
  <c r="H208" i="1"/>
  <c r="M208" i="1" s="1"/>
  <c r="G208" i="1"/>
  <c r="N207" i="1"/>
  <c r="J207" i="1"/>
  <c r="H207" i="1"/>
  <c r="G207" i="1"/>
  <c r="N206" i="1"/>
  <c r="L206" i="1" s="1"/>
  <c r="I206" i="1" s="1"/>
  <c r="J206" i="1"/>
  <c r="H206" i="1"/>
  <c r="K206" i="1" s="1"/>
  <c r="G206" i="1"/>
  <c r="N205" i="1"/>
  <c r="J205" i="1"/>
  <c r="H205" i="1"/>
  <c r="M205" i="1" s="1"/>
  <c r="G205" i="1"/>
  <c r="N204" i="1"/>
  <c r="J204" i="1"/>
  <c r="H204" i="1"/>
  <c r="K204" i="1" s="1"/>
  <c r="G204" i="1"/>
  <c r="N203" i="1"/>
  <c r="J203" i="1"/>
  <c r="H203" i="1"/>
  <c r="M203" i="1" s="1"/>
  <c r="G203" i="1"/>
  <c r="N202" i="1"/>
  <c r="L202" i="1"/>
  <c r="I202" i="1" s="1"/>
  <c r="K202" i="1"/>
  <c r="J202" i="1"/>
  <c r="H202" i="1"/>
  <c r="G202" i="1"/>
  <c r="N201" i="1"/>
  <c r="J201" i="1"/>
  <c r="H201" i="1"/>
  <c r="M201" i="1" s="1"/>
  <c r="G201" i="1"/>
  <c r="L201" i="1" s="1"/>
  <c r="I201" i="1" s="1"/>
  <c r="N200" i="1"/>
  <c r="J200" i="1"/>
  <c r="H200" i="1"/>
  <c r="M200" i="1" s="1"/>
  <c r="G200" i="1"/>
  <c r="N199" i="1"/>
  <c r="J199" i="1"/>
  <c r="H199" i="1"/>
  <c r="M199" i="1" s="1"/>
  <c r="G199" i="1"/>
  <c r="L199" i="1" s="1"/>
  <c r="I199" i="1" s="1"/>
  <c r="N198" i="1"/>
  <c r="J198" i="1"/>
  <c r="H198" i="1"/>
  <c r="G198" i="1"/>
  <c r="N197" i="1"/>
  <c r="J197" i="1"/>
  <c r="H197" i="1"/>
  <c r="M197" i="1" s="1"/>
  <c r="G197" i="1"/>
  <c r="N196" i="1"/>
  <c r="J196" i="1"/>
  <c r="H196" i="1"/>
  <c r="G196" i="1"/>
  <c r="N195" i="1"/>
  <c r="J195" i="1"/>
  <c r="H195" i="1"/>
  <c r="M195" i="1" s="1"/>
  <c r="G195" i="1"/>
  <c r="L195" i="1" s="1"/>
  <c r="I195" i="1" s="1"/>
  <c r="N194" i="1"/>
  <c r="J194" i="1"/>
  <c r="H194" i="1"/>
  <c r="G194" i="1"/>
  <c r="N193" i="1"/>
  <c r="J193" i="1"/>
  <c r="H193" i="1"/>
  <c r="M193" i="1" s="1"/>
  <c r="G193" i="1"/>
  <c r="N192" i="1"/>
  <c r="J192" i="1"/>
  <c r="H192" i="1"/>
  <c r="G192" i="1"/>
  <c r="N191" i="1"/>
  <c r="J191" i="1"/>
  <c r="H191" i="1"/>
  <c r="M191" i="1" s="1"/>
  <c r="G191" i="1"/>
  <c r="L191" i="1" s="1"/>
  <c r="I191" i="1" s="1"/>
  <c r="N190" i="1"/>
  <c r="J190" i="1"/>
  <c r="H190" i="1"/>
  <c r="G190" i="1"/>
  <c r="N189" i="1"/>
  <c r="J189" i="1"/>
  <c r="H189" i="1"/>
  <c r="M189" i="1" s="1"/>
  <c r="G189" i="1"/>
  <c r="N188" i="1"/>
  <c r="J188" i="1"/>
  <c r="H188" i="1"/>
  <c r="G188" i="1"/>
  <c r="N187" i="1"/>
  <c r="J187" i="1"/>
  <c r="H187" i="1"/>
  <c r="M187" i="1" s="1"/>
  <c r="G187" i="1"/>
  <c r="L187" i="1" s="1"/>
  <c r="I187" i="1" s="1"/>
  <c r="N186" i="1"/>
  <c r="J186" i="1"/>
  <c r="H186" i="1"/>
  <c r="G186" i="1"/>
  <c r="N185" i="1"/>
  <c r="J185" i="1"/>
  <c r="H185" i="1"/>
  <c r="M185" i="1" s="1"/>
  <c r="G185" i="1"/>
  <c r="N184" i="1"/>
  <c r="J184" i="1"/>
  <c r="H184" i="1"/>
  <c r="G184" i="1"/>
  <c r="N183" i="1"/>
  <c r="J183" i="1"/>
  <c r="H183" i="1"/>
  <c r="M183" i="1" s="1"/>
  <c r="G183" i="1"/>
  <c r="L183" i="1" s="1"/>
  <c r="I183" i="1" s="1"/>
  <c r="N182" i="1"/>
  <c r="J182" i="1"/>
  <c r="H182" i="1"/>
  <c r="G182" i="1"/>
  <c r="N181" i="1"/>
  <c r="J181" i="1"/>
  <c r="H181" i="1"/>
  <c r="M181" i="1" s="1"/>
  <c r="G181" i="1"/>
  <c r="N180" i="1"/>
  <c r="J180" i="1"/>
  <c r="H180" i="1"/>
  <c r="G180" i="1"/>
  <c r="N179" i="1"/>
  <c r="J179" i="1"/>
  <c r="H179" i="1"/>
  <c r="M179" i="1" s="1"/>
  <c r="G179" i="1"/>
  <c r="L179" i="1" s="1"/>
  <c r="I179" i="1" s="1"/>
  <c r="N178" i="1"/>
  <c r="J178" i="1"/>
  <c r="H178" i="1"/>
  <c r="G178" i="1"/>
  <c r="N177" i="1"/>
  <c r="J177" i="1"/>
  <c r="H177" i="1"/>
  <c r="M177" i="1" s="1"/>
  <c r="G177" i="1"/>
  <c r="N176" i="1"/>
  <c r="J176" i="1"/>
  <c r="H176" i="1"/>
  <c r="G176" i="1"/>
  <c r="N175" i="1"/>
  <c r="J175" i="1"/>
  <c r="H175" i="1"/>
  <c r="M175" i="1" s="1"/>
  <c r="G175" i="1"/>
  <c r="L175" i="1" s="1"/>
  <c r="I175" i="1" s="1"/>
  <c r="N174" i="1"/>
  <c r="J174" i="1"/>
  <c r="H174" i="1"/>
  <c r="G174" i="1"/>
  <c r="N173" i="1"/>
  <c r="J173" i="1"/>
  <c r="H173" i="1"/>
  <c r="M173" i="1" s="1"/>
  <c r="G173" i="1"/>
  <c r="N172" i="1"/>
  <c r="J172" i="1"/>
  <c r="H172" i="1"/>
  <c r="G172" i="1"/>
  <c r="N171" i="1"/>
  <c r="J171" i="1"/>
  <c r="H171" i="1"/>
  <c r="M171" i="1" s="1"/>
  <c r="G171" i="1"/>
  <c r="L171" i="1" s="1"/>
  <c r="I171" i="1" s="1"/>
  <c r="N170" i="1"/>
  <c r="J170" i="1"/>
  <c r="H170" i="1"/>
  <c r="G170" i="1"/>
  <c r="N169" i="1"/>
  <c r="J169" i="1"/>
  <c r="H169" i="1"/>
  <c r="M169" i="1" s="1"/>
  <c r="G169" i="1"/>
  <c r="N168" i="1"/>
  <c r="J168" i="1"/>
  <c r="H168" i="1"/>
  <c r="G168" i="1"/>
  <c r="N167" i="1"/>
  <c r="J167" i="1"/>
  <c r="H167" i="1"/>
  <c r="M167" i="1" s="1"/>
  <c r="G167" i="1"/>
  <c r="L167" i="1" s="1"/>
  <c r="I167" i="1" s="1"/>
  <c r="N166" i="1"/>
  <c r="J166" i="1"/>
  <c r="H166" i="1"/>
  <c r="G166" i="1"/>
  <c r="N165" i="1"/>
  <c r="J165" i="1"/>
  <c r="H165" i="1"/>
  <c r="M165" i="1" s="1"/>
  <c r="G165" i="1"/>
  <c r="N164" i="1"/>
  <c r="J164" i="1"/>
  <c r="H164" i="1"/>
  <c r="G164" i="1"/>
  <c r="N163" i="1"/>
  <c r="J163" i="1"/>
  <c r="H163" i="1"/>
  <c r="M163" i="1" s="1"/>
  <c r="G163" i="1"/>
  <c r="L163" i="1" s="1"/>
  <c r="I163" i="1" s="1"/>
  <c r="N162" i="1"/>
  <c r="J162" i="1"/>
  <c r="H162" i="1"/>
  <c r="G162" i="1"/>
  <c r="N161" i="1"/>
  <c r="J161" i="1"/>
  <c r="H161" i="1"/>
  <c r="M161" i="1" s="1"/>
  <c r="G161" i="1"/>
  <c r="N160" i="1"/>
  <c r="J160" i="1"/>
  <c r="H160" i="1"/>
  <c r="G160" i="1"/>
  <c r="N159" i="1"/>
  <c r="J159" i="1"/>
  <c r="H159" i="1"/>
  <c r="M159" i="1" s="1"/>
  <c r="G159" i="1"/>
  <c r="L159" i="1" s="1"/>
  <c r="I159" i="1" s="1"/>
  <c r="N158" i="1"/>
  <c r="J158" i="1"/>
  <c r="H158" i="1"/>
  <c r="G158" i="1"/>
  <c r="N157" i="1"/>
  <c r="J157" i="1"/>
  <c r="H157" i="1"/>
  <c r="M157" i="1" s="1"/>
  <c r="G157" i="1"/>
  <c r="N156" i="1"/>
  <c r="J156" i="1"/>
  <c r="H156" i="1"/>
  <c r="G156" i="1"/>
  <c r="N155" i="1"/>
  <c r="J155" i="1"/>
  <c r="H155" i="1"/>
  <c r="M155" i="1" s="1"/>
  <c r="G155" i="1"/>
  <c r="L155" i="1" s="1"/>
  <c r="I155" i="1" s="1"/>
  <c r="N154" i="1"/>
  <c r="J154" i="1"/>
  <c r="H154" i="1"/>
  <c r="G154" i="1"/>
  <c r="N153" i="1"/>
  <c r="J153" i="1"/>
  <c r="H153" i="1"/>
  <c r="M153" i="1" s="1"/>
  <c r="G153" i="1"/>
  <c r="N152" i="1"/>
  <c r="J152" i="1"/>
  <c r="H152" i="1"/>
  <c r="G152" i="1"/>
  <c r="N151" i="1"/>
  <c r="J151" i="1"/>
  <c r="H151" i="1"/>
  <c r="M151" i="1" s="1"/>
  <c r="G151" i="1"/>
  <c r="L151" i="1" s="1"/>
  <c r="I151" i="1" s="1"/>
  <c r="N150" i="1"/>
  <c r="J150" i="1"/>
  <c r="H150" i="1"/>
  <c r="M150" i="1" s="1"/>
  <c r="G150" i="1"/>
  <c r="N149" i="1"/>
  <c r="J149" i="1"/>
  <c r="H149" i="1"/>
  <c r="M149" i="1" s="1"/>
  <c r="G149" i="1"/>
  <c r="N148" i="1"/>
  <c r="J148" i="1"/>
  <c r="H148" i="1"/>
  <c r="M148" i="1" s="1"/>
  <c r="G148" i="1"/>
  <c r="N147" i="1"/>
  <c r="J147" i="1"/>
  <c r="H147" i="1"/>
  <c r="M147" i="1" s="1"/>
  <c r="G147" i="1"/>
  <c r="L147" i="1" s="1"/>
  <c r="I147" i="1" s="1"/>
  <c r="N146" i="1"/>
  <c r="J146" i="1"/>
  <c r="H146" i="1"/>
  <c r="M146" i="1" s="1"/>
  <c r="G146" i="1"/>
  <c r="N145" i="1"/>
  <c r="J145" i="1"/>
  <c r="H145" i="1"/>
  <c r="M145" i="1" s="1"/>
  <c r="G145" i="1"/>
  <c r="N144" i="1"/>
  <c r="J144" i="1"/>
  <c r="H144" i="1"/>
  <c r="M144" i="1" s="1"/>
  <c r="G144" i="1"/>
  <c r="N143" i="1"/>
  <c r="J143" i="1"/>
  <c r="H143" i="1"/>
  <c r="M143" i="1" s="1"/>
  <c r="G143" i="1"/>
  <c r="L143" i="1" s="1"/>
  <c r="I143" i="1" s="1"/>
  <c r="N142" i="1"/>
  <c r="J142" i="1"/>
  <c r="H142" i="1"/>
  <c r="M142" i="1" s="1"/>
  <c r="G142" i="1"/>
  <c r="N141" i="1"/>
  <c r="J141" i="1"/>
  <c r="H141" i="1"/>
  <c r="M141" i="1" s="1"/>
  <c r="G141" i="1"/>
  <c r="N140" i="1"/>
  <c r="J140" i="1"/>
  <c r="H140" i="1"/>
  <c r="M140" i="1" s="1"/>
  <c r="G140" i="1"/>
  <c r="N139" i="1"/>
  <c r="J139" i="1"/>
  <c r="H139" i="1"/>
  <c r="M139" i="1" s="1"/>
  <c r="G139" i="1"/>
  <c r="L139" i="1" s="1"/>
  <c r="I139" i="1" s="1"/>
  <c r="N138" i="1"/>
  <c r="J138" i="1"/>
  <c r="H138" i="1"/>
  <c r="M138" i="1" s="1"/>
  <c r="G138" i="1"/>
  <c r="N137" i="1"/>
  <c r="J137" i="1"/>
  <c r="H137" i="1"/>
  <c r="M137" i="1" s="1"/>
  <c r="G137" i="1"/>
  <c r="N136" i="1"/>
  <c r="J136" i="1"/>
  <c r="H136" i="1"/>
  <c r="M136" i="1" s="1"/>
  <c r="G136" i="1"/>
  <c r="N135" i="1"/>
  <c r="J135" i="1"/>
  <c r="H135" i="1"/>
  <c r="M135" i="1" s="1"/>
  <c r="G135" i="1"/>
  <c r="L135" i="1" s="1"/>
  <c r="I135" i="1" s="1"/>
  <c r="N134" i="1"/>
  <c r="J134" i="1"/>
  <c r="H134" i="1"/>
  <c r="M134" i="1" s="1"/>
  <c r="G134" i="1"/>
  <c r="N133" i="1"/>
  <c r="J133" i="1"/>
  <c r="H133" i="1"/>
  <c r="M133" i="1" s="1"/>
  <c r="G133" i="1"/>
  <c r="N132" i="1"/>
  <c r="J132" i="1"/>
  <c r="H132" i="1"/>
  <c r="M132" i="1" s="1"/>
  <c r="G132" i="1"/>
  <c r="N131" i="1"/>
  <c r="J131" i="1"/>
  <c r="H131" i="1"/>
  <c r="M131" i="1" s="1"/>
  <c r="G131" i="1"/>
  <c r="L131" i="1" s="1"/>
  <c r="I131" i="1" s="1"/>
  <c r="N130" i="1"/>
  <c r="J130" i="1"/>
  <c r="H130" i="1"/>
  <c r="M130" i="1" s="1"/>
  <c r="G130" i="1"/>
  <c r="N129" i="1"/>
  <c r="J129" i="1"/>
  <c r="H129" i="1"/>
  <c r="M129" i="1" s="1"/>
  <c r="G129" i="1"/>
  <c r="N128" i="1"/>
  <c r="J128" i="1"/>
  <c r="H128" i="1"/>
  <c r="M128" i="1" s="1"/>
  <c r="G128" i="1"/>
  <c r="N127" i="1"/>
  <c r="J127" i="1"/>
  <c r="H127" i="1"/>
  <c r="M127" i="1" s="1"/>
  <c r="G127" i="1"/>
  <c r="L127" i="1" s="1"/>
  <c r="I127" i="1" s="1"/>
  <c r="N126" i="1"/>
  <c r="J126" i="1"/>
  <c r="H126" i="1"/>
  <c r="M126" i="1" s="1"/>
  <c r="G126" i="1"/>
  <c r="N125" i="1"/>
  <c r="J125" i="1"/>
  <c r="H125" i="1"/>
  <c r="M125" i="1" s="1"/>
  <c r="G125" i="1"/>
  <c r="N124" i="1"/>
  <c r="J124" i="1"/>
  <c r="H124" i="1"/>
  <c r="M124" i="1" s="1"/>
  <c r="G124" i="1"/>
  <c r="N123" i="1"/>
  <c r="J123" i="1"/>
  <c r="H123" i="1"/>
  <c r="M123" i="1" s="1"/>
  <c r="G123" i="1"/>
  <c r="L123" i="1" s="1"/>
  <c r="I123" i="1" s="1"/>
  <c r="N122" i="1"/>
  <c r="J122" i="1"/>
  <c r="H122" i="1"/>
  <c r="M122" i="1" s="1"/>
  <c r="G122" i="1"/>
  <c r="N121" i="1"/>
  <c r="J121" i="1"/>
  <c r="H121" i="1"/>
  <c r="M121" i="1" s="1"/>
  <c r="G121" i="1"/>
  <c r="N120" i="1"/>
  <c r="J120" i="1"/>
  <c r="H120" i="1"/>
  <c r="M120" i="1" s="1"/>
  <c r="G120" i="1"/>
  <c r="N119" i="1"/>
  <c r="J119" i="1"/>
  <c r="H119" i="1"/>
  <c r="M119" i="1" s="1"/>
  <c r="G119" i="1"/>
  <c r="L119" i="1" s="1"/>
  <c r="I119" i="1" s="1"/>
  <c r="N118" i="1"/>
  <c r="J118" i="1"/>
  <c r="H118" i="1"/>
  <c r="M118" i="1" s="1"/>
  <c r="G118" i="1"/>
  <c r="N117" i="1"/>
  <c r="J117" i="1"/>
  <c r="H117" i="1"/>
  <c r="M117" i="1" s="1"/>
  <c r="G117" i="1"/>
  <c r="N116" i="1"/>
  <c r="J116" i="1"/>
  <c r="H116" i="1"/>
  <c r="M116" i="1" s="1"/>
  <c r="G116" i="1"/>
  <c r="N115" i="1"/>
  <c r="J115" i="1"/>
  <c r="H115" i="1"/>
  <c r="M115" i="1" s="1"/>
  <c r="G115" i="1"/>
  <c r="L115" i="1" s="1"/>
  <c r="I115" i="1" s="1"/>
  <c r="N114" i="1"/>
  <c r="J114" i="1"/>
  <c r="H114" i="1"/>
  <c r="M114" i="1" s="1"/>
  <c r="G114" i="1"/>
  <c r="N113" i="1"/>
  <c r="J113" i="1"/>
  <c r="H113" i="1"/>
  <c r="M113" i="1" s="1"/>
  <c r="G113" i="1"/>
  <c r="N112" i="1"/>
  <c r="J112" i="1"/>
  <c r="H112" i="1"/>
  <c r="M112" i="1" s="1"/>
  <c r="G112" i="1"/>
  <c r="N111" i="1"/>
  <c r="J111" i="1"/>
  <c r="H111" i="1"/>
  <c r="M111" i="1" s="1"/>
  <c r="G111" i="1"/>
  <c r="L111" i="1" s="1"/>
  <c r="I111" i="1" s="1"/>
  <c r="N110" i="1"/>
  <c r="J110" i="1"/>
  <c r="H110" i="1"/>
  <c r="M110" i="1" s="1"/>
  <c r="G110" i="1"/>
  <c r="N109" i="1"/>
  <c r="J109" i="1"/>
  <c r="H109" i="1"/>
  <c r="M109" i="1" s="1"/>
  <c r="G109" i="1"/>
  <c r="N108" i="1"/>
  <c r="J108" i="1"/>
  <c r="H108" i="1"/>
  <c r="M108" i="1" s="1"/>
  <c r="G108" i="1"/>
  <c r="N107" i="1"/>
  <c r="J107" i="1"/>
  <c r="H107" i="1"/>
  <c r="M107" i="1" s="1"/>
  <c r="G107" i="1"/>
  <c r="L107" i="1" s="1"/>
  <c r="I107" i="1" s="1"/>
  <c r="N106" i="1"/>
  <c r="J106" i="1"/>
  <c r="H106" i="1"/>
  <c r="M106" i="1" s="1"/>
  <c r="G106" i="1"/>
  <c r="N105" i="1"/>
  <c r="J105" i="1"/>
  <c r="H105" i="1"/>
  <c r="M105" i="1" s="1"/>
  <c r="G105" i="1"/>
  <c r="N104" i="1"/>
  <c r="J104" i="1"/>
  <c r="H104" i="1"/>
  <c r="M104" i="1" s="1"/>
  <c r="G104" i="1"/>
  <c r="N103" i="1"/>
  <c r="J103" i="1"/>
  <c r="H103" i="1"/>
  <c r="M103" i="1" s="1"/>
  <c r="G103" i="1"/>
  <c r="L103" i="1" s="1"/>
  <c r="I103" i="1" s="1"/>
  <c r="N102" i="1"/>
  <c r="J102" i="1"/>
  <c r="H102" i="1"/>
  <c r="M102" i="1" s="1"/>
  <c r="G102" i="1"/>
  <c r="N101" i="1"/>
  <c r="J101" i="1"/>
  <c r="H101" i="1"/>
  <c r="M101" i="1" s="1"/>
  <c r="G101" i="1"/>
  <c r="N100" i="1"/>
  <c r="J100" i="1"/>
  <c r="H100" i="1"/>
  <c r="M100" i="1" s="1"/>
  <c r="G100" i="1"/>
  <c r="N99" i="1"/>
  <c r="J99" i="1"/>
  <c r="H99" i="1"/>
  <c r="M99" i="1" s="1"/>
  <c r="G99" i="1"/>
  <c r="L99" i="1" s="1"/>
  <c r="I99" i="1" s="1"/>
  <c r="N98" i="1"/>
  <c r="J98" i="1"/>
  <c r="H98" i="1"/>
  <c r="M98" i="1" s="1"/>
  <c r="G98" i="1"/>
  <c r="N97" i="1"/>
  <c r="J97" i="1"/>
  <c r="H97" i="1"/>
  <c r="M97" i="1" s="1"/>
  <c r="G97" i="1"/>
  <c r="N96" i="1"/>
  <c r="J96" i="1"/>
  <c r="H96" i="1"/>
  <c r="M96" i="1" s="1"/>
  <c r="G96" i="1"/>
  <c r="N95" i="1"/>
  <c r="J95" i="1"/>
  <c r="H95" i="1"/>
  <c r="M95" i="1" s="1"/>
  <c r="G95" i="1"/>
  <c r="L95" i="1" s="1"/>
  <c r="I95" i="1" s="1"/>
  <c r="N94" i="1"/>
  <c r="J94" i="1"/>
  <c r="H94" i="1"/>
  <c r="M94" i="1" s="1"/>
  <c r="G94" i="1"/>
  <c r="N93" i="1"/>
  <c r="J93" i="1"/>
  <c r="H93" i="1"/>
  <c r="M93" i="1" s="1"/>
  <c r="G93" i="1"/>
  <c r="N92" i="1"/>
  <c r="J92" i="1"/>
  <c r="H92" i="1"/>
  <c r="M92" i="1" s="1"/>
  <c r="G92" i="1"/>
  <c r="N91" i="1"/>
  <c r="J91" i="1"/>
  <c r="H91" i="1"/>
  <c r="M91" i="1" s="1"/>
  <c r="G91" i="1"/>
  <c r="K91" i="1" s="1"/>
  <c r="N90" i="1"/>
  <c r="J90" i="1"/>
  <c r="H90" i="1"/>
  <c r="M90" i="1" s="1"/>
  <c r="G90" i="1"/>
  <c r="N89" i="1"/>
  <c r="J89" i="1"/>
  <c r="H89" i="1"/>
  <c r="M89" i="1" s="1"/>
  <c r="G89" i="1"/>
  <c r="N88" i="1"/>
  <c r="J88" i="1"/>
  <c r="H88" i="1"/>
  <c r="M88" i="1" s="1"/>
  <c r="G88" i="1"/>
  <c r="N87" i="1"/>
  <c r="J87" i="1"/>
  <c r="H87" i="1"/>
  <c r="M87" i="1" s="1"/>
  <c r="G87" i="1"/>
  <c r="L87" i="1" s="1"/>
  <c r="I87" i="1" s="1"/>
  <c r="N86" i="1"/>
  <c r="J86" i="1"/>
  <c r="H86" i="1"/>
  <c r="M86" i="1" s="1"/>
  <c r="G86" i="1"/>
  <c r="N85" i="1"/>
  <c r="J85" i="1"/>
  <c r="H85" i="1"/>
  <c r="M85" i="1" s="1"/>
  <c r="G85" i="1"/>
  <c r="N84" i="1"/>
  <c r="J84" i="1"/>
  <c r="H84" i="1"/>
  <c r="M84" i="1" s="1"/>
  <c r="G84" i="1"/>
  <c r="N83" i="1"/>
  <c r="J83" i="1"/>
  <c r="H83" i="1"/>
  <c r="M83" i="1" s="1"/>
  <c r="G83" i="1"/>
  <c r="L83" i="1" s="1"/>
  <c r="I83" i="1" s="1"/>
  <c r="N82" i="1"/>
  <c r="J82" i="1"/>
  <c r="H82" i="1"/>
  <c r="M82" i="1" s="1"/>
  <c r="G82" i="1"/>
  <c r="N81" i="1"/>
  <c r="J81" i="1"/>
  <c r="H81" i="1"/>
  <c r="M81" i="1" s="1"/>
  <c r="G81" i="1"/>
  <c r="N80" i="1"/>
  <c r="J80" i="1"/>
  <c r="H80" i="1"/>
  <c r="M80" i="1" s="1"/>
  <c r="G80" i="1"/>
  <c r="N79" i="1"/>
  <c r="J79" i="1"/>
  <c r="H79" i="1"/>
  <c r="M79" i="1" s="1"/>
  <c r="G79" i="1"/>
  <c r="L79" i="1" s="1"/>
  <c r="I79" i="1" s="1"/>
  <c r="N78" i="1"/>
  <c r="J78" i="1"/>
  <c r="H78" i="1"/>
  <c r="M78" i="1" s="1"/>
  <c r="G78" i="1"/>
  <c r="N77" i="1"/>
  <c r="J77" i="1"/>
  <c r="H77" i="1"/>
  <c r="M77" i="1" s="1"/>
  <c r="G77" i="1"/>
  <c r="N76" i="1"/>
  <c r="J76" i="1"/>
  <c r="H76" i="1"/>
  <c r="M76" i="1" s="1"/>
  <c r="G76" i="1"/>
  <c r="N75" i="1"/>
  <c r="J75" i="1"/>
  <c r="H75" i="1"/>
  <c r="M75" i="1" s="1"/>
  <c r="G75" i="1"/>
  <c r="K75" i="1" s="1"/>
  <c r="N74" i="1"/>
  <c r="J74" i="1"/>
  <c r="H74" i="1"/>
  <c r="M74" i="1" s="1"/>
  <c r="G74" i="1"/>
  <c r="N73" i="1"/>
  <c r="J73" i="1"/>
  <c r="H73" i="1"/>
  <c r="M73" i="1" s="1"/>
  <c r="G73" i="1"/>
  <c r="N72" i="1"/>
  <c r="J72" i="1"/>
  <c r="H72" i="1"/>
  <c r="M72" i="1" s="1"/>
  <c r="G72" i="1"/>
  <c r="N71" i="1"/>
  <c r="J71" i="1"/>
  <c r="H71" i="1"/>
  <c r="M71" i="1" s="1"/>
  <c r="G71" i="1"/>
  <c r="L71" i="1" s="1"/>
  <c r="I71" i="1" s="1"/>
  <c r="N70" i="1"/>
  <c r="J70" i="1"/>
  <c r="H70" i="1"/>
  <c r="M70" i="1" s="1"/>
  <c r="G70" i="1"/>
  <c r="N69" i="1"/>
  <c r="J69" i="1"/>
  <c r="H69" i="1"/>
  <c r="M69" i="1" s="1"/>
  <c r="G69" i="1"/>
  <c r="N68" i="1"/>
  <c r="J68" i="1"/>
  <c r="H68" i="1"/>
  <c r="M68" i="1" s="1"/>
  <c r="G68" i="1"/>
  <c r="N67" i="1"/>
  <c r="J67" i="1"/>
  <c r="H67" i="1"/>
  <c r="M67" i="1" s="1"/>
  <c r="G67" i="1"/>
  <c r="K67" i="1" s="1"/>
  <c r="N66" i="1"/>
  <c r="J66" i="1"/>
  <c r="H66" i="1"/>
  <c r="M66" i="1" s="1"/>
  <c r="G66" i="1"/>
  <c r="N65" i="1"/>
  <c r="J65" i="1"/>
  <c r="H65" i="1"/>
  <c r="M65" i="1" s="1"/>
  <c r="G65" i="1"/>
  <c r="N64" i="1"/>
  <c r="J64" i="1"/>
  <c r="H64" i="1"/>
  <c r="M64" i="1" s="1"/>
  <c r="G64" i="1"/>
  <c r="N63" i="1"/>
  <c r="J63" i="1"/>
  <c r="H63" i="1"/>
  <c r="M63" i="1" s="1"/>
  <c r="G63" i="1"/>
  <c r="L63" i="1" s="1"/>
  <c r="I63" i="1" s="1"/>
  <c r="N62" i="1"/>
  <c r="J62" i="1"/>
  <c r="H62" i="1"/>
  <c r="M62" i="1" s="1"/>
  <c r="G62" i="1"/>
  <c r="N61" i="1"/>
  <c r="J61" i="1"/>
  <c r="H61" i="1"/>
  <c r="M61" i="1" s="1"/>
  <c r="G61" i="1"/>
  <c r="N60" i="1"/>
  <c r="J60" i="1"/>
  <c r="H60" i="1"/>
  <c r="M60" i="1" s="1"/>
  <c r="G60" i="1"/>
  <c r="N59" i="1"/>
  <c r="J59" i="1"/>
  <c r="H59" i="1"/>
  <c r="M59" i="1" s="1"/>
  <c r="G59" i="1"/>
  <c r="L59" i="1" s="1"/>
  <c r="I59" i="1" s="1"/>
  <c r="N58" i="1"/>
  <c r="J58" i="1"/>
  <c r="H58" i="1"/>
  <c r="M58" i="1" s="1"/>
  <c r="G58" i="1"/>
  <c r="N57" i="1"/>
  <c r="J57" i="1"/>
  <c r="H57" i="1"/>
  <c r="M57" i="1" s="1"/>
  <c r="G57" i="1"/>
  <c r="N56" i="1"/>
  <c r="J56" i="1"/>
  <c r="H56" i="1"/>
  <c r="M56" i="1" s="1"/>
  <c r="G56" i="1"/>
  <c r="N55" i="1"/>
  <c r="J55" i="1"/>
  <c r="H55" i="1"/>
  <c r="M55" i="1" s="1"/>
  <c r="G55" i="1"/>
  <c r="L55" i="1" s="1"/>
  <c r="I55" i="1" s="1"/>
  <c r="N54" i="1"/>
  <c r="J54" i="1"/>
  <c r="H54" i="1"/>
  <c r="M54" i="1" s="1"/>
  <c r="G54" i="1"/>
  <c r="N53" i="1"/>
  <c r="J53" i="1"/>
  <c r="H53" i="1"/>
  <c r="M53" i="1" s="1"/>
  <c r="G53" i="1"/>
  <c r="N52" i="1"/>
  <c r="J52" i="1"/>
  <c r="H52" i="1"/>
  <c r="M52" i="1" s="1"/>
  <c r="G52" i="1"/>
  <c r="N51" i="1"/>
  <c r="J51" i="1"/>
  <c r="H51" i="1"/>
  <c r="M51" i="1" s="1"/>
  <c r="G51" i="1"/>
  <c r="K51" i="1" s="1"/>
  <c r="N50" i="1"/>
  <c r="J50" i="1"/>
  <c r="H50" i="1"/>
  <c r="M50" i="1" s="1"/>
  <c r="G50" i="1"/>
  <c r="N49" i="1"/>
  <c r="J49" i="1"/>
  <c r="H49" i="1"/>
  <c r="M49" i="1" s="1"/>
  <c r="G49" i="1"/>
  <c r="N48" i="1"/>
  <c r="J48" i="1"/>
  <c r="H48" i="1"/>
  <c r="M48" i="1" s="1"/>
  <c r="G48" i="1"/>
  <c r="N47" i="1"/>
  <c r="J47" i="1"/>
  <c r="H47" i="1"/>
  <c r="M47" i="1" s="1"/>
  <c r="G47" i="1"/>
  <c r="L47" i="1" s="1"/>
  <c r="I47" i="1" s="1"/>
  <c r="N46" i="1"/>
  <c r="J46" i="1"/>
  <c r="H46" i="1"/>
  <c r="M46" i="1" s="1"/>
  <c r="G46" i="1"/>
  <c r="N45" i="1"/>
  <c r="J45" i="1"/>
  <c r="H45" i="1"/>
  <c r="M45" i="1" s="1"/>
  <c r="G45" i="1"/>
  <c r="N44" i="1"/>
  <c r="J44" i="1"/>
  <c r="H44" i="1"/>
  <c r="M44" i="1" s="1"/>
  <c r="G44" i="1"/>
  <c r="N43" i="1"/>
  <c r="J43" i="1"/>
  <c r="H43" i="1"/>
  <c r="M43" i="1" s="1"/>
  <c r="G43" i="1"/>
  <c r="L43" i="1" s="1"/>
  <c r="I43" i="1" s="1"/>
  <c r="N42" i="1"/>
  <c r="J42" i="1"/>
  <c r="H42" i="1"/>
  <c r="M42" i="1" s="1"/>
  <c r="G42" i="1"/>
  <c r="N41" i="1"/>
  <c r="J41" i="1"/>
  <c r="H41" i="1"/>
  <c r="M41" i="1" s="1"/>
  <c r="G41" i="1"/>
  <c r="N40" i="1"/>
  <c r="J40" i="1"/>
  <c r="H40" i="1"/>
  <c r="M40" i="1" s="1"/>
  <c r="G40" i="1"/>
  <c r="N39" i="1"/>
  <c r="J39" i="1"/>
  <c r="H39" i="1"/>
  <c r="M39" i="1" s="1"/>
  <c r="G39" i="1"/>
  <c r="K39" i="1" s="1"/>
  <c r="N38" i="1"/>
  <c r="J38" i="1"/>
  <c r="H38" i="1"/>
  <c r="M38" i="1" s="1"/>
  <c r="G38" i="1"/>
  <c r="N37" i="1"/>
  <c r="J37" i="1"/>
  <c r="H37" i="1"/>
  <c r="M37" i="1" s="1"/>
  <c r="G37" i="1"/>
  <c r="N36" i="1"/>
  <c r="J36" i="1"/>
  <c r="H36" i="1"/>
  <c r="M36" i="1" s="1"/>
  <c r="G36" i="1"/>
  <c r="N35" i="1"/>
  <c r="J35" i="1"/>
  <c r="H35" i="1"/>
  <c r="M35" i="1" s="1"/>
  <c r="G35" i="1"/>
  <c r="L35" i="1" s="1"/>
  <c r="I35" i="1" s="1"/>
  <c r="N34" i="1"/>
  <c r="J34" i="1"/>
  <c r="H34" i="1"/>
  <c r="M34" i="1" s="1"/>
  <c r="G34" i="1"/>
  <c r="N33" i="1"/>
  <c r="J33" i="1"/>
  <c r="H33" i="1"/>
  <c r="M33" i="1" s="1"/>
  <c r="G33" i="1"/>
  <c r="N32" i="1"/>
  <c r="J32" i="1"/>
  <c r="H32" i="1"/>
  <c r="M32" i="1" s="1"/>
  <c r="G32" i="1"/>
  <c r="N31" i="1"/>
  <c r="J31" i="1"/>
  <c r="H31" i="1"/>
  <c r="M31" i="1" s="1"/>
  <c r="G31" i="1"/>
  <c r="L31" i="1" s="1"/>
  <c r="I31" i="1" s="1"/>
  <c r="N30" i="1"/>
  <c r="J30" i="1"/>
  <c r="H30" i="1"/>
  <c r="M30" i="1" s="1"/>
  <c r="G30" i="1"/>
  <c r="N29" i="1"/>
  <c r="J29" i="1"/>
  <c r="H29" i="1"/>
  <c r="M29" i="1" s="1"/>
  <c r="G29" i="1"/>
  <c r="N28" i="1"/>
  <c r="J28" i="1"/>
  <c r="H28" i="1"/>
  <c r="M28" i="1" s="1"/>
  <c r="G28" i="1"/>
  <c r="N27" i="1"/>
  <c r="J27" i="1"/>
  <c r="H27" i="1"/>
  <c r="M27" i="1" s="1"/>
  <c r="G27" i="1"/>
  <c r="K27" i="1" s="1"/>
  <c r="N26" i="1"/>
  <c r="J26" i="1"/>
  <c r="H26" i="1"/>
  <c r="M26" i="1" s="1"/>
  <c r="G26" i="1"/>
  <c r="N25" i="1"/>
  <c r="J25" i="1"/>
  <c r="H25" i="1"/>
  <c r="M25" i="1" s="1"/>
  <c r="G25" i="1"/>
  <c r="N24" i="1"/>
  <c r="J24" i="1"/>
  <c r="H24" i="1"/>
  <c r="M24" i="1" s="1"/>
  <c r="G24" i="1"/>
  <c r="N23" i="1"/>
  <c r="J23" i="1"/>
  <c r="H23" i="1"/>
  <c r="M23" i="1" s="1"/>
  <c r="G23" i="1"/>
  <c r="L23" i="1" s="1"/>
  <c r="I23" i="1" s="1"/>
  <c r="N22" i="1"/>
  <c r="J22" i="1"/>
  <c r="H22" i="1"/>
  <c r="M22" i="1" s="1"/>
  <c r="G22" i="1"/>
  <c r="N21" i="1"/>
  <c r="J21" i="1"/>
  <c r="H21" i="1"/>
  <c r="M21" i="1" s="1"/>
  <c r="G21" i="1"/>
  <c r="N20" i="1"/>
  <c r="J20" i="1"/>
  <c r="H20" i="1"/>
  <c r="M20" i="1" s="1"/>
  <c r="G20" i="1"/>
  <c r="N19" i="1"/>
  <c r="J19" i="1"/>
  <c r="H19" i="1"/>
  <c r="M19" i="1" s="1"/>
  <c r="G19" i="1"/>
  <c r="L19" i="1" s="1"/>
  <c r="I19" i="1" s="1"/>
  <c r="N18" i="1"/>
  <c r="J18" i="1"/>
  <c r="H18" i="1"/>
  <c r="M18" i="1" s="1"/>
  <c r="G18" i="1"/>
  <c r="N17" i="1"/>
  <c r="J17" i="1"/>
  <c r="H17" i="1"/>
  <c r="M17" i="1" s="1"/>
  <c r="G17" i="1"/>
  <c r="N16" i="1"/>
  <c r="J16" i="1"/>
  <c r="H16" i="1"/>
  <c r="M16" i="1" s="1"/>
  <c r="G16" i="1"/>
  <c r="N15" i="1"/>
  <c r="J15" i="1"/>
  <c r="H15" i="1"/>
  <c r="M15" i="1" s="1"/>
  <c r="G15" i="1"/>
  <c r="K15" i="1" s="1"/>
  <c r="N14" i="1"/>
  <c r="J14" i="1"/>
  <c r="H14" i="1"/>
  <c r="M14" i="1" s="1"/>
  <c r="G14" i="1"/>
  <c r="N13" i="1"/>
  <c r="J13" i="1"/>
  <c r="H13" i="1"/>
  <c r="M13" i="1" s="1"/>
  <c r="G13" i="1"/>
  <c r="N12" i="1"/>
  <c r="J12" i="1"/>
  <c r="H12" i="1"/>
  <c r="M12" i="1" s="1"/>
  <c r="G12" i="1"/>
  <c r="N11" i="1"/>
  <c r="J11" i="1"/>
  <c r="H11" i="1"/>
  <c r="M11" i="1" s="1"/>
  <c r="G11" i="1"/>
  <c r="L11" i="1" s="1"/>
  <c r="I11" i="1" s="1"/>
  <c r="N10" i="1"/>
  <c r="J10" i="1"/>
  <c r="H10" i="1"/>
  <c r="M10" i="1" s="1"/>
  <c r="G10" i="1"/>
  <c r="N9" i="1"/>
  <c r="J9" i="1"/>
  <c r="H9" i="1"/>
  <c r="M9" i="1" s="1"/>
  <c r="G9" i="1"/>
  <c r="N8" i="1"/>
  <c r="J8" i="1"/>
  <c r="H8" i="1"/>
  <c r="M8" i="1" s="1"/>
  <c r="G8" i="1"/>
  <c r="N7" i="1"/>
  <c r="J7" i="1"/>
  <c r="H7" i="1"/>
  <c r="M7" i="1" s="1"/>
  <c r="G7" i="1"/>
  <c r="L7" i="1" s="1"/>
  <c r="I7" i="1" s="1"/>
  <c r="N6" i="1"/>
  <c r="J6" i="1"/>
  <c r="H6" i="1"/>
  <c r="M6" i="1" s="1"/>
  <c r="G6" i="1"/>
  <c r="N5" i="1"/>
  <c r="J5" i="1"/>
  <c r="H5" i="1"/>
  <c r="M5" i="1" s="1"/>
  <c r="G5" i="1"/>
  <c r="N4" i="1"/>
  <c r="J4" i="1"/>
  <c r="H4" i="1"/>
  <c r="M4" i="1" s="1"/>
  <c r="G4" i="1"/>
  <c r="N3" i="1"/>
  <c r="J3" i="1"/>
  <c r="H3" i="1"/>
  <c r="M3" i="1" s="1"/>
  <c r="G3" i="1"/>
  <c r="L3" i="1" s="1"/>
  <c r="I3" i="1" s="1"/>
  <c r="N2" i="1"/>
  <c r="J2" i="1"/>
  <c r="H2" i="1"/>
  <c r="M2" i="1" s="1"/>
  <c r="G2" i="1"/>
  <c r="K200" i="1" l="1"/>
  <c r="L215" i="1"/>
  <c r="I215" i="1" s="1"/>
  <c r="L315" i="1"/>
  <c r="I315" i="1" s="1"/>
  <c r="L445" i="1"/>
  <c r="I445" i="1" s="1"/>
  <c r="M497" i="1"/>
  <c r="L543" i="1"/>
  <c r="I543" i="1" s="1"/>
  <c r="L613" i="1"/>
  <c r="I613" i="1" s="1"/>
  <c r="K723" i="1"/>
  <c r="K769" i="1"/>
  <c r="L883" i="1"/>
  <c r="I883" i="1" s="1"/>
  <c r="L945" i="1"/>
  <c r="I945" i="1" s="1"/>
  <c r="L1072" i="1"/>
  <c r="I1072" i="1" s="1"/>
  <c r="K1084" i="1"/>
  <c r="K1102" i="1"/>
  <c r="K1132" i="1"/>
  <c r="L1160" i="1"/>
  <c r="I1160" i="1" s="1"/>
  <c r="M1163" i="1"/>
  <c r="K1339" i="1"/>
  <c r="L1391" i="1"/>
  <c r="I1391" i="1" s="1"/>
  <c r="L1395" i="1"/>
  <c r="I1395" i="1" s="1"/>
  <c r="M1421" i="1"/>
  <c r="L1425" i="1"/>
  <c r="I1425" i="1" s="1"/>
  <c r="K1462" i="1"/>
  <c r="K1476" i="1"/>
  <c r="L1493" i="1"/>
  <c r="I1493" i="1" s="1"/>
  <c r="M1539" i="1"/>
  <c r="L1639" i="1"/>
  <c r="I1639" i="1" s="1"/>
  <c r="L1647" i="1"/>
  <c r="I1647" i="1" s="1"/>
  <c r="L1786" i="1"/>
  <c r="I1786" i="1" s="1"/>
  <c r="L1720" i="1"/>
  <c r="I1720" i="1" s="1"/>
  <c r="L273" i="1"/>
  <c r="I273" i="1" s="1"/>
  <c r="L307" i="1"/>
  <c r="I307" i="1" s="1"/>
  <c r="K339" i="1"/>
  <c r="L347" i="1"/>
  <c r="I347" i="1" s="1"/>
  <c r="L370" i="1"/>
  <c r="I370" i="1" s="1"/>
  <c r="M385" i="1"/>
  <c r="L393" i="1"/>
  <c r="I393" i="1" s="1"/>
  <c r="K487" i="1"/>
  <c r="M505" i="1"/>
  <c r="K735" i="1"/>
  <c r="L1017" i="1"/>
  <c r="I1017" i="1" s="1"/>
  <c r="K1088" i="1"/>
  <c r="K1203" i="1"/>
  <c r="K1233" i="1"/>
  <c r="L1302" i="1"/>
  <c r="I1302" i="1" s="1"/>
  <c r="K1370" i="1"/>
  <c r="K1451" i="1"/>
  <c r="L1469" i="1"/>
  <c r="I1469" i="1" s="1"/>
  <c r="L1476" i="1"/>
  <c r="I1476" i="1" s="1"/>
  <c r="M1483" i="1"/>
  <c r="M1568" i="1"/>
  <c r="M1632" i="1"/>
  <c r="K1694" i="1"/>
  <c r="L1801" i="1"/>
  <c r="I1801" i="1" s="1"/>
  <c r="K1912" i="1"/>
  <c r="K219" i="1"/>
  <c r="L319" i="1"/>
  <c r="I319" i="1" s="1"/>
  <c r="K419" i="1"/>
  <c r="K516" i="1"/>
  <c r="K681" i="1"/>
  <c r="K835" i="1"/>
  <c r="K903" i="1"/>
  <c r="L949" i="1"/>
  <c r="I949" i="1" s="1"/>
  <c r="L969" i="1"/>
  <c r="I969" i="1" s="1"/>
  <c r="K981" i="1"/>
  <c r="M1017" i="1"/>
  <c r="L1036" i="1"/>
  <c r="I1036" i="1" s="1"/>
  <c r="L1070" i="1"/>
  <c r="I1070" i="1" s="1"/>
  <c r="M1171" i="1"/>
  <c r="K1186" i="1"/>
  <c r="M1218" i="1"/>
  <c r="L1388" i="1"/>
  <c r="I1388" i="1" s="1"/>
  <c r="K1403" i="1"/>
  <c r="L1451" i="1"/>
  <c r="I1451" i="1" s="1"/>
  <c r="L1466" i="1"/>
  <c r="I1466" i="1" s="1"/>
  <c r="K1473" i="1"/>
  <c r="L1483" i="1"/>
  <c r="I1483" i="1" s="1"/>
  <c r="M1490" i="1"/>
  <c r="M1561" i="1"/>
  <c r="K1572" i="1"/>
  <c r="K1586" i="1"/>
  <c r="K1687" i="1"/>
  <c r="M1713" i="1"/>
  <c r="M1801" i="1"/>
  <c r="M1874" i="1"/>
  <c r="M1958" i="1"/>
  <c r="L219" i="1"/>
  <c r="I219" i="1" s="1"/>
  <c r="L237" i="1"/>
  <c r="I237" i="1" s="1"/>
  <c r="K240" i="1"/>
  <c r="L281" i="1"/>
  <c r="I281" i="1" s="1"/>
  <c r="L454" i="1"/>
  <c r="I454" i="1" s="1"/>
  <c r="K476" i="1"/>
  <c r="L717" i="1"/>
  <c r="I717" i="1" s="1"/>
  <c r="L939" i="1"/>
  <c r="I939" i="1" s="1"/>
  <c r="K1111" i="1"/>
  <c r="K1115" i="1"/>
  <c r="K1164" i="1"/>
  <c r="L1367" i="1"/>
  <c r="I1367" i="1" s="1"/>
  <c r="L1385" i="1"/>
  <c r="I1385" i="1" s="1"/>
  <c r="M1388" i="1"/>
  <c r="L1441" i="1"/>
  <c r="I1441" i="1" s="1"/>
  <c r="K1540" i="1"/>
  <c r="L1572" i="1"/>
  <c r="I1572" i="1" s="1"/>
  <c r="K1596" i="1"/>
  <c r="M1622" i="1"/>
  <c r="M1636" i="1"/>
  <c r="L1666" i="1"/>
  <c r="I1666" i="1" s="1"/>
  <c r="L1694" i="1"/>
  <c r="I1694" i="1" s="1"/>
  <c r="L1713" i="1"/>
  <c r="I1713" i="1" s="1"/>
  <c r="L1725" i="1"/>
  <c r="I1725" i="1" s="1"/>
  <c r="L1735" i="1"/>
  <c r="I1735" i="1" s="1"/>
  <c r="K1769" i="1"/>
  <c r="L1773" i="1"/>
  <c r="I1773" i="1" s="1"/>
  <c r="L1783" i="1"/>
  <c r="I1783" i="1" s="1"/>
  <c r="M1970" i="1"/>
  <c r="L339" i="1"/>
  <c r="I339" i="1" s="1"/>
  <c r="K347" i="1"/>
  <c r="L355" i="1"/>
  <c r="I355" i="1" s="1"/>
  <c r="K370" i="1"/>
  <c r="L385" i="1"/>
  <c r="I385" i="1" s="1"/>
  <c r="K393" i="1"/>
  <c r="K408" i="1"/>
  <c r="K495" i="1"/>
  <c r="L835" i="1"/>
  <c r="I835" i="1" s="1"/>
  <c r="L1107" i="1"/>
  <c r="I1107" i="1" s="1"/>
  <c r="M1122" i="1"/>
  <c r="K1134" i="1"/>
  <c r="L1230" i="1"/>
  <c r="I1230" i="1" s="1"/>
  <c r="L1241" i="1"/>
  <c r="I1241" i="1" s="1"/>
  <c r="M1244" i="1"/>
  <c r="K1296" i="1"/>
  <c r="L1403" i="1"/>
  <c r="I1403" i="1" s="1"/>
  <c r="L1444" i="1"/>
  <c r="I1444" i="1" s="1"/>
  <c r="L1477" i="1"/>
  <c r="I1477" i="1" s="1"/>
  <c r="L1523" i="1"/>
  <c r="I1523" i="1" s="1"/>
  <c r="K1527" i="1"/>
  <c r="L1586" i="1"/>
  <c r="I1586" i="1" s="1"/>
  <c r="M1596" i="1"/>
  <c r="L1626" i="1"/>
  <c r="I1626" i="1" s="1"/>
  <c r="M1666" i="1"/>
  <c r="M1677" i="1"/>
  <c r="K1747" i="1"/>
  <c r="L1769" i="1"/>
  <c r="I1769" i="1" s="1"/>
  <c r="K1924" i="1"/>
  <c r="K209" i="1"/>
  <c r="L227" i="1"/>
  <c r="I227" i="1" s="1"/>
  <c r="L230" i="1"/>
  <c r="I230" i="1" s="1"/>
  <c r="K237" i="1"/>
  <c r="K247" i="1"/>
  <c r="L297" i="1"/>
  <c r="I297" i="1" s="1"/>
  <c r="L332" i="1"/>
  <c r="I332" i="1" s="1"/>
  <c r="L386" i="1"/>
  <c r="I386" i="1" s="1"/>
  <c r="L415" i="1"/>
  <c r="I415" i="1" s="1"/>
  <c r="L419" i="1"/>
  <c r="I419" i="1" s="1"/>
  <c r="L435" i="1"/>
  <c r="I435" i="1" s="1"/>
  <c r="L485" i="1"/>
  <c r="I485" i="1" s="1"/>
  <c r="L607" i="1"/>
  <c r="I607" i="1" s="1"/>
  <c r="L729" i="1"/>
  <c r="I729" i="1" s="1"/>
  <c r="L1481" i="1"/>
  <c r="I1481" i="1" s="1"/>
  <c r="M1732" i="1"/>
  <c r="L1844" i="1"/>
  <c r="I1844" i="1" s="1"/>
  <c r="M1886" i="1"/>
  <c r="L1971" i="1"/>
  <c r="I1971" i="1" s="1"/>
  <c r="L205" i="1"/>
  <c r="I205" i="1" s="1"/>
  <c r="L234" i="1"/>
  <c r="I234" i="1" s="1"/>
  <c r="M355" i="1"/>
  <c r="K632" i="1"/>
  <c r="K843" i="1"/>
  <c r="K939" i="1"/>
  <c r="K1086" i="1"/>
  <c r="L1119" i="1"/>
  <c r="I1119" i="1" s="1"/>
  <c r="L1195" i="1"/>
  <c r="I1195" i="1" s="1"/>
  <c r="L1296" i="1"/>
  <c r="I1296" i="1" s="1"/>
  <c r="K1341" i="1"/>
  <c r="K1353" i="1"/>
  <c r="L1389" i="1"/>
  <c r="I1389" i="1" s="1"/>
  <c r="M1441" i="1"/>
  <c r="M1477" i="1"/>
  <c r="L1516" i="1"/>
  <c r="I1516" i="1" s="1"/>
  <c r="M1544" i="1"/>
  <c r="K1559" i="1"/>
  <c r="M1576" i="1"/>
  <c r="K1670" i="1"/>
  <c r="L1740" i="1"/>
  <c r="I1740" i="1" s="1"/>
  <c r="M1791" i="1"/>
  <c r="K1836" i="1"/>
  <c r="L371" i="1"/>
  <c r="I371" i="1" s="1"/>
  <c r="K492" i="1"/>
  <c r="L629" i="1"/>
  <c r="I629" i="1" s="1"/>
  <c r="L737" i="1"/>
  <c r="I737" i="1" s="1"/>
  <c r="K759" i="1"/>
  <c r="L771" i="1"/>
  <c r="I771" i="1" s="1"/>
  <c r="L851" i="1"/>
  <c r="I851" i="1" s="1"/>
  <c r="K943" i="1"/>
  <c r="K951" i="1"/>
  <c r="L1004" i="1"/>
  <c r="I1004" i="1" s="1"/>
  <c r="L1131" i="1"/>
  <c r="I1131" i="1" s="1"/>
  <c r="K1297" i="1"/>
  <c r="K1357" i="1"/>
  <c r="K1412" i="1"/>
  <c r="K1755" i="1"/>
  <c r="L1791" i="1"/>
  <c r="I1791" i="1" s="1"/>
  <c r="L1860" i="1"/>
  <c r="I1860" i="1" s="1"/>
  <c r="M1906" i="1"/>
  <c r="K1944" i="1"/>
  <c r="M217" i="1"/>
  <c r="L275" i="1"/>
  <c r="I275" i="1" s="1"/>
  <c r="L313" i="1"/>
  <c r="I313" i="1" s="1"/>
  <c r="M371" i="1"/>
  <c r="K424" i="1"/>
  <c r="L459" i="1"/>
  <c r="I459" i="1" s="1"/>
  <c r="L478" i="1"/>
  <c r="I478" i="1" s="1"/>
  <c r="L760" i="1"/>
  <c r="I760" i="1" s="1"/>
  <c r="L795" i="1"/>
  <c r="I795" i="1" s="1"/>
  <c r="L1075" i="1"/>
  <c r="I1075" i="1" s="1"/>
  <c r="M1094" i="1"/>
  <c r="K1195" i="1"/>
  <c r="M1216" i="1"/>
  <c r="K1334" i="1"/>
  <c r="L1531" i="1"/>
  <c r="I1531" i="1" s="1"/>
  <c r="K1552" i="1"/>
  <c r="L1563" i="1"/>
  <c r="I1563" i="1" s="1"/>
  <c r="K1664" i="1"/>
  <c r="K1711" i="1"/>
  <c r="K466" i="1"/>
  <c r="M489" i="1"/>
  <c r="L775" i="1"/>
  <c r="I775" i="1" s="1"/>
  <c r="L859" i="1"/>
  <c r="I859" i="1" s="1"/>
  <c r="L955" i="1"/>
  <c r="I955" i="1" s="1"/>
  <c r="K1004" i="1"/>
  <c r="M1068" i="1"/>
  <c r="K1083" i="1"/>
  <c r="K1090" i="1"/>
  <c r="L1216" i="1"/>
  <c r="I1216" i="1" s="1"/>
  <c r="L1276" i="1"/>
  <c r="I1276" i="1" s="1"/>
  <c r="L1297" i="1"/>
  <c r="I1297" i="1" s="1"/>
  <c r="L1412" i="1"/>
  <c r="I1412" i="1" s="1"/>
  <c r="K1428" i="1"/>
  <c r="L1435" i="1"/>
  <c r="I1435" i="1" s="1"/>
  <c r="L1513" i="1"/>
  <c r="I1513" i="1" s="1"/>
  <c r="K1556" i="1"/>
  <c r="L1588" i="1"/>
  <c r="I1588" i="1" s="1"/>
  <c r="M1634" i="1"/>
  <c r="L1664" i="1"/>
  <c r="I1664" i="1" s="1"/>
  <c r="L1679" i="1"/>
  <c r="I1679" i="1" s="1"/>
  <c r="L1711" i="1"/>
  <c r="I1711" i="1" s="1"/>
  <c r="L1781" i="1"/>
  <c r="I1781" i="1" s="1"/>
  <c r="L263" i="1"/>
  <c r="I263" i="1" s="1"/>
  <c r="L271" i="1"/>
  <c r="I271" i="1" s="1"/>
  <c r="K291" i="1"/>
  <c r="M353" i="1"/>
  <c r="K395" i="1"/>
  <c r="K511" i="1"/>
  <c r="K585" i="1"/>
  <c r="L641" i="1"/>
  <c r="I641" i="1" s="1"/>
  <c r="M795" i="1"/>
  <c r="L863" i="1"/>
  <c r="I863" i="1" s="1"/>
  <c r="K1072" i="1"/>
  <c r="L1102" i="1"/>
  <c r="I1102" i="1" s="1"/>
  <c r="K1235" i="1"/>
  <c r="M1276" i="1"/>
  <c r="K1294" i="1"/>
  <c r="K1338" i="1"/>
  <c r="M1372" i="1"/>
  <c r="M1435" i="1"/>
  <c r="L1560" i="1"/>
  <c r="I1560" i="1" s="1"/>
  <c r="L1594" i="1"/>
  <c r="I1594" i="1" s="1"/>
  <c r="L1606" i="1"/>
  <c r="I1606" i="1" s="1"/>
  <c r="L1668" i="1"/>
  <c r="I1668" i="1" s="1"/>
  <c r="L1708" i="1"/>
  <c r="I1708" i="1" s="1"/>
  <c r="K1734" i="1"/>
  <c r="L1811" i="1"/>
  <c r="I1811" i="1" s="1"/>
  <c r="L1892" i="1"/>
  <c r="I1892" i="1" s="1"/>
  <c r="K1918" i="1"/>
  <c r="L1957" i="1"/>
  <c r="I1957" i="1" s="1"/>
  <c r="L395" i="1"/>
  <c r="I395" i="1" s="1"/>
  <c r="K459" i="1"/>
  <c r="L475" i="1"/>
  <c r="I475" i="1" s="1"/>
  <c r="L501" i="1"/>
  <c r="I501" i="1" s="1"/>
  <c r="M511" i="1"/>
  <c r="L1020" i="1"/>
  <c r="I1020" i="1" s="1"/>
  <c r="L1046" i="1"/>
  <c r="I1046" i="1" s="1"/>
  <c r="L1090" i="1"/>
  <c r="I1090" i="1" s="1"/>
  <c r="K1124" i="1"/>
  <c r="L1196" i="1"/>
  <c r="I1196" i="1" s="1"/>
  <c r="L1242" i="1"/>
  <c r="I1242" i="1" s="1"/>
  <c r="L1294" i="1"/>
  <c r="I1294" i="1" s="1"/>
  <c r="L1453" i="1"/>
  <c r="I1453" i="1" s="1"/>
  <c r="K1489" i="1"/>
  <c r="K1510" i="1"/>
  <c r="L1965" i="1"/>
  <c r="I1965" i="1" s="1"/>
  <c r="L253" i="1"/>
  <c r="I253" i="1" s="1"/>
  <c r="K203" i="1"/>
  <c r="L295" i="1"/>
  <c r="I295" i="1" s="1"/>
  <c r="L303" i="1"/>
  <c r="I303" i="1" s="1"/>
  <c r="M369" i="1"/>
  <c r="L407" i="1"/>
  <c r="I407" i="1" s="1"/>
  <c r="L494" i="1"/>
  <c r="I494" i="1" s="1"/>
  <c r="L987" i="1"/>
  <c r="I987" i="1" s="1"/>
  <c r="K1031" i="1"/>
  <c r="L1054" i="1"/>
  <c r="I1054" i="1" s="1"/>
  <c r="K1065" i="1"/>
  <c r="L1087" i="1"/>
  <c r="I1087" i="1" s="1"/>
  <c r="K1199" i="1"/>
  <c r="L1284" i="1"/>
  <c r="I1284" i="1" s="1"/>
  <c r="L1298" i="1"/>
  <c r="I1298" i="1" s="1"/>
  <c r="L1338" i="1"/>
  <c r="I1338" i="1" s="1"/>
  <c r="M1354" i="1"/>
  <c r="M1387" i="1"/>
  <c r="L1450" i="1"/>
  <c r="I1450" i="1" s="1"/>
  <c r="M1465" i="1"/>
  <c r="K1486" i="1"/>
  <c r="K1497" i="1"/>
  <c r="L1542" i="1"/>
  <c r="I1542" i="1" s="1"/>
  <c r="K1560" i="1"/>
  <c r="L1574" i="1"/>
  <c r="I1574" i="1" s="1"/>
  <c r="M1588" i="1"/>
  <c r="L1628" i="1"/>
  <c r="I1628" i="1" s="1"/>
  <c r="M1668" i="1"/>
  <c r="K1686" i="1"/>
  <c r="L1709" i="1"/>
  <c r="I1709" i="1" s="1"/>
  <c r="K1746" i="1"/>
  <c r="L1752" i="1"/>
  <c r="I1752" i="1" s="1"/>
  <c r="K1771" i="1"/>
  <c r="L1778" i="1"/>
  <c r="I1778" i="1" s="1"/>
  <c r="K1789" i="1"/>
  <c r="K1811" i="1"/>
  <c r="K1834" i="1"/>
  <c r="L1942" i="1"/>
  <c r="I1942" i="1" s="1"/>
  <c r="M379" i="1"/>
  <c r="L379" i="1"/>
  <c r="I379" i="1" s="1"/>
  <c r="L391" i="1"/>
  <c r="I391" i="1" s="1"/>
  <c r="L557" i="1"/>
  <c r="I557" i="1" s="1"/>
  <c r="K557" i="1"/>
  <c r="L222" i="1"/>
  <c r="I222" i="1" s="1"/>
  <c r="L287" i="1"/>
  <c r="I287" i="1" s="1"/>
  <c r="M322" i="1"/>
  <c r="K322" i="1"/>
  <c r="M573" i="1"/>
  <c r="K573" i="1"/>
  <c r="L581" i="1"/>
  <c r="I581" i="1" s="1"/>
  <c r="K581" i="1"/>
  <c r="M1047" i="1"/>
  <c r="L1047" i="1"/>
  <c r="I1047" i="1" s="1"/>
  <c r="L203" i="1"/>
  <c r="I203" i="1" s="1"/>
  <c r="L265" i="1"/>
  <c r="I265" i="1" s="1"/>
  <c r="M467" i="1"/>
  <c r="K467" i="1"/>
  <c r="M713" i="1"/>
  <c r="K713" i="1"/>
  <c r="L4" i="1"/>
  <c r="I4" i="1" s="1"/>
  <c r="L8" i="1"/>
  <c r="I8" i="1" s="1"/>
  <c r="L12" i="1"/>
  <c r="I12" i="1" s="1"/>
  <c r="L16" i="1"/>
  <c r="I16" i="1" s="1"/>
  <c r="L20" i="1"/>
  <c r="I20" i="1" s="1"/>
  <c r="L24" i="1"/>
  <c r="I24" i="1" s="1"/>
  <c r="L28" i="1"/>
  <c r="I28" i="1" s="1"/>
  <c r="L32" i="1"/>
  <c r="I32" i="1" s="1"/>
  <c r="L36" i="1"/>
  <c r="I36" i="1" s="1"/>
  <c r="L40" i="1"/>
  <c r="I40" i="1" s="1"/>
  <c r="L44" i="1"/>
  <c r="I44" i="1" s="1"/>
  <c r="L48" i="1"/>
  <c r="I48" i="1" s="1"/>
  <c r="L52" i="1"/>
  <c r="I52" i="1" s="1"/>
  <c r="L56" i="1"/>
  <c r="I56" i="1" s="1"/>
  <c r="L60" i="1"/>
  <c r="I60" i="1" s="1"/>
  <c r="L64" i="1"/>
  <c r="I64" i="1" s="1"/>
  <c r="L68" i="1"/>
  <c r="I68" i="1" s="1"/>
  <c r="L72" i="1"/>
  <c r="I72" i="1" s="1"/>
  <c r="L76" i="1"/>
  <c r="I76" i="1" s="1"/>
  <c r="L80" i="1"/>
  <c r="I80" i="1" s="1"/>
  <c r="L84" i="1"/>
  <c r="I84" i="1" s="1"/>
  <c r="L88" i="1"/>
  <c r="I88" i="1" s="1"/>
  <c r="L92" i="1"/>
  <c r="I92" i="1" s="1"/>
  <c r="L96" i="1"/>
  <c r="I96" i="1" s="1"/>
  <c r="L100" i="1"/>
  <c r="I100" i="1" s="1"/>
  <c r="L104" i="1"/>
  <c r="I104" i="1" s="1"/>
  <c r="L108" i="1"/>
  <c r="I108" i="1" s="1"/>
  <c r="L112" i="1"/>
  <c r="I112" i="1" s="1"/>
  <c r="L116" i="1"/>
  <c r="I116" i="1" s="1"/>
  <c r="L120" i="1"/>
  <c r="I120" i="1" s="1"/>
  <c r="L124" i="1"/>
  <c r="I124" i="1" s="1"/>
  <c r="L128" i="1"/>
  <c r="I128" i="1" s="1"/>
  <c r="L132" i="1"/>
  <c r="I132" i="1" s="1"/>
  <c r="L136" i="1"/>
  <c r="I136" i="1" s="1"/>
  <c r="L140" i="1"/>
  <c r="I140" i="1" s="1"/>
  <c r="L144" i="1"/>
  <c r="I144" i="1" s="1"/>
  <c r="L148" i="1"/>
  <c r="I148" i="1" s="1"/>
  <c r="K152" i="1"/>
  <c r="K156" i="1"/>
  <c r="K160" i="1"/>
  <c r="K164" i="1"/>
  <c r="K168" i="1"/>
  <c r="K172" i="1"/>
  <c r="K176" i="1"/>
  <c r="K180" i="1"/>
  <c r="K184" i="1"/>
  <c r="K188" i="1"/>
  <c r="K192" i="1"/>
  <c r="K196" i="1"/>
  <c r="L210" i="1"/>
  <c r="I210" i="1" s="1"/>
  <c r="L214" i="1"/>
  <c r="I214" i="1" s="1"/>
  <c r="L220" i="1"/>
  <c r="I220" i="1" s="1"/>
  <c r="K223" i="1"/>
  <c r="L354" i="1"/>
  <c r="I354" i="1" s="1"/>
  <c r="L361" i="1"/>
  <c r="I361" i="1" s="1"/>
  <c r="L527" i="1"/>
  <c r="I527" i="1" s="1"/>
  <c r="M527" i="1"/>
  <c r="K527" i="1"/>
  <c r="L589" i="1"/>
  <c r="I589" i="1" s="1"/>
  <c r="K589" i="1"/>
  <c r="M911" i="1"/>
  <c r="K911" i="1"/>
  <c r="L377" i="1"/>
  <c r="I377" i="1" s="1"/>
  <c r="L426" i="1"/>
  <c r="I426" i="1" s="1"/>
  <c r="M449" i="1"/>
  <c r="K449" i="1"/>
  <c r="M471" i="1"/>
  <c r="M855" i="1"/>
  <c r="L855" i="1"/>
  <c r="I855" i="1" s="1"/>
  <c r="L327" i="1"/>
  <c r="I327" i="1" s="1"/>
  <c r="L335" i="1"/>
  <c r="I335" i="1" s="1"/>
  <c r="M547" i="1"/>
  <c r="K547" i="1"/>
  <c r="M659" i="1"/>
  <c r="K659" i="1"/>
  <c r="M763" i="1"/>
  <c r="L763" i="1"/>
  <c r="I763" i="1" s="1"/>
  <c r="L611" i="1"/>
  <c r="I611" i="1" s="1"/>
  <c r="K611" i="1"/>
  <c r="K5" i="1"/>
  <c r="K9" i="1"/>
  <c r="L13" i="1"/>
  <c r="I13" i="1" s="1"/>
  <c r="L17" i="1"/>
  <c r="I17" i="1" s="1"/>
  <c r="K21" i="1"/>
  <c r="L25" i="1"/>
  <c r="I25" i="1" s="1"/>
  <c r="L29" i="1"/>
  <c r="I29" i="1" s="1"/>
  <c r="K33" i="1"/>
  <c r="L37" i="1"/>
  <c r="I37" i="1" s="1"/>
  <c r="L41" i="1"/>
  <c r="I41" i="1" s="1"/>
  <c r="K45" i="1"/>
  <c r="L49" i="1"/>
  <c r="I49" i="1" s="1"/>
  <c r="L53" i="1"/>
  <c r="I53" i="1" s="1"/>
  <c r="K57" i="1"/>
  <c r="K61" i="1"/>
  <c r="L65" i="1"/>
  <c r="I65" i="1" s="1"/>
  <c r="L69" i="1"/>
  <c r="I69" i="1" s="1"/>
  <c r="L73" i="1"/>
  <c r="I73" i="1" s="1"/>
  <c r="L77" i="1"/>
  <c r="I77" i="1" s="1"/>
  <c r="L81" i="1"/>
  <c r="I81" i="1" s="1"/>
  <c r="L85" i="1"/>
  <c r="I85" i="1" s="1"/>
  <c r="L89" i="1"/>
  <c r="I89" i="1" s="1"/>
  <c r="L93" i="1"/>
  <c r="I93" i="1" s="1"/>
  <c r="L97" i="1"/>
  <c r="I97" i="1" s="1"/>
  <c r="L101" i="1"/>
  <c r="I101" i="1" s="1"/>
  <c r="L105" i="1"/>
  <c r="I105" i="1" s="1"/>
  <c r="L109" i="1"/>
  <c r="I109" i="1" s="1"/>
  <c r="L113" i="1"/>
  <c r="I113" i="1" s="1"/>
  <c r="L117" i="1"/>
  <c r="I117" i="1" s="1"/>
  <c r="L121" i="1"/>
  <c r="I121" i="1" s="1"/>
  <c r="L125" i="1"/>
  <c r="I125" i="1" s="1"/>
  <c r="L129" i="1"/>
  <c r="I129" i="1" s="1"/>
  <c r="L133" i="1"/>
  <c r="I133" i="1" s="1"/>
  <c r="L137" i="1"/>
  <c r="I137" i="1" s="1"/>
  <c r="L141" i="1"/>
  <c r="I141" i="1" s="1"/>
  <c r="L145" i="1"/>
  <c r="I145" i="1" s="1"/>
  <c r="L149" i="1"/>
  <c r="I149" i="1" s="1"/>
  <c r="L153" i="1"/>
  <c r="I153" i="1" s="1"/>
  <c r="L157" i="1"/>
  <c r="I157" i="1" s="1"/>
  <c r="L161" i="1"/>
  <c r="I161" i="1" s="1"/>
  <c r="L165" i="1"/>
  <c r="I165" i="1" s="1"/>
  <c r="L169" i="1"/>
  <c r="I169" i="1" s="1"/>
  <c r="L173" i="1"/>
  <c r="I173" i="1" s="1"/>
  <c r="L177" i="1"/>
  <c r="I177" i="1" s="1"/>
  <c r="L181" i="1"/>
  <c r="I181" i="1" s="1"/>
  <c r="L185" i="1"/>
  <c r="I185" i="1" s="1"/>
  <c r="L189" i="1"/>
  <c r="I189" i="1" s="1"/>
  <c r="L193" i="1"/>
  <c r="I193" i="1" s="1"/>
  <c r="L197" i="1"/>
  <c r="I197" i="1" s="1"/>
  <c r="L223" i="1"/>
  <c r="I223" i="1" s="1"/>
  <c r="L289" i="1"/>
  <c r="I289" i="1" s="1"/>
  <c r="L559" i="1"/>
  <c r="I559" i="1" s="1"/>
  <c r="M559" i="1"/>
  <c r="K559" i="1"/>
  <c r="M787" i="1"/>
  <c r="L787" i="1"/>
  <c r="I787" i="1" s="1"/>
  <c r="K787" i="1"/>
  <c r="L619" i="1"/>
  <c r="I619" i="1" s="1"/>
  <c r="M619" i="1"/>
  <c r="K619" i="1"/>
  <c r="K867" i="1"/>
  <c r="M867" i="1"/>
  <c r="L867" i="1"/>
  <c r="I867" i="1" s="1"/>
  <c r="M1008" i="1"/>
  <c r="K1008" i="1"/>
  <c r="M259" i="1"/>
  <c r="L259" i="1"/>
  <c r="I259" i="1" s="1"/>
  <c r="M579" i="1"/>
  <c r="K579" i="1"/>
  <c r="K215" i="1"/>
  <c r="L248" i="1"/>
  <c r="I248" i="1" s="1"/>
  <c r="L499" i="1"/>
  <c r="I499" i="1" s="1"/>
  <c r="K803" i="1"/>
  <c r="M803" i="1"/>
  <c r="M887" i="1"/>
  <c r="L887" i="1"/>
  <c r="I887" i="1" s="1"/>
  <c r="L2" i="1"/>
  <c r="I2" i="1" s="1"/>
  <c r="L6" i="1"/>
  <c r="I6" i="1" s="1"/>
  <c r="L10" i="1"/>
  <c r="I10" i="1" s="1"/>
  <c r="L14" i="1"/>
  <c r="I14" i="1" s="1"/>
  <c r="L18" i="1"/>
  <c r="I18" i="1" s="1"/>
  <c r="L22" i="1"/>
  <c r="I22" i="1" s="1"/>
  <c r="L26" i="1"/>
  <c r="I26" i="1" s="1"/>
  <c r="L30" i="1"/>
  <c r="I30" i="1" s="1"/>
  <c r="L34" i="1"/>
  <c r="I34" i="1" s="1"/>
  <c r="L38" i="1"/>
  <c r="I38" i="1" s="1"/>
  <c r="L42" i="1"/>
  <c r="I42" i="1" s="1"/>
  <c r="L46" i="1"/>
  <c r="I46" i="1" s="1"/>
  <c r="L50" i="1"/>
  <c r="I50" i="1" s="1"/>
  <c r="L54" i="1"/>
  <c r="I54" i="1" s="1"/>
  <c r="L58" i="1"/>
  <c r="I58" i="1" s="1"/>
  <c r="L62" i="1"/>
  <c r="I62" i="1" s="1"/>
  <c r="L66" i="1"/>
  <c r="I66" i="1" s="1"/>
  <c r="L70" i="1"/>
  <c r="I70" i="1" s="1"/>
  <c r="L74" i="1"/>
  <c r="I74" i="1" s="1"/>
  <c r="L78" i="1"/>
  <c r="I78" i="1" s="1"/>
  <c r="L82" i="1"/>
  <c r="I82" i="1" s="1"/>
  <c r="L86" i="1"/>
  <c r="I86" i="1" s="1"/>
  <c r="L90" i="1"/>
  <c r="I90" i="1" s="1"/>
  <c r="L94" i="1"/>
  <c r="I94" i="1" s="1"/>
  <c r="L98" i="1"/>
  <c r="I98" i="1" s="1"/>
  <c r="L102" i="1"/>
  <c r="I102" i="1" s="1"/>
  <c r="L106" i="1"/>
  <c r="I106" i="1" s="1"/>
  <c r="L110" i="1"/>
  <c r="I110" i="1" s="1"/>
  <c r="L114" i="1"/>
  <c r="I114" i="1" s="1"/>
  <c r="L118" i="1"/>
  <c r="I118" i="1" s="1"/>
  <c r="L122" i="1"/>
  <c r="I122" i="1" s="1"/>
  <c r="L126" i="1"/>
  <c r="I126" i="1" s="1"/>
  <c r="L130" i="1"/>
  <c r="I130" i="1" s="1"/>
  <c r="L134" i="1"/>
  <c r="I134" i="1" s="1"/>
  <c r="L138" i="1"/>
  <c r="I138" i="1" s="1"/>
  <c r="L142" i="1"/>
  <c r="I142" i="1" s="1"/>
  <c r="L146" i="1"/>
  <c r="I146" i="1" s="1"/>
  <c r="L150" i="1"/>
  <c r="I150" i="1" s="1"/>
  <c r="K154" i="1"/>
  <c r="K158" i="1"/>
  <c r="K162" i="1"/>
  <c r="K166" i="1"/>
  <c r="K170" i="1"/>
  <c r="K174" i="1"/>
  <c r="K178" i="1"/>
  <c r="K182" i="1"/>
  <c r="K186" i="1"/>
  <c r="K190" i="1"/>
  <c r="K194" i="1"/>
  <c r="K198" i="1"/>
  <c r="L204" i="1"/>
  <c r="I204" i="1" s="1"/>
  <c r="K208" i="1"/>
  <c r="L212" i="1"/>
  <c r="I212" i="1" s="1"/>
  <c r="M215" i="1"/>
  <c r="K221" i="1"/>
  <c r="L241" i="1"/>
  <c r="I241" i="1" s="1"/>
  <c r="K371" i="1"/>
  <c r="L401" i="1"/>
  <c r="I401" i="1" s="1"/>
  <c r="K401" i="1"/>
  <c r="L591" i="1"/>
  <c r="I591" i="1" s="1"/>
  <c r="M591" i="1"/>
  <c r="K591" i="1"/>
  <c r="K205" i="1"/>
  <c r="L225" i="1"/>
  <c r="I225" i="1" s="1"/>
  <c r="M317" i="1"/>
  <c r="K317" i="1"/>
  <c r="K481" i="1"/>
  <c r="M481" i="1"/>
  <c r="L337" i="1"/>
  <c r="I337" i="1" s="1"/>
  <c r="L345" i="1"/>
  <c r="I345" i="1" s="1"/>
  <c r="M541" i="1"/>
  <c r="K541" i="1"/>
  <c r="L549" i="1"/>
  <c r="I549" i="1" s="1"/>
  <c r="K549" i="1"/>
  <c r="M827" i="1"/>
  <c r="K827" i="1"/>
  <c r="L911" i="1"/>
  <c r="I911" i="1" s="1"/>
  <c r="L1214" i="1"/>
  <c r="I1214" i="1" s="1"/>
  <c r="M1246" i="1"/>
  <c r="M1360" i="1"/>
  <c r="L1360" i="1"/>
  <c r="I1360" i="1" s="1"/>
  <c r="L1386" i="1"/>
  <c r="I1386" i="1" s="1"/>
  <c r="M1563" i="1"/>
  <c r="L1582" i="1"/>
  <c r="I1582" i="1" s="1"/>
  <c r="M1620" i="1"/>
  <c r="L1620" i="1"/>
  <c r="I1620" i="1" s="1"/>
  <c r="L1730" i="1"/>
  <c r="I1730" i="1" s="1"/>
  <c r="M1817" i="1"/>
  <c r="L515" i="1"/>
  <c r="I515" i="1" s="1"/>
  <c r="K603" i="1"/>
  <c r="L803" i="1"/>
  <c r="I803" i="1" s="1"/>
  <c r="L843" i="1"/>
  <c r="I843" i="1" s="1"/>
  <c r="L1088" i="1"/>
  <c r="I1088" i="1" s="1"/>
  <c r="M1149" i="1"/>
  <c r="K1149" i="1"/>
  <c r="M1214" i="1"/>
  <c r="L1225" i="1"/>
  <c r="I1225" i="1" s="1"/>
  <c r="L1246" i="1"/>
  <c r="I1246" i="1" s="1"/>
  <c r="L1318" i="1"/>
  <c r="I1318" i="1" s="1"/>
  <c r="L1449" i="1"/>
  <c r="I1449" i="1" s="1"/>
  <c r="L1510" i="1"/>
  <c r="I1510" i="1" s="1"/>
  <c r="M1560" i="1"/>
  <c r="M1655" i="1"/>
  <c r="K1655" i="1"/>
  <c r="M1730" i="1"/>
  <c r="M1745" i="1"/>
  <c r="L1745" i="1"/>
  <c r="I1745" i="1" s="1"/>
  <c r="M1787" i="1"/>
  <c r="L1787" i="1"/>
  <c r="I1787" i="1" s="1"/>
  <c r="K259" i="1"/>
  <c r="L270" i="1"/>
  <c r="I270" i="1" s="1"/>
  <c r="L321" i="1"/>
  <c r="I321" i="1" s="1"/>
  <c r="L390" i="1"/>
  <c r="I390" i="1" s="1"/>
  <c r="L397" i="1"/>
  <c r="I397" i="1" s="1"/>
  <c r="L425" i="1"/>
  <c r="I425" i="1" s="1"/>
  <c r="L432" i="1"/>
  <c r="I432" i="1" s="1"/>
  <c r="L470" i="1"/>
  <c r="I470" i="1" s="1"/>
  <c r="L519" i="1"/>
  <c r="I519" i="1" s="1"/>
  <c r="K701" i="1"/>
  <c r="L705" i="1"/>
  <c r="I705" i="1" s="1"/>
  <c r="L765" i="1"/>
  <c r="I765" i="1" s="1"/>
  <c r="K779" i="1"/>
  <c r="L871" i="1"/>
  <c r="I871" i="1" s="1"/>
  <c r="M961" i="1"/>
  <c r="L961" i="1"/>
  <c r="I961" i="1" s="1"/>
  <c r="K983" i="1"/>
  <c r="L1109" i="1"/>
  <c r="I1109" i="1" s="1"/>
  <c r="M1181" i="1"/>
  <c r="K1181" i="1"/>
  <c r="M1212" i="1"/>
  <c r="L1228" i="1"/>
  <c r="I1228" i="1" s="1"/>
  <c r="M1278" i="1"/>
  <c r="K1298" i="1"/>
  <c r="L1312" i="1"/>
  <c r="I1312" i="1" s="1"/>
  <c r="K1322" i="1"/>
  <c r="K1340" i="1"/>
  <c r="M1340" i="1"/>
  <c r="K1350" i="1"/>
  <c r="M1410" i="1"/>
  <c r="K1460" i="1"/>
  <c r="M1493" i="1"/>
  <c r="L1570" i="1"/>
  <c r="I1570" i="1" s="1"/>
  <c r="K1620" i="1"/>
  <c r="K1662" i="1"/>
  <c r="L1763" i="1"/>
  <c r="I1763" i="1" s="1"/>
  <c r="L1766" i="1"/>
  <c r="I1766" i="1" s="1"/>
  <c r="L403" i="1"/>
  <c r="I403" i="1" s="1"/>
  <c r="L417" i="1"/>
  <c r="I417" i="1" s="1"/>
  <c r="L453" i="1"/>
  <c r="I453" i="1" s="1"/>
  <c r="L491" i="1"/>
  <c r="I491" i="1" s="1"/>
  <c r="L533" i="1"/>
  <c r="I533" i="1" s="1"/>
  <c r="L565" i="1"/>
  <c r="I565" i="1" s="1"/>
  <c r="L597" i="1"/>
  <c r="I597" i="1" s="1"/>
  <c r="L923" i="1"/>
  <c r="I923" i="1" s="1"/>
  <c r="L983" i="1"/>
  <c r="I983" i="1" s="1"/>
  <c r="L1025" i="1"/>
  <c r="I1025" i="1" s="1"/>
  <c r="M1184" i="1"/>
  <c r="M1258" i="1"/>
  <c r="L1258" i="1"/>
  <c r="I1258" i="1" s="1"/>
  <c r="L1278" i="1"/>
  <c r="I1278" i="1" s="1"/>
  <c r="M1298" i="1"/>
  <c r="M1343" i="1"/>
  <c r="L1347" i="1"/>
  <c r="I1347" i="1" s="1"/>
  <c r="L1350" i="1"/>
  <c r="I1350" i="1" s="1"/>
  <c r="M1428" i="1"/>
  <c r="M1570" i="1"/>
  <c r="M1662" i="1"/>
  <c r="K1745" i="1"/>
  <c r="L208" i="1"/>
  <c r="I208" i="1" s="1"/>
  <c r="L216" i="1"/>
  <c r="I216" i="1" s="1"/>
  <c r="L221" i="1"/>
  <c r="I221" i="1" s="1"/>
  <c r="L229" i="1"/>
  <c r="I229" i="1" s="1"/>
  <c r="K285" i="1"/>
  <c r="L300" i="1"/>
  <c r="I300" i="1" s="1"/>
  <c r="K314" i="1"/>
  <c r="L318" i="1"/>
  <c r="I318" i="1" s="1"/>
  <c r="K359" i="1"/>
  <c r="L418" i="1"/>
  <c r="I418" i="1" s="1"/>
  <c r="L443" i="1"/>
  <c r="I443" i="1" s="1"/>
  <c r="K463" i="1"/>
  <c r="M473" i="1"/>
  <c r="K519" i="1"/>
  <c r="M613" i="1"/>
  <c r="L769" i="1"/>
  <c r="I769" i="1" s="1"/>
  <c r="L779" i="1"/>
  <c r="I779" i="1" s="1"/>
  <c r="K801" i="1"/>
  <c r="L847" i="1"/>
  <c r="I847" i="1" s="1"/>
  <c r="L875" i="1"/>
  <c r="I875" i="1" s="1"/>
  <c r="M935" i="1"/>
  <c r="K935" i="1"/>
  <c r="L1132" i="1"/>
  <c r="I1132" i="1" s="1"/>
  <c r="L1164" i="1"/>
  <c r="I1164" i="1" s="1"/>
  <c r="L1184" i="1"/>
  <c r="I1184" i="1" s="1"/>
  <c r="K1312" i="1"/>
  <c r="L1322" i="1"/>
  <c r="I1322" i="1" s="1"/>
  <c r="L1340" i="1"/>
  <c r="I1340" i="1" s="1"/>
  <c r="L1504" i="1"/>
  <c r="I1504" i="1" s="1"/>
  <c r="M1521" i="1"/>
  <c r="L1521" i="1"/>
  <c r="I1521" i="1" s="1"/>
  <c r="L1538" i="1"/>
  <c r="I1538" i="1" s="1"/>
  <c r="M1538" i="1"/>
  <c r="K1728" i="1"/>
  <c r="L1767" i="1"/>
  <c r="I1767" i="1" s="1"/>
  <c r="L1805" i="1"/>
  <c r="I1805" i="1" s="1"/>
  <c r="M1805" i="1"/>
  <c r="K222" i="1"/>
  <c r="L236" i="1"/>
  <c r="I236" i="1" s="1"/>
  <c r="L267" i="1"/>
  <c r="I267" i="1" s="1"/>
  <c r="L278" i="1"/>
  <c r="I278" i="1" s="1"/>
  <c r="L329" i="1"/>
  <c r="I329" i="1" s="1"/>
  <c r="K333" i="1"/>
  <c r="K387" i="1"/>
  <c r="M401" i="1"/>
  <c r="L422" i="1"/>
  <c r="I422" i="1" s="1"/>
  <c r="L467" i="1"/>
  <c r="I467" i="1" s="1"/>
  <c r="K484" i="1"/>
  <c r="L502" i="1"/>
  <c r="I502" i="1" s="1"/>
  <c r="M519" i="1"/>
  <c r="L523" i="1"/>
  <c r="I523" i="1" s="1"/>
  <c r="K533" i="1"/>
  <c r="K565" i="1"/>
  <c r="K597" i="1"/>
  <c r="L601" i="1"/>
  <c r="I601" i="1" s="1"/>
  <c r="L617" i="1"/>
  <c r="I617" i="1" s="1"/>
  <c r="K669" i="1"/>
  <c r="L673" i="1"/>
  <c r="I673" i="1" s="1"/>
  <c r="L749" i="1"/>
  <c r="I749" i="1" s="1"/>
  <c r="K763" i="1"/>
  <c r="K819" i="1"/>
  <c r="K851" i="1"/>
  <c r="L913" i="1"/>
  <c r="I913" i="1" s="1"/>
  <c r="L965" i="1"/>
  <c r="I965" i="1" s="1"/>
  <c r="L984" i="1"/>
  <c r="I984" i="1" s="1"/>
  <c r="L1021" i="1"/>
  <c r="I1021" i="1" s="1"/>
  <c r="K1047" i="1"/>
  <c r="K1092" i="1"/>
  <c r="L1118" i="1"/>
  <c r="I1118" i="1" s="1"/>
  <c r="M1135" i="1"/>
  <c r="K1178" i="1"/>
  <c r="K1228" i="1"/>
  <c r="L1244" i="1"/>
  <c r="I1244" i="1" s="1"/>
  <c r="K1258" i="1"/>
  <c r="K1293" i="1"/>
  <c r="M1312" i="1"/>
  <c r="M1347" i="1"/>
  <c r="K1394" i="1"/>
  <c r="K1415" i="1"/>
  <c r="L1418" i="1"/>
  <c r="I1418" i="1" s="1"/>
  <c r="L1460" i="1"/>
  <c r="I1460" i="1" s="1"/>
  <c r="L1470" i="1"/>
  <c r="I1470" i="1" s="1"/>
  <c r="K1571" i="1"/>
  <c r="K1624" i="1"/>
  <c r="L1728" i="1"/>
  <c r="I1728" i="1" s="1"/>
  <c r="K1763" i="1"/>
  <c r="K1815" i="1"/>
  <c r="K1822" i="1"/>
  <c r="M1660" i="1"/>
  <c r="L1660" i="1"/>
  <c r="I1660" i="1" s="1"/>
  <c r="M1698" i="1"/>
  <c r="K1698" i="1"/>
  <c r="M1722" i="1"/>
  <c r="K1722" i="1"/>
  <c r="L1959" i="1"/>
  <c r="I1959" i="1" s="1"/>
  <c r="L1963" i="1"/>
  <c r="I1963" i="1" s="1"/>
  <c r="K883" i="1"/>
  <c r="K994" i="1"/>
  <c r="M1001" i="1"/>
  <c r="K1051" i="1"/>
  <c r="M1061" i="1"/>
  <c r="L1061" i="1"/>
  <c r="I1061" i="1" s="1"/>
  <c r="K1079" i="1"/>
  <c r="L1232" i="1"/>
  <c r="I1232" i="1" s="1"/>
  <c r="M1302" i="1"/>
  <c r="K1313" i="1"/>
  <c r="K1355" i="1"/>
  <c r="L1401" i="1"/>
  <c r="I1401" i="1" s="1"/>
  <c r="L1443" i="1"/>
  <c r="I1443" i="1" s="1"/>
  <c r="M1457" i="1"/>
  <c r="M1504" i="1"/>
  <c r="K1568" i="1"/>
  <c r="K1574" i="1"/>
  <c r="K1607" i="1"/>
  <c r="M1607" i="1"/>
  <c r="K1645" i="1"/>
  <c r="K1760" i="1"/>
  <c r="K1767" i="1"/>
  <c r="K1795" i="1"/>
  <c r="K1932" i="1"/>
  <c r="L333" i="1"/>
  <c r="I333" i="1" s="1"/>
  <c r="L605" i="1"/>
  <c r="I605" i="1" s="1"/>
  <c r="L925" i="1"/>
  <c r="I925" i="1" s="1"/>
  <c r="M1139" i="1"/>
  <c r="K1182" i="1"/>
  <c r="L1344" i="1"/>
  <c r="I1344" i="1" s="1"/>
  <c r="M1368" i="1"/>
  <c r="L1415" i="1"/>
  <c r="I1415" i="1" s="1"/>
  <c r="M1447" i="1"/>
  <c r="K1447" i="1"/>
  <c r="M1522" i="1"/>
  <c r="K1522" i="1"/>
  <c r="M1638" i="1"/>
  <c r="K1638" i="1"/>
  <c r="L1698" i="1"/>
  <c r="I1698" i="1" s="1"/>
  <c r="L1722" i="1"/>
  <c r="I1722" i="1" s="1"/>
  <c r="K1809" i="1"/>
  <c r="K1868" i="1"/>
  <c r="L257" i="1"/>
  <c r="I257" i="1" s="1"/>
  <c r="L381" i="1"/>
  <c r="I381" i="1" s="1"/>
  <c r="L387" i="1"/>
  <c r="I387" i="1" s="1"/>
  <c r="L409" i="1"/>
  <c r="I409" i="1" s="1"/>
  <c r="L430" i="1"/>
  <c r="I430" i="1" s="1"/>
  <c r="L451" i="1"/>
  <c r="I451" i="1" s="1"/>
  <c r="L458" i="1"/>
  <c r="I458" i="1" s="1"/>
  <c r="L510" i="1"/>
  <c r="I510" i="1" s="1"/>
  <c r="L531" i="1"/>
  <c r="I531" i="1" s="1"/>
  <c r="L563" i="1"/>
  <c r="I563" i="1" s="1"/>
  <c r="L595" i="1"/>
  <c r="I595" i="1" s="1"/>
  <c r="L685" i="1"/>
  <c r="I685" i="1" s="1"/>
  <c r="L827" i="1"/>
  <c r="I827" i="1" s="1"/>
  <c r="L995" i="1"/>
  <c r="I995" i="1" s="1"/>
  <c r="L1069" i="1"/>
  <c r="I1069" i="1" s="1"/>
  <c r="M1213" i="1"/>
  <c r="K1213" i="1"/>
  <c r="L1379" i="1"/>
  <c r="I1379" i="1" s="1"/>
  <c r="M1391" i="1"/>
  <c r="L1394" i="1"/>
  <c r="I1394" i="1" s="1"/>
  <c r="M1426" i="1"/>
  <c r="L1426" i="1"/>
  <c r="I1426" i="1" s="1"/>
  <c r="K1437" i="1"/>
  <c r="L1437" i="1"/>
  <c r="I1437" i="1" s="1"/>
  <c r="L1556" i="1"/>
  <c r="I1556" i="1" s="1"/>
  <c r="K1660" i="1"/>
  <c r="M1809" i="1"/>
  <c r="L1948" i="1"/>
  <c r="I1948" i="1" s="1"/>
  <c r="K795" i="1"/>
  <c r="K817" i="1"/>
  <c r="L903" i="1"/>
  <c r="I903" i="1" s="1"/>
  <c r="L981" i="1"/>
  <c r="I981" i="1" s="1"/>
  <c r="L1009" i="1"/>
  <c r="I1009" i="1" s="1"/>
  <c r="K1019" i="1"/>
  <c r="K1026" i="1"/>
  <c r="K1037" i="1"/>
  <c r="K1041" i="1"/>
  <c r="L1104" i="1"/>
  <c r="I1104" i="1" s="1"/>
  <c r="K1129" i="1"/>
  <c r="K1154" i="1"/>
  <c r="L1162" i="1"/>
  <c r="I1162" i="1" s="1"/>
  <c r="L1176" i="1"/>
  <c r="I1176" i="1" s="1"/>
  <c r="L1183" i="1"/>
  <c r="I1183" i="1" s="1"/>
  <c r="M1229" i="1"/>
  <c r="L1252" i="1"/>
  <c r="I1252" i="1" s="1"/>
  <c r="L1359" i="1"/>
  <c r="I1359" i="1" s="1"/>
  <c r="M1385" i="1"/>
  <c r="L1405" i="1"/>
  <c r="I1405" i="1" s="1"/>
  <c r="L1419" i="1"/>
  <c r="I1419" i="1" s="1"/>
  <c r="K1430" i="1"/>
  <c r="L1447" i="1"/>
  <c r="I1447" i="1" s="1"/>
  <c r="K1492" i="1"/>
  <c r="L1522" i="1"/>
  <c r="I1522" i="1" s="1"/>
  <c r="K1584" i="1"/>
  <c r="K1611" i="1"/>
  <c r="L1702" i="1"/>
  <c r="I1702" i="1" s="1"/>
  <c r="L1747" i="1"/>
  <c r="I1747" i="1" s="1"/>
  <c r="L1796" i="1"/>
  <c r="I1796" i="1" s="1"/>
  <c r="L1806" i="1"/>
  <c r="I1806" i="1" s="1"/>
  <c r="L1813" i="1"/>
  <c r="I1813" i="1" s="1"/>
  <c r="K1813" i="1"/>
  <c r="K1842" i="1"/>
  <c r="M1846" i="1"/>
  <c r="K1846" i="1"/>
  <c r="L283" i="1"/>
  <c r="I283" i="1" s="1"/>
  <c r="L301" i="1"/>
  <c r="I301" i="1" s="1"/>
  <c r="L309" i="1"/>
  <c r="I309" i="1" s="1"/>
  <c r="K319" i="1"/>
  <c r="K323" i="1"/>
  <c r="L349" i="1"/>
  <c r="I349" i="1" s="1"/>
  <c r="M367" i="1"/>
  <c r="L402" i="1"/>
  <c r="I402" i="1" s="1"/>
  <c r="L427" i="1"/>
  <c r="I427" i="1" s="1"/>
  <c r="K444" i="1"/>
  <c r="L448" i="1"/>
  <c r="I448" i="1" s="1"/>
  <c r="K524" i="1"/>
  <c r="K605" i="1"/>
  <c r="L609" i="1"/>
  <c r="I609" i="1" s="1"/>
  <c r="L764" i="1"/>
  <c r="I764" i="1" s="1"/>
  <c r="K785" i="1"/>
  <c r="L907" i="1"/>
  <c r="I907" i="1" s="1"/>
  <c r="K937" i="1"/>
  <c r="L967" i="1"/>
  <c r="I967" i="1" s="1"/>
  <c r="L971" i="1"/>
  <c r="I971" i="1" s="1"/>
  <c r="M1069" i="1"/>
  <c r="L1080" i="1"/>
  <c r="I1080" i="1" s="1"/>
  <c r="L1122" i="1"/>
  <c r="I1122" i="1" s="1"/>
  <c r="L1148" i="1"/>
  <c r="I1148" i="1" s="1"/>
  <c r="L1197" i="1"/>
  <c r="I1197" i="1" s="1"/>
  <c r="L1227" i="1"/>
  <c r="I1227" i="1" s="1"/>
  <c r="L1372" i="1"/>
  <c r="I1372" i="1" s="1"/>
  <c r="M1379" i="1"/>
  <c r="M1402" i="1"/>
  <c r="L1402" i="1"/>
  <c r="I1402" i="1" s="1"/>
  <c r="M1419" i="1"/>
  <c r="M1434" i="1"/>
  <c r="L1434" i="1"/>
  <c r="I1434" i="1" s="1"/>
  <c r="M1437" i="1"/>
  <c r="M1461" i="1"/>
  <c r="K1485" i="1"/>
  <c r="L1485" i="1"/>
  <c r="I1485" i="1" s="1"/>
  <c r="M1519" i="1"/>
  <c r="L1519" i="1"/>
  <c r="I1519" i="1" s="1"/>
  <c r="K1542" i="1"/>
  <c r="L1559" i="1"/>
  <c r="I1559" i="1" s="1"/>
  <c r="L1584" i="1"/>
  <c r="I1584" i="1" s="1"/>
  <c r="L1622" i="1"/>
  <c r="I1622" i="1" s="1"/>
  <c r="L1671" i="1"/>
  <c r="I1671" i="1" s="1"/>
  <c r="M1688" i="1"/>
  <c r="M1740" i="1"/>
  <c r="K1754" i="1"/>
  <c r="M1964" i="1"/>
  <c r="K1964" i="1"/>
  <c r="L465" i="1"/>
  <c r="I465" i="1" s="1"/>
  <c r="L472" i="1"/>
  <c r="I472" i="1" s="1"/>
  <c r="L486" i="1"/>
  <c r="I486" i="1" s="1"/>
  <c r="L507" i="1"/>
  <c r="I507" i="1" s="1"/>
  <c r="L653" i="1"/>
  <c r="I653" i="1" s="1"/>
  <c r="L999" i="1"/>
  <c r="I999" i="1" s="1"/>
  <c r="L1019" i="1"/>
  <c r="I1019" i="1" s="1"/>
  <c r="L1045" i="1"/>
  <c r="I1045" i="1" s="1"/>
  <c r="L1073" i="1"/>
  <c r="I1073" i="1" s="1"/>
  <c r="M1073" i="1"/>
  <c r="L1154" i="1"/>
  <c r="I1154" i="1" s="1"/>
  <c r="L1194" i="1"/>
  <c r="I1194" i="1" s="1"/>
  <c r="L1224" i="1"/>
  <c r="I1224" i="1" s="1"/>
  <c r="L1409" i="1"/>
  <c r="I1409" i="1" s="1"/>
  <c r="M1409" i="1"/>
  <c r="L1546" i="1"/>
  <c r="I1546" i="1" s="1"/>
  <c r="L1733" i="1"/>
  <c r="I1733" i="1" s="1"/>
  <c r="M1754" i="1"/>
  <c r="L1754" i="1"/>
  <c r="I1754" i="1" s="1"/>
  <c r="M1810" i="1"/>
  <c r="L1810" i="1"/>
  <c r="I1810" i="1" s="1"/>
  <c r="M1479" i="1"/>
  <c r="K1479" i="1"/>
  <c r="L1934" i="1"/>
  <c r="I1934" i="1" s="1"/>
  <c r="M1976" i="1"/>
  <c r="K1976" i="1"/>
  <c r="K434" i="1"/>
  <c r="M441" i="1"/>
  <c r="K479" i="1"/>
  <c r="L483" i="1"/>
  <c r="I483" i="1" s="1"/>
  <c r="K500" i="1"/>
  <c r="M599" i="1"/>
  <c r="K671" i="1"/>
  <c r="K761" i="1"/>
  <c r="K771" i="1"/>
  <c r="L785" i="1"/>
  <c r="I785" i="1" s="1"/>
  <c r="K907" i="1"/>
  <c r="L937" i="1"/>
  <c r="I937" i="1" s="1"/>
  <c r="K975" i="1"/>
  <c r="K1137" i="1"/>
  <c r="K1148" i="1"/>
  <c r="L1163" i="1"/>
  <c r="I1163" i="1" s="1"/>
  <c r="M1169" i="1"/>
  <c r="K1197" i="1"/>
  <c r="K1260" i="1"/>
  <c r="L1304" i="1"/>
  <c r="I1304" i="1" s="1"/>
  <c r="M1304" i="1"/>
  <c r="L1328" i="1"/>
  <c r="I1328" i="1" s="1"/>
  <c r="L1353" i="1"/>
  <c r="I1353" i="1" s="1"/>
  <c r="L1356" i="1"/>
  <c r="I1356" i="1" s="1"/>
  <c r="L1376" i="1"/>
  <c r="I1376" i="1" s="1"/>
  <c r="M1392" i="1"/>
  <c r="K1512" i="1"/>
  <c r="K1546" i="1"/>
  <c r="M1643" i="1"/>
  <c r="L1696" i="1"/>
  <c r="I1696" i="1" s="1"/>
  <c r="M1696" i="1"/>
  <c r="K1793" i="1"/>
  <c r="L218" i="1"/>
  <c r="I218" i="1" s="1"/>
  <c r="L238" i="1"/>
  <c r="I238" i="1" s="1"/>
  <c r="K241" i="1"/>
  <c r="L262" i="1"/>
  <c r="I262" i="1" s="1"/>
  <c r="L317" i="1"/>
  <c r="I317" i="1" s="1"/>
  <c r="K379" i="1"/>
  <c r="K403" i="1"/>
  <c r="M417" i="1"/>
  <c r="M609" i="1"/>
  <c r="L761" i="1"/>
  <c r="I761" i="1" s="1"/>
  <c r="K765" i="1"/>
  <c r="K833" i="1"/>
  <c r="K919" i="1"/>
  <c r="L975" i="1"/>
  <c r="I975" i="1" s="1"/>
  <c r="L989" i="1"/>
  <c r="I989" i="1" s="1"/>
  <c r="L1308" i="1"/>
  <c r="I1308" i="1" s="1"/>
  <c r="L1336" i="1"/>
  <c r="I1336" i="1" s="1"/>
  <c r="K1343" i="1"/>
  <c r="M1356" i="1"/>
  <c r="M1363" i="1"/>
  <c r="M1386" i="1"/>
  <c r="M1389" i="1"/>
  <c r="L1479" i="1"/>
  <c r="I1479" i="1" s="1"/>
  <c r="K1506" i="1"/>
  <c r="M1506" i="1"/>
  <c r="L1512" i="1"/>
  <c r="I1512" i="1" s="1"/>
  <c r="L1540" i="1"/>
  <c r="I1540" i="1" s="1"/>
  <c r="M1546" i="1"/>
  <c r="K1582" i="1"/>
  <c r="K1594" i="1"/>
  <c r="M1623" i="1"/>
  <c r="K1623" i="1"/>
  <c r="L1665" i="1"/>
  <c r="I1665" i="1" s="1"/>
  <c r="K1733" i="1"/>
  <c r="K1737" i="1"/>
  <c r="M1776" i="1"/>
  <c r="L1776" i="1"/>
  <c r="I1776" i="1" s="1"/>
  <c r="L1793" i="1"/>
  <c r="I1793" i="1" s="1"/>
  <c r="L1817" i="1"/>
  <c r="I1817" i="1" s="1"/>
  <c r="L1908" i="1"/>
  <c r="I1908" i="1" s="1"/>
  <c r="L1421" i="1"/>
  <c r="I1421" i="1" s="1"/>
  <c r="L1445" i="1"/>
  <c r="I1445" i="1" s="1"/>
  <c r="K1478" i="1"/>
  <c r="K1494" i="1"/>
  <c r="L1634" i="1"/>
  <c r="I1634" i="1" s="1"/>
  <c r="K1702" i="1"/>
  <c r="L1705" i="1"/>
  <c r="I1705" i="1" s="1"/>
  <c r="L1721" i="1"/>
  <c r="I1721" i="1" s="1"/>
  <c r="K1786" i="1"/>
  <c r="K1796" i="1"/>
  <c r="L1799" i="1"/>
  <c r="I1799" i="1" s="1"/>
  <c r="L1832" i="1"/>
  <c r="I1832" i="1" s="1"/>
  <c r="L1975" i="1"/>
  <c r="I1975" i="1" s="1"/>
  <c r="K1982" i="1"/>
  <c r="K1048" i="1"/>
  <c r="K1107" i="1"/>
  <c r="L1128" i="1"/>
  <c r="I1128" i="1" s="1"/>
  <c r="L1213" i="1"/>
  <c r="I1213" i="1" s="1"/>
  <c r="L1218" i="1"/>
  <c r="I1218" i="1" s="1"/>
  <c r="L1226" i="1"/>
  <c r="I1226" i="1" s="1"/>
  <c r="L1229" i="1"/>
  <c r="I1229" i="1" s="1"/>
  <c r="L1235" i="1"/>
  <c r="I1235" i="1" s="1"/>
  <c r="K1446" i="1"/>
  <c r="L1623" i="1"/>
  <c r="I1623" i="1" s="1"/>
  <c r="M1715" i="1"/>
  <c r="L1757" i="1"/>
  <c r="I1757" i="1" s="1"/>
  <c r="K1800" i="1"/>
  <c r="L1803" i="1"/>
  <c r="I1803" i="1" s="1"/>
  <c r="K1818" i="1"/>
  <c r="L1902" i="1"/>
  <c r="I1902" i="1" s="1"/>
  <c r="L1987" i="1"/>
  <c r="I1987" i="1" s="1"/>
  <c r="L905" i="1"/>
  <c r="I905" i="1" s="1"/>
  <c r="M977" i="1"/>
  <c r="K997" i="1"/>
  <c r="L1003" i="1"/>
  <c r="I1003" i="1" s="1"/>
  <c r="K1021" i="1"/>
  <c r="K1066" i="1"/>
  <c r="K1104" i="1"/>
  <c r="L1124" i="1"/>
  <c r="I1124" i="1" s="1"/>
  <c r="L1152" i="1"/>
  <c r="I1152" i="1" s="1"/>
  <c r="L1186" i="1"/>
  <c r="I1186" i="1" s="1"/>
  <c r="K1210" i="1"/>
  <c r="L1239" i="1"/>
  <c r="I1239" i="1" s="1"/>
  <c r="L1313" i="1"/>
  <c r="I1313" i="1" s="1"/>
  <c r="L1334" i="1"/>
  <c r="I1334" i="1" s="1"/>
  <c r="L1341" i="1"/>
  <c r="I1341" i="1" s="1"/>
  <c r="L1351" i="1"/>
  <c r="I1351" i="1" s="1"/>
  <c r="L1354" i="1"/>
  <c r="I1354" i="1" s="1"/>
  <c r="L1361" i="1"/>
  <c r="I1361" i="1" s="1"/>
  <c r="L1370" i="1"/>
  <c r="I1370" i="1" s="1"/>
  <c r="L1381" i="1"/>
  <c r="I1381" i="1" s="1"/>
  <c r="K1406" i="1"/>
  <c r="M1469" i="1"/>
  <c r="L1473" i="1"/>
  <c r="I1473" i="1" s="1"/>
  <c r="L1489" i="1"/>
  <c r="I1489" i="1" s="1"/>
  <c r="K1505" i="1"/>
  <c r="K1555" i="1"/>
  <c r="L1569" i="1"/>
  <c r="I1569" i="1" s="1"/>
  <c r="L1601" i="1"/>
  <c r="I1601" i="1" s="1"/>
  <c r="L1686" i="1"/>
  <c r="I1686" i="1" s="1"/>
  <c r="L1734" i="1"/>
  <c r="I1734" i="1" s="1"/>
  <c r="L1748" i="1"/>
  <c r="I1748" i="1" s="1"/>
  <c r="K1764" i="1"/>
  <c r="K1794" i="1"/>
  <c r="M1803" i="1"/>
  <c r="K1950" i="1"/>
  <c r="L1980" i="1"/>
  <c r="I1980" i="1" s="1"/>
  <c r="L1962" i="1"/>
  <c r="I1962" i="1" s="1"/>
  <c r="K1470" i="1"/>
  <c r="L1608" i="1"/>
  <c r="I1608" i="1" s="1"/>
  <c r="L1687" i="1"/>
  <c r="I1687" i="1" s="1"/>
  <c r="L1697" i="1"/>
  <c r="I1697" i="1" s="1"/>
  <c r="L1771" i="1"/>
  <c r="I1771" i="1" s="1"/>
  <c r="L1940" i="1"/>
  <c r="I1940" i="1" s="1"/>
  <c r="L1984" i="1"/>
  <c r="I1984" i="1" s="1"/>
  <c r="L1988" i="1"/>
  <c r="I1988" i="1" s="1"/>
  <c r="L1066" i="1"/>
  <c r="I1066" i="1" s="1"/>
  <c r="L1133" i="1"/>
  <c r="I1133" i="1" s="1"/>
  <c r="L1147" i="1"/>
  <c r="I1147" i="1" s="1"/>
  <c r="K1198" i="1"/>
  <c r="L1345" i="1"/>
  <c r="I1345" i="1" s="1"/>
  <c r="K1359" i="1"/>
  <c r="K1454" i="1"/>
  <c r="L1548" i="1"/>
  <c r="I1548" i="1" s="1"/>
  <c r="L1691" i="1"/>
  <c r="I1691" i="1" s="1"/>
  <c r="K1723" i="1"/>
  <c r="L1774" i="1"/>
  <c r="I1774" i="1" s="1"/>
  <c r="K1788" i="1"/>
  <c r="K1798" i="1"/>
  <c r="L1878" i="1"/>
  <c r="I1878" i="1" s="1"/>
  <c r="L1977" i="1"/>
  <c r="I1977" i="1" s="1"/>
  <c r="L1655" i="1"/>
  <c r="I1655" i="1" s="1"/>
  <c r="M1708" i="1"/>
  <c r="K1762" i="1"/>
  <c r="M1781" i="1"/>
  <c r="L1974" i="1"/>
  <c r="I1974" i="1" s="1"/>
  <c r="M207" i="1"/>
  <c r="L207" i="1"/>
  <c r="I207" i="1" s="1"/>
  <c r="K207" i="1"/>
  <c r="M211" i="1"/>
  <c r="L211" i="1"/>
  <c r="I211" i="1" s="1"/>
  <c r="K211" i="1"/>
  <c r="L308" i="1"/>
  <c r="I308" i="1" s="1"/>
  <c r="K308" i="1"/>
  <c r="M411" i="1"/>
  <c r="L411" i="1"/>
  <c r="I411" i="1" s="1"/>
  <c r="L282" i="1"/>
  <c r="I282" i="1" s="1"/>
  <c r="K282" i="1"/>
  <c r="M261" i="1"/>
  <c r="L261" i="1"/>
  <c r="I261" i="1" s="1"/>
  <c r="K261" i="1"/>
  <c r="L305" i="1"/>
  <c r="I305" i="1" s="1"/>
  <c r="L244" i="1"/>
  <c r="I244" i="1" s="1"/>
  <c r="K244" i="1"/>
  <c r="M154" i="1"/>
  <c r="L154" i="1"/>
  <c r="I154" i="1" s="1"/>
  <c r="M158" i="1"/>
  <c r="L158" i="1"/>
  <c r="I158" i="1" s="1"/>
  <c r="M162" i="1"/>
  <c r="L162" i="1"/>
  <c r="I162" i="1" s="1"/>
  <c r="M166" i="1"/>
  <c r="L166" i="1"/>
  <c r="I166" i="1" s="1"/>
  <c r="M170" i="1"/>
  <c r="L170" i="1"/>
  <c r="I170" i="1" s="1"/>
  <c r="M174" i="1"/>
  <c r="L174" i="1"/>
  <c r="I174" i="1" s="1"/>
  <c r="M178" i="1"/>
  <c r="L178" i="1"/>
  <c r="I178" i="1" s="1"/>
  <c r="M182" i="1"/>
  <c r="L182" i="1"/>
  <c r="I182" i="1" s="1"/>
  <c r="M186" i="1"/>
  <c r="L186" i="1"/>
  <c r="I186" i="1" s="1"/>
  <c r="M190" i="1"/>
  <c r="L190" i="1"/>
  <c r="I190" i="1" s="1"/>
  <c r="M194" i="1"/>
  <c r="L194" i="1"/>
  <c r="I194" i="1" s="1"/>
  <c r="M198" i="1"/>
  <c r="L198" i="1"/>
  <c r="I198" i="1" s="1"/>
  <c r="L224" i="1"/>
  <c r="I224" i="1" s="1"/>
  <c r="K224" i="1"/>
  <c r="K251" i="1"/>
  <c r="M235" i="1"/>
  <c r="L235" i="1"/>
  <c r="I235" i="1" s="1"/>
  <c r="K235" i="1"/>
  <c r="L331" i="1"/>
  <c r="I331" i="1" s="1"/>
  <c r="K331" i="1"/>
  <c r="L228" i="1"/>
  <c r="I228" i="1" s="1"/>
  <c r="K228" i="1"/>
  <c r="L374" i="1"/>
  <c r="I374" i="1" s="1"/>
  <c r="K374" i="1"/>
  <c r="L255" i="1"/>
  <c r="I255" i="1" s="1"/>
  <c r="M269" i="1"/>
  <c r="L269" i="1"/>
  <c r="I269" i="1" s="1"/>
  <c r="L343" i="1"/>
  <c r="I343" i="1" s="1"/>
  <c r="L517" i="1"/>
  <c r="I517" i="1" s="1"/>
  <c r="M517" i="1"/>
  <c r="K517" i="1"/>
  <c r="M209" i="1"/>
  <c r="L209" i="1"/>
  <c r="I209" i="1" s="1"/>
  <c r="K213" i="1"/>
  <c r="L266" i="1"/>
  <c r="I266" i="1" s="1"/>
  <c r="K266" i="1"/>
  <c r="K277" i="1"/>
  <c r="L299" i="1"/>
  <c r="I299" i="1" s="1"/>
  <c r="K299" i="1"/>
  <c r="L389" i="1"/>
  <c r="I389" i="1" s="1"/>
  <c r="K389" i="1"/>
  <c r="M213" i="1"/>
  <c r="L213" i="1"/>
  <c r="I213" i="1" s="1"/>
  <c r="L328" i="1"/>
  <c r="I328" i="1" s="1"/>
  <c r="K328" i="1"/>
  <c r="K343" i="1"/>
  <c r="L365" i="1"/>
  <c r="I365" i="1" s="1"/>
  <c r="K365" i="1"/>
  <c r="L242" i="1"/>
  <c r="I242" i="1" s="1"/>
  <c r="K242" i="1"/>
  <c r="L462" i="1"/>
  <c r="I462" i="1" s="1"/>
  <c r="K462" i="1"/>
  <c r="M152" i="1"/>
  <c r="L152" i="1"/>
  <c r="I152" i="1" s="1"/>
  <c r="M156" i="1"/>
  <c r="L156" i="1"/>
  <c r="I156" i="1" s="1"/>
  <c r="M160" i="1"/>
  <c r="L160" i="1"/>
  <c r="I160" i="1" s="1"/>
  <c r="M164" i="1"/>
  <c r="L164" i="1"/>
  <c r="I164" i="1" s="1"/>
  <c r="M168" i="1"/>
  <c r="L168" i="1"/>
  <c r="I168" i="1" s="1"/>
  <c r="M172" i="1"/>
  <c r="L172" i="1"/>
  <c r="I172" i="1" s="1"/>
  <c r="M176" i="1"/>
  <c r="L176" i="1"/>
  <c r="I176" i="1" s="1"/>
  <c r="M180" i="1"/>
  <c r="L180" i="1"/>
  <c r="I180" i="1" s="1"/>
  <c r="M184" i="1"/>
  <c r="L184" i="1"/>
  <c r="I184" i="1" s="1"/>
  <c r="M188" i="1"/>
  <c r="L188" i="1"/>
  <c r="I188" i="1" s="1"/>
  <c r="M192" i="1"/>
  <c r="L192" i="1"/>
  <c r="I192" i="1" s="1"/>
  <c r="M196" i="1"/>
  <c r="L196" i="1"/>
  <c r="I196" i="1" s="1"/>
  <c r="M249" i="1"/>
  <c r="L249" i="1"/>
  <c r="I249" i="1" s="1"/>
  <c r="K249" i="1"/>
  <c r="L274" i="1"/>
  <c r="I274" i="1" s="1"/>
  <c r="K274" i="1"/>
  <c r="K290" i="1"/>
  <c r="K226" i="1"/>
  <c r="M285" i="1"/>
  <c r="L285" i="1"/>
  <c r="I285" i="1" s="1"/>
  <c r="L296" i="1"/>
  <c r="I296" i="1" s="1"/>
  <c r="K296" i="1"/>
  <c r="L311" i="1"/>
  <c r="I311" i="1" s="1"/>
  <c r="K311" i="1"/>
  <c r="L325" i="1"/>
  <c r="I325" i="1" s="1"/>
  <c r="L452" i="1"/>
  <c r="I452" i="1" s="1"/>
  <c r="K452" i="1"/>
  <c r="M251" i="1"/>
  <c r="L251" i="1"/>
  <c r="I251" i="1" s="1"/>
  <c r="M277" i="1"/>
  <c r="L277" i="1"/>
  <c r="I277" i="1" s="1"/>
  <c r="M226" i="1"/>
  <c r="L226" i="1"/>
  <c r="I226" i="1" s="1"/>
  <c r="M233" i="1"/>
  <c r="L233" i="1"/>
  <c r="I233" i="1" s="1"/>
  <c r="K233" i="1"/>
  <c r="L290" i="1"/>
  <c r="I290" i="1" s="1"/>
  <c r="L322" i="1"/>
  <c r="I322" i="1" s="1"/>
  <c r="L346" i="1"/>
  <c r="I346" i="1" s="1"/>
  <c r="K346" i="1"/>
  <c r="M455" i="1"/>
  <c r="K455" i="1"/>
  <c r="M506" i="1"/>
  <c r="K506" i="1"/>
  <c r="L545" i="1"/>
  <c r="I545" i="1" s="1"/>
  <c r="M545" i="1"/>
  <c r="K545" i="1"/>
  <c r="L580" i="1"/>
  <c r="I580" i="1" s="1"/>
  <c r="K580" i="1"/>
  <c r="M228" i="1"/>
  <c r="M244" i="1"/>
  <c r="L256" i="1"/>
  <c r="I256" i="1" s="1"/>
  <c r="M266" i="1"/>
  <c r="M274" i="1"/>
  <c r="M282" i="1"/>
  <c r="M296" i="1"/>
  <c r="M299" i="1"/>
  <c r="L302" i="1"/>
  <c r="I302" i="1" s="1"/>
  <c r="M328" i="1"/>
  <c r="M331" i="1"/>
  <c r="L334" i="1"/>
  <c r="I334" i="1" s="1"/>
  <c r="L340" i="1"/>
  <c r="I340" i="1" s="1"/>
  <c r="K340" i="1"/>
  <c r="M389" i="1"/>
  <c r="K411" i="1"/>
  <c r="L414" i="1"/>
  <c r="I414" i="1" s="1"/>
  <c r="K414" i="1"/>
  <c r="L433" i="1"/>
  <c r="I433" i="1" s="1"/>
  <c r="K433" i="1"/>
  <c r="M452" i="1"/>
  <c r="L493" i="1"/>
  <c r="I493" i="1" s="1"/>
  <c r="M496" i="1"/>
  <c r="K496" i="1"/>
  <c r="L577" i="1"/>
  <c r="I577" i="1" s="1"/>
  <c r="M577" i="1"/>
  <c r="K577" i="1"/>
  <c r="K2" i="1"/>
  <c r="K4" i="1"/>
  <c r="K6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K52" i="1"/>
  <c r="K54" i="1"/>
  <c r="K56" i="1"/>
  <c r="K58" i="1"/>
  <c r="K60" i="1"/>
  <c r="K62" i="1"/>
  <c r="K64" i="1"/>
  <c r="K66" i="1"/>
  <c r="K68" i="1"/>
  <c r="K70" i="1"/>
  <c r="K72" i="1"/>
  <c r="K74" i="1"/>
  <c r="K76" i="1"/>
  <c r="K78" i="1"/>
  <c r="K80" i="1"/>
  <c r="K82" i="1"/>
  <c r="K84" i="1"/>
  <c r="K86" i="1"/>
  <c r="K88" i="1"/>
  <c r="K90" i="1"/>
  <c r="K92" i="1"/>
  <c r="K94" i="1"/>
  <c r="K96" i="1"/>
  <c r="K98" i="1"/>
  <c r="K100" i="1"/>
  <c r="K102" i="1"/>
  <c r="K104" i="1"/>
  <c r="K106" i="1"/>
  <c r="K108" i="1"/>
  <c r="K110" i="1"/>
  <c r="K112" i="1"/>
  <c r="K114" i="1"/>
  <c r="K116" i="1"/>
  <c r="K118" i="1"/>
  <c r="K120" i="1"/>
  <c r="K122" i="1"/>
  <c r="K124" i="1"/>
  <c r="K126" i="1"/>
  <c r="K128" i="1"/>
  <c r="K130" i="1"/>
  <c r="K132" i="1"/>
  <c r="K134" i="1"/>
  <c r="K136" i="1"/>
  <c r="K138" i="1"/>
  <c r="K140" i="1"/>
  <c r="K142" i="1"/>
  <c r="K144" i="1"/>
  <c r="K146" i="1"/>
  <c r="K148" i="1"/>
  <c r="K150" i="1"/>
  <c r="L200" i="1"/>
  <c r="I200" i="1" s="1"/>
  <c r="M224" i="1"/>
  <c r="M242" i="1"/>
  <c r="M308" i="1"/>
  <c r="M311" i="1"/>
  <c r="L314" i="1"/>
  <c r="I314" i="1" s="1"/>
  <c r="L350" i="1"/>
  <c r="I350" i="1" s="1"/>
  <c r="K350" i="1"/>
  <c r="M359" i="1"/>
  <c r="L359" i="1"/>
  <c r="I359" i="1" s="1"/>
  <c r="M365" i="1"/>
  <c r="M374" i="1"/>
  <c r="L405" i="1"/>
  <c r="I405" i="1" s="1"/>
  <c r="K405" i="1"/>
  <c r="M514" i="1"/>
  <c r="K514" i="1"/>
  <c r="M542" i="1"/>
  <c r="L254" i="1"/>
  <c r="I254" i="1" s="1"/>
  <c r="K256" i="1"/>
  <c r="L264" i="1"/>
  <c r="I264" i="1" s="1"/>
  <c r="L272" i="1"/>
  <c r="I272" i="1" s="1"/>
  <c r="L280" i="1"/>
  <c r="I280" i="1" s="1"/>
  <c r="L288" i="1"/>
  <c r="I288" i="1" s="1"/>
  <c r="K302" i="1"/>
  <c r="K305" i="1"/>
  <c r="L320" i="1"/>
  <c r="I320" i="1" s="1"/>
  <c r="K334" i="1"/>
  <c r="K337" i="1"/>
  <c r="K377" i="1"/>
  <c r="K386" i="1"/>
  <c r="K493" i="1"/>
  <c r="L525" i="1"/>
  <c r="I525" i="1" s="1"/>
  <c r="M525" i="1"/>
  <c r="K525" i="1"/>
  <c r="L574" i="1"/>
  <c r="I574" i="1" s="1"/>
  <c r="K574" i="1"/>
  <c r="L542" i="1"/>
  <c r="I542" i="1" s="1"/>
  <c r="K542" i="1"/>
  <c r="M220" i="1"/>
  <c r="M240" i="1"/>
  <c r="M254" i="1"/>
  <c r="M264" i="1"/>
  <c r="M272" i="1"/>
  <c r="M280" i="1"/>
  <c r="M288" i="1"/>
  <c r="M291" i="1"/>
  <c r="L294" i="1"/>
  <c r="I294" i="1" s="1"/>
  <c r="M320" i="1"/>
  <c r="M323" i="1"/>
  <c r="L326" i="1"/>
  <c r="I326" i="1" s="1"/>
  <c r="L344" i="1"/>
  <c r="I344" i="1" s="1"/>
  <c r="K344" i="1"/>
  <c r="M390" i="1"/>
  <c r="M427" i="1"/>
  <c r="M490" i="1"/>
  <c r="K490" i="1"/>
  <c r="M574" i="1"/>
  <c r="L421" i="1"/>
  <c r="I421" i="1" s="1"/>
  <c r="K421" i="1"/>
  <c r="L460" i="1"/>
  <c r="I460" i="1" s="1"/>
  <c r="K460" i="1"/>
  <c r="M504" i="1"/>
  <c r="K504" i="1"/>
  <c r="L612" i="1"/>
  <c r="I612" i="1" s="1"/>
  <c r="K612" i="1"/>
  <c r="M805" i="1"/>
  <c r="L805" i="1"/>
  <c r="I805" i="1" s="1"/>
  <c r="K805" i="1"/>
  <c r="M809" i="1"/>
  <c r="L809" i="1"/>
  <c r="I809" i="1" s="1"/>
  <c r="M216" i="1"/>
  <c r="M238" i="1"/>
  <c r="L252" i="1"/>
  <c r="I252" i="1" s="1"/>
  <c r="K254" i="1"/>
  <c r="K264" i="1"/>
  <c r="K272" i="1"/>
  <c r="K280" i="1"/>
  <c r="K288" i="1"/>
  <c r="M300" i="1"/>
  <c r="M303" i="1"/>
  <c r="L306" i="1"/>
  <c r="I306" i="1" s="1"/>
  <c r="K320" i="1"/>
  <c r="M332" i="1"/>
  <c r="M335" i="1"/>
  <c r="L338" i="1"/>
  <c r="I338" i="1" s="1"/>
  <c r="K338" i="1"/>
  <c r="K363" i="1"/>
  <c r="L375" i="1"/>
  <c r="I375" i="1" s="1"/>
  <c r="M381" i="1"/>
  <c r="K390" i="1"/>
  <c r="K402" i="1"/>
  <c r="L406" i="1"/>
  <c r="I406" i="1" s="1"/>
  <c r="M421" i="1"/>
  <c r="K427" i="1"/>
  <c r="L457" i="1"/>
  <c r="I457" i="1" s="1"/>
  <c r="L477" i="1"/>
  <c r="I477" i="1" s="1"/>
  <c r="M522" i="1"/>
  <c r="K522" i="1"/>
  <c r="M667" i="1"/>
  <c r="K667" i="1"/>
  <c r="K326" i="1"/>
  <c r="K341" i="1"/>
  <c r="M360" i="1"/>
  <c r="K360" i="1"/>
  <c r="L366" i="1"/>
  <c r="I366" i="1" s="1"/>
  <c r="K366" i="1"/>
  <c r="L606" i="1"/>
  <c r="I606" i="1" s="1"/>
  <c r="K606" i="1"/>
  <c r="K297" i="1"/>
  <c r="K329" i="1"/>
  <c r="K201" i="1"/>
  <c r="M212" i="1"/>
  <c r="K218" i="1"/>
  <c r="M236" i="1"/>
  <c r="K238" i="1"/>
  <c r="M262" i="1"/>
  <c r="K267" i="1"/>
  <c r="M270" i="1"/>
  <c r="K275" i="1"/>
  <c r="M278" i="1"/>
  <c r="K283" i="1"/>
  <c r="M286" i="1"/>
  <c r="K300" i="1"/>
  <c r="K303" i="1"/>
  <c r="M312" i="1"/>
  <c r="M315" i="1"/>
  <c r="K332" i="1"/>
  <c r="K335" i="1"/>
  <c r="L341" i="1"/>
  <c r="I341" i="1" s="1"/>
  <c r="L348" i="1"/>
  <c r="I348" i="1" s="1"/>
  <c r="K348" i="1"/>
  <c r="L357" i="1"/>
  <c r="I357" i="1" s="1"/>
  <c r="K357" i="1"/>
  <c r="M366" i="1"/>
  <c r="K381" i="1"/>
  <c r="M397" i="1"/>
  <c r="L428" i="1"/>
  <c r="I428" i="1" s="1"/>
  <c r="K428" i="1"/>
  <c r="L438" i="1"/>
  <c r="I438" i="1" s="1"/>
  <c r="K438" i="1"/>
  <c r="M606" i="1"/>
  <c r="K199" i="1"/>
  <c r="M210" i="1"/>
  <c r="K216" i="1"/>
  <c r="K229" i="1"/>
  <c r="K245" i="1"/>
  <c r="L250" i="1"/>
  <c r="I250" i="1" s="1"/>
  <c r="K252" i="1"/>
  <c r="K257" i="1"/>
  <c r="M265" i="1"/>
  <c r="M273" i="1"/>
  <c r="M281" i="1"/>
  <c r="M289" i="1"/>
  <c r="L292" i="1"/>
  <c r="I292" i="1" s="1"/>
  <c r="K306" i="1"/>
  <c r="K309" i="1"/>
  <c r="M318" i="1"/>
  <c r="M321" i="1"/>
  <c r="L324" i="1"/>
  <c r="I324" i="1" s="1"/>
  <c r="M345" i="1"/>
  <c r="M348" i="1"/>
  <c r="M354" i="1"/>
  <c r="M357" i="1"/>
  <c r="K406" i="1"/>
  <c r="K409" i="1"/>
  <c r="K418" i="1"/>
  <c r="M428" i="1"/>
  <c r="K457" i="1"/>
  <c r="K477" i="1"/>
  <c r="M498" i="1"/>
  <c r="K498" i="1"/>
  <c r="K3" i="1"/>
  <c r="K11" i="1"/>
  <c r="K17" i="1"/>
  <c r="K23" i="1"/>
  <c r="K29" i="1"/>
  <c r="K37" i="1"/>
  <c r="K43" i="1"/>
  <c r="K49" i="1"/>
  <c r="K53" i="1"/>
  <c r="K59" i="1"/>
  <c r="K63" i="1"/>
  <c r="K69" i="1"/>
  <c r="K71" i="1"/>
  <c r="K73" i="1"/>
  <c r="K77" i="1"/>
  <c r="K79" i="1"/>
  <c r="K81" i="1"/>
  <c r="K83" i="1"/>
  <c r="K85" i="1"/>
  <c r="K87" i="1"/>
  <c r="K89" i="1"/>
  <c r="K95" i="1"/>
  <c r="K97" i="1"/>
  <c r="K99" i="1"/>
  <c r="K101" i="1"/>
  <c r="K103" i="1"/>
  <c r="K105" i="1"/>
  <c r="K107" i="1"/>
  <c r="K109" i="1"/>
  <c r="K111" i="1"/>
  <c r="K113" i="1"/>
  <c r="K115" i="1"/>
  <c r="K117" i="1"/>
  <c r="K119" i="1"/>
  <c r="K121" i="1"/>
  <c r="K123" i="1"/>
  <c r="K125" i="1"/>
  <c r="K127" i="1"/>
  <c r="K129" i="1"/>
  <c r="K131" i="1"/>
  <c r="K133" i="1"/>
  <c r="K135" i="1"/>
  <c r="K137" i="1"/>
  <c r="K139" i="1"/>
  <c r="K141" i="1"/>
  <c r="K143" i="1"/>
  <c r="K145" i="1"/>
  <c r="K147" i="1"/>
  <c r="K149" i="1"/>
  <c r="K151" i="1"/>
  <c r="K153" i="1"/>
  <c r="K155" i="1"/>
  <c r="K157" i="1"/>
  <c r="K159" i="1"/>
  <c r="K161" i="1"/>
  <c r="K163" i="1"/>
  <c r="K165" i="1"/>
  <c r="K167" i="1"/>
  <c r="K169" i="1"/>
  <c r="K171" i="1"/>
  <c r="K173" i="1"/>
  <c r="K175" i="1"/>
  <c r="K177" i="1"/>
  <c r="K179" i="1"/>
  <c r="K181" i="1"/>
  <c r="K183" i="1"/>
  <c r="K185" i="1"/>
  <c r="K187" i="1"/>
  <c r="K189" i="1"/>
  <c r="K191" i="1"/>
  <c r="K193" i="1"/>
  <c r="K195" i="1"/>
  <c r="K197" i="1"/>
  <c r="K214" i="1"/>
  <c r="K236" i="1"/>
  <c r="L260" i="1"/>
  <c r="I260" i="1" s="1"/>
  <c r="K262" i="1"/>
  <c r="K270" i="1"/>
  <c r="K278" i="1"/>
  <c r="K286" i="1"/>
  <c r="L298" i="1"/>
  <c r="I298" i="1" s="1"/>
  <c r="K312" i="1"/>
  <c r="K315" i="1"/>
  <c r="L330" i="1"/>
  <c r="I330" i="1" s="1"/>
  <c r="L342" i="1"/>
  <c r="I342" i="1" s="1"/>
  <c r="K342" i="1"/>
  <c r="L351" i="1"/>
  <c r="I351" i="1" s="1"/>
  <c r="L363" i="1"/>
  <c r="I363" i="1" s="1"/>
  <c r="L382" i="1"/>
  <c r="I382" i="1" s="1"/>
  <c r="K382" i="1"/>
  <c r="K397" i="1"/>
  <c r="L551" i="1"/>
  <c r="I551" i="1" s="1"/>
  <c r="M551" i="1"/>
  <c r="K551" i="1"/>
  <c r="K294" i="1"/>
  <c r="K7" i="1"/>
  <c r="K13" i="1"/>
  <c r="K19" i="1"/>
  <c r="K25" i="1"/>
  <c r="K31" i="1"/>
  <c r="K35" i="1"/>
  <c r="K41" i="1"/>
  <c r="K47" i="1"/>
  <c r="K55" i="1"/>
  <c r="K65" i="1"/>
  <c r="K93" i="1"/>
  <c r="L5" i="1"/>
  <c r="I5" i="1" s="1"/>
  <c r="L9" i="1"/>
  <c r="I9" i="1" s="1"/>
  <c r="L15" i="1"/>
  <c r="I15" i="1" s="1"/>
  <c r="L21" i="1"/>
  <c r="I21" i="1" s="1"/>
  <c r="L27" i="1"/>
  <c r="I27" i="1" s="1"/>
  <c r="L33" i="1"/>
  <c r="I33" i="1" s="1"/>
  <c r="L39" i="1"/>
  <c r="I39" i="1" s="1"/>
  <c r="L45" i="1"/>
  <c r="I45" i="1" s="1"/>
  <c r="L51" i="1"/>
  <c r="I51" i="1" s="1"/>
  <c r="L57" i="1"/>
  <c r="I57" i="1" s="1"/>
  <c r="L61" i="1"/>
  <c r="I61" i="1" s="1"/>
  <c r="L67" i="1"/>
  <c r="I67" i="1" s="1"/>
  <c r="L75" i="1"/>
  <c r="I75" i="1" s="1"/>
  <c r="L91" i="1"/>
  <c r="I91" i="1" s="1"/>
  <c r="M206" i="1"/>
  <c r="K212" i="1"/>
  <c r="K227" i="1"/>
  <c r="K243" i="1"/>
  <c r="M260" i="1"/>
  <c r="L268" i="1"/>
  <c r="I268" i="1" s="1"/>
  <c r="L276" i="1"/>
  <c r="I276" i="1" s="1"/>
  <c r="L284" i="1"/>
  <c r="I284" i="1" s="1"/>
  <c r="K289" i="1"/>
  <c r="M298" i="1"/>
  <c r="M301" i="1"/>
  <c r="L304" i="1"/>
  <c r="I304" i="1" s="1"/>
  <c r="K318" i="1"/>
  <c r="K321" i="1"/>
  <c r="M330" i="1"/>
  <c r="M333" i="1"/>
  <c r="L336" i="1"/>
  <c r="I336" i="1" s="1"/>
  <c r="M339" i="1"/>
  <c r="M342" i="1"/>
  <c r="K345" i="1"/>
  <c r="M351" i="1"/>
  <c r="K354" i="1"/>
  <c r="L413" i="1"/>
  <c r="I413" i="1" s="1"/>
  <c r="K425" i="1"/>
  <c r="M435" i="1"/>
  <c r="L509" i="1"/>
  <c r="I509" i="1" s="1"/>
  <c r="M509" i="1"/>
  <c r="K509" i="1"/>
  <c r="M204" i="1"/>
  <c r="K210" i="1"/>
  <c r="K225" i="1"/>
  <c r="M232" i="1"/>
  <c r="K234" i="1"/>
  <c r="M248" i="1"/>
  <c r="K250" i="1"/>
  <c r="K255" i="1"/>
  <c r="K265" i="1"/>
  <c r="M268" i="1"/>
  <c r="K273" i="1"/>
  <c r="M276" i="1"/>
  <c r="K281" i="1"/>
  <c r="M284" i="1"/>
  <c r="K292" i="1"/>
  <c r="K295" i="1"/>
  <c r="M304" i="1"/>
  <c r="M307" i="1"/>
  <c r="L310" i="1"/>
  <c r="I310" i="1" s="1"/>
  <c r="K324" i="1"/>
  <c r="K327" i="1"/>
  <c r="M336" i="1"/>
  <c r="L358" i="1"/>
  <c r="I358" i="1" s="1"/>
  <c r="M361" i="1"/>
  <c r="L398" i="1"/>
  <c r="I398" i="1" s="1"/>
  <c r="K398" i="1"/>
  <c r="M413" i="1"/>
  <c r="K422" i="1"/>
  <c r="L548" i="1"/>
  <c r="I548" i="1" s="1"/>
  <c r="K548" i="1"/>
  <c r="L583" i="1"/>
  <c r="I583" i="1" s="1"/>
  <c r="M583" i="1"/>
  <c r="K583" i="1"/>
  <c r="M202" i="1"/>
  <c r="L258" i="1"/>
  <c r="I258" i="1" s="1"/>
  <c r="K260" i="1"/>
  <c r="M263" i="1"/>
  <c r="M271" i="1"/>
  <c r="M279" i="1"/>
  <c r="M287" i="1"/>
  <c r="K298" i="1"/>
  <c r="M310" i="1"/>
  <c r="M313" i="1"/>
  <c r="L316" i="1"/>
  <c r="I316" i="1" s="1"/>
  <c r="K330" i="1"/>
  <c r="M349" i="1"/>
  <c r="M358" i="1"/>
  <c r="L373" i="1"/>
  <c r="I373" i="1" s="1"/>
  <c r="K373" i="1"/>
  <c r="K435" i="1"/>
  <c r="L640" i="1"/>
  <c r="I640" i="1" s="1"/>
  <c r="K640" i="1"/>
  <c r="M640" i="1"/>
  <c r="L556" i="1"/>
  <c r="I556" i="1" s="1"/>
  <c r="K556" i="1"/>
  <c r="L588" i="1"/>
  <c r="I588" i="1" s="1"/>
  <c r="K588" i="1"/>
  <c r="L620" i="1"/>
  <c r="I620" i="1" s="1"/>
  <c r="K620" i="1"/>
  <c r="L704" i="1"/>
  <c r="I704" i="1" s="1"/>
  <c r="K704" i="1"/>
  <c r="M704" i="1"/>
  <c r="L753" i="1"/>
  <c r="I753" i="1" s="1"/>
  <c r="M753" i="1"/>
  <c r="K753" i="1"/>
  <c r="M422" i="1"/>
  <c r="L437" i="1"/>
  <c r="I437" i="1" s="1"/>
  <c r="M454" i="1"/>
  <c r="L469" i="1"/>
  <c r="I469" i="1" s="1"/>
  <c r="L530" i="1"/>
  <c r="I530" i="1" s="1"/>
  <c r="K530" i="1"/>
  <c r="M556" i="1"/>
  <c r="L562" i="1"/>
  <c r="I562" i="1" s="1"/>
  <c r="K562" i="1"/>
  <c r="M588" i="1"/>
  <c r="L594" i="1"/>
  <c r="I594" i="1" s="1"/>
  <c r="K594" i="1"/>
  <c r="M620" i="1"/>
  <c r="L633" i="1"/>
  <c r="I633" i="1" s="1"/>
  <c r="K633" i="1"/>
  <c r="L677" i="1"/>
  <c r="I677" i="1" s="1"/>
  <c r="K677" i="1"/>
  <c r="L684" i="1"/>
  <c r="I684" i="1" s="1"/>
  <c r="K684" i="1"/>
  <c r="L356" i="1"/>
  <c r="I356" i="1" s="1"/>
  <c r="L372" i="1"/>
  <c r="I372" i="1" s="1"/>
  <c r="K376" i="1"/>
  <c r="L388" i="1"/>
  <c r="I388" i="1" s="1"/>
  <c r="K392" i="1"/>
  <c r="L404" i="1"/>
  <c r="I404" i="1" s="1"/>
  <c r="L420" i="1"/>
  <c r="I420" i="1" s="1"/>
  <c r="M432" i="1"/>
  <c r="L442" i="1"/>
  <c r="I442" i="1" s="1"/>
  <c r="L447" i="1"/>
  <c r="I447" i="1" s="1"/>
  <c r="M464" i="1"/>
  <c r="L474" i="1"/>
  <c r="I474" i="1" s="1"/>
  <c r="L482" i="1"/>
  <c r="I482" i="1" s="1"/>
  <c r="L490" i="1"/>
  <c r="I490" i="1" s="1"/>
  <c r="L498" i="1"/>
  <c r="I498" i="1" s="1"/>
  <c r="L506" i="1"/>
  <c r="I506" i="1" s="1"/>
  <c r="L514" i="1"/>
  <c r="I514" i="1" s="1"/>
  <c r="L522" i="1"/>
  <c r="I522" i="1" s="1"/>
  <c r="M530" i="1"/>
  <c r="L536" i="1"/>
  <c r="I536" i="1" s="1"/>
  <c r="K536" i="1"/>
  <c r="L539" i="1"/>
  <c r="I539" i="1" s="1"/>
  <c r="M562" i="1"/>
  <c r="L568" i="1"/>
  <c r="I568" i="1" s="1"/>
  <c r="K568" i="1"/>
  <c r="L571" i="1"/>
  <c r="I571" i="1" s="1"/>
  <c r="M594" i="1"/>
  <c r="L600" i="1"/>
  <c r="I600" i="1" s="1"/>
  <c r="K600" i="1"/>
  <c r="M633" i="1"/>
  <c r="L657" i="1"/>
  <c r="I657" i="1" s="1"/>
  <c r="M657" i="1"/>
  <c r="L660" i="1"/>
  <c r="I660" i="1" s="1"/>
  <c r="K660" i="1"/>
  <c r="M677" i="1"/>
  <c r="M386" i="1"/>
  <c r="M402" i="1"/>
  <c r="M418" i="1"/>
  <c r="M430" i="1"/>
  <c r="K432" i="1"/>
  <c r="K437" i="1"/>
  <c r="M462" i="1"/>
  <c r="K464" i="1"/>
  <c r="K469" i="1"/>
  <c r="K474" i="1"/>
  <c r="K482" i="1"/>
  <c r="M533" i="1"/>
  <c r="M548" i="1"/>
  <c r="L554" i="1"/>
  <c r="I554" i="1" s="1"/>
  <c r="K554" i="1"/>
  <c r="M565" i="1"/>
  <c r="M580" i="1"/>
  <c r="L586" i="1"/>
  <c r="I586" i="1" s="1"/>
  <c r="K586" i="1"/>
  <c r="M597" i="1"/>
  <c r="M612" i="1"/>
  <c r="L618" i="1"/>
  <c r="I618" i="1" s="1"/>
  <c r="K618" i="1"/>
  <c r="M684" i="1"/>
  <c r="L352" i="1"/>
  <c r="I352" i="1" s="1"/>
  <c r="K356" i="1"/>
  <c r="L368" i="1"/>
  <c r="I368" i="1" s="1"/>
  <c r="K372" i="1"/>
  <c r="L384" i="1"/>
  <c r="I384" i="1" s="1"/>
  <c r="K388" i="1"/>
  <c r="L400" i="1"/>
  <c r="I400" i="1" s="1"/>
  <c r="K404" i="1"/>
  <c r="L416" i="1"/>
  <c r="I416" i="1" s="1"/>
  <c r="K420" i="1"/>
  <c r="L423" i="1"/>
  <c r="I423" i="1" s="1"/>
  <c r="M440" i="1"/>
  <c r="K442" i="1"/>
  <c r="K447" i="1"/>
  <c r="L450" i="1"/>
  <c r="I450" i="1" s="1"/>
  <c r="L455" i="1"/>
  <c r="I455" i="1" s="1"/>
  <c r="M472" i="1"/>
  <c r="L480" i="1"/>
  <c r="I480" i="1" s="1"/>
  <c r="L488" i="1"/>
  <c r="I488" i="1" s="1"/>
  <c r="L496" i="1"/>
  <c r="I496" i="1" s="1"/>
  <c r="L504" i="1"/>
  <c r="I504" i="1" s="1"/>
  <c r="L512" i="1"/>
  <c r="I512" i="1" s="1"/>
  <c r="L520" i="1"/>
  <c r="I520" i="1" s="1"/>
  <c r="L528" i="1"/>
  <c r="I528" i="1" s="1"/>
  <c r="K528" i="1"/>
  <c r="M539" i="1"/>
  <c r="M554" i="1"/>
  <c r="L560" i="1"/>
  <c r="I560" i="1" s="1"/>
  <c r="K560" i="1"/>
  <c r="M571" i="1"/>
  <c r="M586" i="1"/>
  <c r="L592" i="1"/>
  <c r="I592" i="1" s="1"/>
  <c r="K592" i="1"/>
  <c r="M603" i="1"/>
  <c r="M618" i="1"/>
  <c r="K657" i="1"/>
  <c r="L736" i="1"/>
  <c r="I736" i="1" s="1"/>
  <c r="K736" i="1"/>
  <c r="M736" i="1"/>
  <c r="M957" i="1"/>
  <c r="K957" i="1"/>
  <c r="L534" i="1"/>
  <c r="I534" i="1" s="1"/>
  <c r="K534" i="1"/>
  <c r="L537" i="1"/>
  <c r="I537" i="1" s="1"/>
  <c r="L566" i="1"/>
  <c r="I566" i="1" s="1"/>
  <c r="K566" i="1"/>
  <c r="L569" i="1"/>
  <c r="I569" i="1" s="1"/>
  <c r="L598" i="1"/>
  <c r="I598" i="1" s="1"/>
  <c r="K598" i="1"/>
  <c r="L631" i="1"/>
  <c r="I631" i="1" s="1"/>
  <c r="K631" i="1"/>
  <c r="L709" i="1"/>
  <c r="I709" i="1" s="1"/>
  <c r="K709" i="1"/>
  <c r="L716" i="1"/>
  <c r="I716" i="1" s="1"/>
  <c r="K716" i="1"/>
  <c r="M460" i="1"/>
  <c r="L540" i="1"/>
  <c r="I540" i="1" s="1"/>
  <c r="K540" i="1"/>
  <c r="L572" i="1"/>
  <c r="I572" i="1" s="1"/>
  <c r="K572" i="1"/>
  <c r="L604" i="1"/>
  <c r="I604" i="1" s="1"/>
  <c r="K604" i="1"/>
  <c r="L689" i="1"/>
  <c r="I689" i="1" s="1"/>
  <c r="M689" i="1"/>
  <c r="L692" i="1"/>
  <c r="I692" i="1" s="1"/>
  <c r="K692" i="1"/>
  <c r="M845" i="1"/>
  <c r="L845" i="1"/>
  <c r="I845" i="1" s="1"/>
  <c r="K845" i="1"/>
  <c r="L954" i="1"/>
  <c r="I954" i="1" s="1"/>
  <c r="K954" i="1"/>
  <c r="M382" i="1"/>
  <c r="M398" i="1"/>
  <c r="M414" i="1"/>
  <c r="M438" i="1"/>
  <c r="K440" i="1"/>
  <c r="K445" i="1"/>
  <c r="M470" i="1"/>
  <c r="K472" i="1"/>
  <c r="K480" i="1"/>
  <c r="K488" i="1"/>
  <c r="K512" i="1"/>
  <c r="K520" i="1"/>
  <c r="M540" i="1"/>
  <c r="L546" i="1"/>
  <c r="I546" i="1" s="1"/>
  <c r="K546" i="1"/>
  <c r="M557" i="1"/>
  <c r="M572" i="1"/>
  <c r="L578" i="1"/>
  <c r="I578" i="1" s="1"/>
  <c r="K578" i="1"/>
  <c r="M589" i="1"/>
  <c r="M604" i="1"/>
  <c r="L610" i="1"/>
  <c r="I610" i="1" s="1"/>
  <c r="K610" i="1"/>
  <c r="L665" i="1"/>
  <c r="I665" i="1" s="1"/>
  <c r="K665" i="1"/>
  <c r="M692" i="1"/>
  <c r="M699" i="1"/>
  <c r="K699" i="1"/>
  <c r="L932" i="1"/>
  <c r="I932" i="1" s="1"/>
  <c r="K932" i="1"/>
  <c r="K352" i="1"/>
  <c r="L364" i="1"/>
  <c r="I364" i="1" s="1"/>
  <c r="K368" i="1"/>
  <c r="K375" i="1"/>
  <c r="L380" i="1"/>
  <c r="I380" i="1" s="1"/>
  <c r="K384" i="1"/>
  <c r="K391" i="1"/>
  <c r="L396" i="1"/>
  <c r="I396" i="1" s="1"/>
  <c r="K400" i="1"/>
  <c r="K407" i="1"/>
  <c r="L412" i="1"/>
  <c r="I412" i="1" s="1"/>
  <c r="K416" i="1"/>
  <c r="K423" i="1"/>
  <c r="L431" i="1"/>
  <c r="I431" i="1" s="1"/>
  <c r="M448" i="1"/>
  <c r="K450" i="1"/>
  <c r="L463" i="1"/>
  <c r="I463" i="1" s="1"/>
  <c r="L518" i="1"/>
  <c r="I518" i="1" s="1"/>
  <c r="L526" i="1"/>
  <c r="I526" i="1" s="1"/>
  <c r="M531" i="1"/>
  <c r="K537" i="1"/>
  <c r="M546" i="1"/>
  <c r="L552" i="1"/>
  <c r="I552" i="1" s="1"/>
  <c r="K552" i="1"/>
  <c r="L555" i="1"/>
  <c r="I555" i="1" s="1"/>
  <c r="M563" i="1"/>
  <c r="K569" i="1"/>
  <c r="M578" i="1"/>
  <c r="L584" i="1"/>
  <c r="I584" i="1" s="1"/>
  <c r="K584" i="1"/>
  <c r="L587" i="1"/>
  <c r="I587" i="1" s="1"/>
  <c r="M595" i="1"/>
  <c r="K601" i="1"/>
  <c r="M610" i="1"/>
  <c r="L616" i="1"/>
  <c r="I616" i="1" s="1"/>
  <c r="K616" i="1"/>
  <c r="M665" i="1"/>
  <c r="L672" i="1"/>
  <c r="I672" i="1" s="1"/>
  <c r="K672" i="1"/>
  <c r="M672" i="1"/>
  <c r="L748" i="1"/>
  <c r="I748" i="1" s="1"/>
  <c r="K748" i="1"/>
  <c r="M748" i="1"/>
  <c r="L947" i="1"/>
  <c r="I947" i="1" s="1"/>
  <c r="K947" i="1"/>
  <c r="M396" i="1"/>
  <c r="M412" i="1"/>
  <c r="M426" i="1"/>
  <c r="L436" i="1"/>
  <c r="I436" i="1" s="1"/>
  <c r="L441" i="1"/>
  <c r="I441" i="1" s="1"/>
  <c r="M458" i="1"/>
  <c r="K465" i="1"/>
  <c r="L468" i="1"/>
  <c r="I468" i="1" s="1"/>
  <c r="L473" i="1"/>
  <c r="I473" i="1" s="1"/>
  <c r="K475" i="1"/>
  <c r="M478" i="1"/>
  <c r="L481" i="1"/>
  <c r="I481" i="1" s="1"/>
  <c r="K483" i="1"/>
  <c r="M486" i="1"/>
  <c r="L489" i="1"/>
  <c r="I489" i="1" s="1"/>
  <c r="K491" i="1"/>
  <c r="M494" i="1"/>
  <c r="L497" i="1"/>
  <c r="I497" i="1" s="1"/>
  <c r="K499" i="1"/>
  <c r="M502" i="1"/>
  <c r="L505" i="1"/>
  <c r="I505" i="1" s="1"/>
  <c r="K507" i="1"/>
  <c r="K515" i="1"/>
  <c r="K523" i="1"/>
  <c r="L529" i="1"/>
  <c r="I529" i="1" s="1"/>
  <c r="M537" i="1"/>
  <c r="K543" i="1"/>
  <c r="L558" i="1"/>
  <c r="I558" i="1" s="1"/>
  <c r="K558" i="1"/>
  <c r="L561" i="1"/>
  <c r="I561" i="1" s="1"/>
  <c r="M569" i="1"/>
  <c r="K575" i="1"/>
  <c r="L590" i="1"/>
  <c r="I590" i="1" s="1"/>
  <c r="K590" i="1"/>
  <c r="L593" i="1"/>
  <c r="I593" i="1" s="1"/>
  <c r="M601" i="1"/>
  <c r="K607" i="1"/>
  <c r="L622" i="1"/>
  <c r="I622" i="1" s="1"/>
  <c r="K622" i="1"/>
  <c r="M628" i="1"/>
  <c r="L645" i="1"/>
  <c r="I645" i="1" s="1"/>
  <c r="K645" i="1"/>
  <c r="L652" i="1"/>
  <c r="I652" i="1" s="1"/>
  <c r="K652" i="1"/>
  <c r="M716" i="1"/>
  <c r="M921" i="1"/>
  <c r="K921" i="1"/>
  <c r="L362" i="1"/>
  <c r="I362" i="1" s="1"/>
  <c r="L378" i="1"/>
  <c r="I378" i="1" s="1"/>
  <c r="L394" i="1"/>
  <c r="I394" i="1" s="1"/>
  <c r="L410" i="1"/>
  <c r="I410" i="1" s="1"/>
  <c r="K443" i="1"/>
  <c r="L446" i="1"/>
  <c r="I446" i="1" s="1"/>
  <c r="K470" i="1"/>
  <c r="L513" i="1"/>
  <c r="I513" i="1" s="1"/>
  <c r="M515" i="1"/>
  <c r="L521" i="1"/>
  <c r="I521" i="1" s="1"/>
  <c r="M523" i="1"/>
  <c r="L532" i="1"/>
  <c r="I532" i="1" s="1"/>
  <c r="K532" i="1"/>
  <c r="L535" i="1"/>
  <c r="I535" i="1" s="1"/>
  <c r="M543" i="1"/>
  <c r="L564" i="1"/>
  <c r="I564" i="1" s="1"/>
  <c r="K564" i="1"/>
  <c r="L567" i="1"/>
  <c r="I567" i="1" s="1"/>
  <c r="M575" i="1"/>
  <c r="L596" i="1"/>
  <c r="I596" i="1" s="1"/>
  <c r="K596" i="1"/>
  <c r="M607" i="1"/>
  <c r="K689" i="1"/>
  <c r="L741" i="1"/>
  <c r="I741" i="1" s="1"/>
  <c r="K741" i="1"/>
  <c r="M789" i="1"/>
  <c r="L789" i="1"/>
  <c r="I789" i="1" s="1"/>
  <c r="K789" i="1"/>
  <c r="M362" i="1"/>
  <c r="M378" i="1"/>
  <c r="M394" i="1"/>
  <c r="M410" i="1"/>
  <c r="L424" i="1"/>
  <c r="I424" i="1" s="1"/>
  <c r="L429" i="1"/>
  <c r="I429" i="1" s="1"/>
  <c r="M446" i="1"/>
  <c r="K448" i="1"/>
  <c r="K453" i="1"/>
  <c r="L456" i="1"/>
  <c r="I456" i="1" s="1"/>
  <c r="L461" i="1"/>
  <c r="I461" i="1" s="1"/>
  <c r="K478" i="1"/>
  <c r="K486" i="1"/>
  <c r="K494" i="1"/>
  <c r="K502" i="1"/>
  <c r="K510" i="1"/>
  <c r="K518" i="1"/>
  <c r="K526" i="1"/>
  <c r="M532" i="1"/>
  <c r="L538" i="1"/>
  <c r="I538" i="1" s="1"/>
  <c r="K538" i="1"/>
  <c r="L541" i="1"/>
  <c r="I541" i="1" s="1"/>
  <c r="M549" i="1"/>
  <c r="K555" i="1"/>
  <c r="M564" i="1"/>
  <c r="L570" i="1"/>
  <c r="I570" i="1" s="1"/>
  <c r="K570" i="1"/>
  <c r="L573" i="1"/>
  <c r="I573" i="1" s="1"/>
  <c r="M581" i="1"/>
  <c r="K587" i="1"/>
  <c r="M596" i="1"/>
  <c r="L602" i="1"/>
  <c r="I602" i="1" s="1"/>
  <c r="K602" i="1"/>
  <c r="M741" i="1"/>
  <c r="L825" i="1"/>
  <c r="I825" i="1" s="1"/>
  <c r="L360" i="1"/>
  <c r="I360" i="1" s="1"/>
  <c r="K364" i="1"/>
  <c r="L376" i="1"/>
  <c r="I376" i="1" s="1"/>
  <c r="K380" i="1"/>
  <c r="L392" i="1"/>
  <c r="I392" i="1" s="1"/>
  <c r="K396" i="1"/>
  <c r="L408" i="1"/>
  <c r="I408" i="1" s="1"/>
  <c r="K412" i="1"/>
  <c r="K426" i="1"/>
  <c r="K431" i="1"/>
  <c r="L434" i="1"/>
  <c r="I434" i="1" s="1"/>
  <c r="L439" i="1"/>
  <c r="I439" i="1" s="1"/>
  <c r="K458" i="1"/>
  <c r="L466" i="1"/>
  <c r="I466" i="1" s="1"/>
  <c r="L471" i="1"/>
  <c r="I471" i="1" s="1"/>
  <c r="L476" i="1"/>
  <c r="I476" i="1" s="1"/>
  <c r="L484" i="1"/>
  <c r="I484" i="1" s="1"/>
  <c r="L492" i="1"/>
  <c r="I492" i="1" s="1"/>
  <c r="L500" i="1"/>
  <c r="I500" i="1" s="1"/>
  <c r="L508" i="1"/>
  <c r="I508" i="1" s="1"/>
  <c r="L516" i="1"/>
  <c r="I516" i="1" s="1"/>
  <c r="L524" i="1"/>
  <c r="I524" i="1" s="1"/>
  <c r="K529" i="1"/>
  <c r="L544" i="1"/>
  <c r="I544" i="1" s="1"/>
  <c r="K544" i="1"/>
  <c r="L547" i="1"/>
  <c r="I547" i="1" s="1"/>
  <c r="M555" i="1"/>
  <c r="K561" i="1"/>
  <c r="L576" i="1"/>
  <c r="I576" i="1" s="1"/>
  <c r="K576" i="1"/>
  <c r="L579" i="1"/>
  <c r="I579" i="1" s="1"/>
  <c r="M587" i="1"/>
  <c r="K593" i="1"/>
  <c r="L608" i="1"/>
  <c r="I608" i="1" s="1"/>
  <c r="K608" i="1"/>
  <c r="M635" i="1"/>
  <c r="L721" i="1"/>
  <c r="I721" i="1" s="1"/>
  <c r="M721" i="1"/>
  <c r="K721" i="1"/>
  <c r="M431" i="1"/>
  <c r="K436" i="1"/>
  <c r="L444" i="1"/>
  <c r="I444" i="1" s="1"/>
  <c r="L449" i="1"/>
  <c r="I449" i="1" s="1"/>
  <c r="K468" i="1"/>
  <c r="L479" i="1"/>
  <c r="I479" i="1" s="1"/>
  <c r="L487" i="1"/>
  <c r="I487" i="1" s="1"/>
  <c r="L495" i="1"/>
  <c r="I495" i="1" s="1"/>
  <c r="L503" i="1"/>
  <c r="I503" i="1" s="1"/>
  <c r="K513" i="1"/>
  <c r="K521" i="1"/>
  <c r="K535" i="1"/>
  <c r="L550" i="1"/>
  <c r="I550" i="1" s="1"/>
  <c r="K550" i="1"/>
  <c r="L553" i="1"/>
  <c r="I553" i="1" s="1"/>
  <c r="K567" i="1"/>
  <c r="L582" i="1"/>
  <c r="I582" i="1" s="1"/>
  <c r="K582" i="1"/>
  <c r="L585" i="1"/>
  <c r="I585" i="1" s="1"/>
  <c r="K599" i="1"/>
  <c r="L614" i="1"/>
  <c r="I614" i="1" s="1"/>
  <c r="K614" i="1"/>
  <c r="L697" i="1"/>
  <c r="I697" i="1" s="1"/>
  <c r="K697" i="1"/>
  <c r="M731" i="1"/>
  <c r="K731" i="1"/>
  <c r="M885" i="1"/>
  <c r="K885" i="1"/>
  <c r="L630" i="1"/>
  <c r="I630" i="1" s="1"/>
  <c r="L642" i="1"/>
  <c r="I642" i="1" s="1"/>
  <c r="K642" i="1"/>
  <c r="L647" i="1"/>
  <c r="I647" i="1" s="1"/>
  <c r="L674" i="1"/>
  <c r="I674" i="1" s="1"/>
  <c r="K674" i="1"/>
  <c r="L679" i="1"/>
  <c r="I679" i="1" s="1"/>
  <c r="L706" i="1"/>
  <c r="I706" i="1" s="1"/>
  <c r="K706" i="1"/>
  <c r="L711" i="1"/>
  <c r="I711" i="1" s="1"/>
  <c r="L738" i="1"/>
  <c r="I738" i="1" s="1"/>
  <c r="K738" i="1"/>
  <c r="L743" i="1"/>
  <c r="I743" i="1" s="1"/>
  <c r="L766" i="1"/>
  <c r="I766" i="1" s="1"/>
  <c r="K766" i="1"/>
  <c r="M815" i="1"/>
  <c r="K815" i="1"/>
  <c r="K825" i="1"/>
  <c r="L838" i="1"/>
  <c r="I838" i="1" s="1"/>
  <c r="K838" i="1"/>
  <c r="L865" i="1"/>
  <c r="I865" i="1" s="1"/>
  <c r="K865" i="1"/>
  <c r="L885" i="1"/>
  <c r="I885" i="1" s="1"/>
  <c r="L899" i="1"/>
  <c r="I899" i="1" s="1"/>
  <c r="K899" i="1"/>
  <c r="L957" i="1"/>
  <c r="I957" i="1" s="1"/>
  <c r="L628" i="1"/>
  <c r="I628" i="1" s="1"/>
  <c r="L635" i="1"/>
  <c r="I635" i="1" s="1"/>
  <c r="L662" i="1"/>
  <c r="I662" i="1" s="1"/>
  <c r="K662" i="1"/>
  <c r="L667" i="1"/>
  <c r="I667" i="1" s="1"/>
  <c r="L694" i="1"/>
  <c r="I694" i="1" s="1"/>
  <c r="K694" i="1"/>
  <c r="L699" i="1"/>
  <c r="I699" i="1" s="1"/>
  <c r="L726" i="1"/>
  <c r="I726" i="1" s="1"/>
  <c r="K726" i="1"/>
  <c r="L731" i="1"/>
  <c r="I731" i="1" s="1"/>
  <c r="L758" i="1"/>
  <c r="I758" i="1" s="1"/>
  <c r="K758" i="1"/>
  <c r="M799" i="1"/>
  <c r="K799" i="1"/>
  <c r="K809" i="1"/>
  <c r="L822" i="1"/>
  <c r="I822" i="1" s="1"/>
  <c r="K822" i="1"/>
  <c r="L862" i="1"/>
  <c r="I862" i="1" s="1"/>
  <c r="K862" i="1"/>
  <c r="L889" i="1"/>
  <c r="I889" i="1" s="1"/>
  <c r="K889" i="1"/>
  <c r="L921" i="1"/>
  <c r="I921" i="1" s="1"/>
  <c r="M932" i="1"/>
  <c r="L950" i="1"/>
  <c r="I950" i="1" s="1"/>
  <c r="K950" i="1"/>
  <c r="L626" i="1"/>
  <c r="I626" i="1" s="1"/>
  <c r="K630" i="1"/>
  <c r="K647" i="1"/>
  <c r="L650" i="1"/>
  <c r="I650" i="1" s="1"/>
  <c r="K650" i="1"/>
  <c r="L655" i="1"/>
  <c r="I655" i="1" s="1"/>
  <c r="K679" i="1"/>
  <c r="L682" i="1"/>
  <c r="I682" i="1" s="1"/>
  <c r="K682" i="1"/>
  <c r="L687" i="1"/>
  <c r="I687" i="1" s="1"/>
  <c r="K711" i="1"/>
  <c r="L714" i="1"/>
  <c r="I714" i="1" s="1"/>
  <c r="K714" i="1"/>
  <c r="L719" i="1"/>
  <c r="I719" i="1" s="1"/>
  <c r="M738" i="1"/>
  <c r="K743" i="1"/>
  <c r="L746" i="1"/>
  <c r="I746" i="1" s="1"/>
  <c r="K746" i="1"/>
  <c r="L751" i="1"/>
  <c r="I751" i="1" s="1"/>
  <c r="K773" i="1"/>
  <c r="K793" i="1"/>
  <c r="L806" i="1"/>
  <c r="I806" i="1" s="1"/>
  <c r="K806" i="1"/>
  <c r="L849" i="1"/>
  <c r="I849" i="1" s="1"/>
  <c r="K849" i="1"/>
  <c r="L886" i="1"/>
  <c r="I886" i="1" s="1"/>
  <c r="K886" i="1"/>
  <c r="L900" i="1"/>
  <c r="I900" i="1" s="1"/>
  <c r="K900" i="1"/>
  <c r="L973" i="1"/>
  <c r="I973" i="1" s="1"/>
  <c r="K973" i="1"/>
  <c r="M986" i="1"/>
  <c r="K986" i="1"/>
  <c r="L724" i="1"/>
  <c r="I724" i="1" s="1"/>
  <c r="K724" i="1"/>
  <c r="L756" i="1"/>
  <c r="I756" i="1" s="1"/>
  <c r="K756" i="1"/>
  <c r="M767" i="1"/>
  <c r="K767" i="1"/>
  <c r="M773" i="1"/>
  <c r="L773" i="1"/>
  <c r="I773" i="1" s="1"/>
  <c r="M869" i="1"/>
  <c r="L869" i="1"/>
  <c r="I869" i="1" s="1"/>
  <c r="K869" i="1"/>
  <c r="L918" i="1"/>
  <c r="I918" i="1" s="1"/>
  <c r="K918" i="1"/>
  <c r="L624" i="1"/>
  <c r="I624" i="1" s="1"/>
  <c r="L638" i="1"/>
  <c r="I638" i="1" s="1"/>
  <c r="K638" i="1"/>
  <c r="L643" i="1"/>
  <c r="I643" i="1" s="1"/>
  <c r="L670" i="1"/>
  <c r="I670" i="1" s="1"/>
  <c r="K670" i="1"/>
  <c r="L675" i="1"/>
  <c r="I675" i="1" s="1"/>
  <c r="L702" i="1"/>
  <c r="I702" i="1" s="1"/>
  <c r="K702" i="1"/>
  <c r="L707" i="1"/>
  <c r="I707" i="1" s="1"/>
  <c r="L734" i="1"/>
  <c r="I734" i="1" s="1"/>
  <c r="K734" i="1"/>
  <c r="L739" i="1"/>
  <c r="I739" i="1" s="1"/>
  <c r="M764" i="1"/>
  <c r="K777" i="1"/>
  <c r="L790" i="1"/>
  <c r="I790" i="1" s="1"/>
  <c r="K790" i="1"/>
  <c r="M829" i="1"/>
  <c r="L829" i="1"/>
  <c r="I829" i="1" s="1"/>
  <c r="K829" i="1"/>
  <c r="L846" i="1"/>
  <c r="I846" i="1" s="1"/>
  <c r="K846" i="1"/>
  <c r="L873" i="1"/>
  <c r="I873" i="1" s="1"/>
  <c r="K873" i="1"/>
  <c r="L893" i="1"/>
  <c r="I893" i="1" s="1"/>
  <c r="L915" i="1"/>
  <c r="I915" i="1" s="1"/>
  <c r="K915" i="1"/>
  <c r="L922" i="1"/>
  <c r="I922" i="1" s="1"/>
  <c r="K922" i="1"/>
  <c r="L648" i="1"/>
  <c r="I648" i="1" s="1"/>
  <c r="K648" i="1"/>
  <c r="L680" i="1"/>
  <c r="I680" i="1" s="1"/>
  <c r="K680" i="1"/>
  <c r="L712" i="1"/>
  <c r="I712" i="1" s="1"/>
  <c r="K712" i="1"/>
  <c r="L744" i="1"/>
  <c r="I744" i="1" s="1"/>
  <c r="K744" i="1"/>
  <c r="L793" i="1"/>
  <c r="I793" i="1" s="1"/>
  <c r="M823" i="1"/>
  <c r="K823" i="1"/>
  <c r="M893" i="1"/>
  <c r="K893" i="1"/>
  <c r="M1156" i="1"/>
  <c r="L1156" i="1"/>
  <c r="I1156" i="1" s="1"/>
  <c r="K1156" i="1"/>
  <c r="K626" i="1"/>
  <c r="K655" i="1"/>
  <c r="L658" i="1"/>
  <c r="I658" i="1" s="1"/>
  <c r="K658" i="1"/>
  <c r="L663" i="1"/>
  <c r="I663" i="1" s="1"/>
  <c r="K687" i="1"/>
  <c r="L690" i="1"/>
  <c r="I690" i="1" s="1"/>
  <c r="K690" i="1"/>
  <c r="L695" i="1"/>
  <c r="I695" i="1" s="1"/>
  <c r="K719" i="1"/>
  <c r="L722" i="1"/>
  <c r="I722" i="1" s="1"/>
  <c r="K722" i="1"/>
  <c r="L727" i="1"/>
  <c r="I727" i="1" s="1"/>
  <c r="M746" i="1"/>
  <c r="K751" i="1"/>
  <c r="L754" i="1"/>
  <c r="I754" i="1" s="1"/>
  <c r="K754" i="1"/>
  <c r="K764" i="1"/>
  <c r="L767" i="1"/>
  <c r="I767" i="1" s="1"/>
  <c r="L774" i="1"/>
  <c r="I774" i="1" s="1"/>
  <c r="K774" i="1"/>
  <c r="M813" i="1"/>
  <c r="L813" i="1"/>
  <c r="I813" i="1" s="1"/>
  <c r="K813" i="1"/>
  <c r="L870" i="1"/>
  <c r="I870" i="1" s="1"/>
  <c r="K870" i="1"/>
  <c r="L959" i="1"/>
  <c r="I959" i="1" s="1"/>
  <c r="L970" i="1"/>
  <c r="I970" i="1" s="1"/>
  <c r="K970" i="1"/>
  <c r="L636" i="1"/>
  <c r="I636" i="1" s="1"/>
  <c r="K636" i="1"/>
  <c r="L668" i="1"/>
  <c r="I668" i="1" s="1"/>
  <c r="K668" i="1"/>
  <c r="L700" i="1"/>
  <c r="I700" i="1" s="1"/>
  <c r="K700" i="1"/>
  <c r="M724" i="1"/>
  <c r="K729" i="1"/>
  <c r="L732" i="1"/>
  <c r="I732" i="1" s="1"/>
  <c r="K732" i="1"/>
  <c r="M756" i="1"/>
  <c r="L777" i="1"/>
  <c r="I777" i="1" s="1"/>
  <c r="M807" i="1"/>
  <c r="K807" i="1"/>
  <c r="L830" i="1"/>
  <c r="I830" i="1" s="1"/>
  <c r="K830" i="1"/>
  <c r="M853" i="1"/>
  <c r="L853" i="1"/>
  <c r="I853" i="1" s="1"/>
  <c r="K853" i="1"/>
  <c r="L941" i="1"/>
  <c r="I941" i="1" s="1"/>
  <c r="K941" i="1"/>
  <c r="K624" i="1"/>
  <c r="K643" i="1"/>
  <c r="L646" i="1"/>
  <c r="I646" i="1" s="1"/>
  <c r="K646" i="1"/>
  <c r="L651" i="1"/>
  <c r="I651" i="1" s="1"/>
  <c r="K675" i="1"/>
  <c r="L678" i="1"/>
  <c r="I678" i="1" s="1"/>
  <c r="K678" i="1"/>
  <c r="L683" i="1"/>
  <c r="I683" i="1" s="1"/>
  <c r="K707" i="1"/>
  <c r="L710" i="1"/>
  <c r="I710" i="1" s="1"/>
  <c r="K710" i="1"/>
  <c r="L715" i="1"/>
  <c r="I715" i="1" s="1"/>
  <c r="M734" i="1"/>
  <c r="K739" i="1"/>
  <c r="L742" i="1"/>
  <c r="I742" i="1" s="1"/>
  <c r="K742" i="1"/>
  <c r="L747" i="1"/>
  <c r="I747" i="1" s="1"/>
  <c r="L762" i="1"/>
  <c r="I762" i="1" s="1"/>
  <c r="M797" i="1"/>
  <c r="L797" i="1"/>
  <c r="I797" i="1" s="1"/>
  <c r="K797" i="1"/>
  <c r="L823" i="1"/>
  <c r="I823" i="1" s="1"/>
  <c r="M830" i="1"/>
  <c r="L833" i="1"/>
  <c r="I833" i="1" s="1"/>
  <c r="L857" i="1"/>
  <c r="I857" i="1" s="1"/>
  <c r="K857" i="1"/>
  <c r="L877" i="1"/>
  <c r="I877" i="1" s="1"/>
  <c r="M941" i="1"/>
  <c r="L963" i="1"/>
  <c r="I963" i="1" s="1"/>
  <c r="K963" i="1"/>
  <c r="L1015" i="1"/>
  <c r="I1015" i="1" s="1"/>
  <c r="K1015" i="1"/>
  <c r="L627" i="1"/>
  <c r="I627" i="1" s="1"/>
  <c r="M648" i="1"/>
  <c r="K653" i="1"/>
  <c r="L656" i="1"/>
  <c r="I656" i="1" s="1"/>
  <c r="K656" i="1"/>
  <c r="L661" i="1"/>
  <c r="I661" i="1" s="1"/>
  <c r="M680" i="1"/>
  <c r="K685" i="1"/>
  <c r="L688" i="1"/>
  <c r="I688" i="1" s="1"/>
  <c r="K688" i="1"/>
  <c r="L693" i="1"/>
  <c r="I693" i="1" s="1"/>
  <c r="M712" i="1"/>
  <c r="K717" i="1"/>
  <c r="L720" i="1"/>
  <c r="I720" i="1" s="1"/>
  <c r="K720" i="1"/>
  <c r="L725" i="1"/>
  <c r="I725" i="1" s="1"/>
  <c r="M744" i="1"/>
  <c r="K749" i="1"/>
  <c r="L752" i="1"/>
  <c r="I752" i="1" s="1"/>
  <c r="K752" i="1"/>
  <c r="L757" i="1"/>
  <c r="I757" i="1" s="1"/>
  <c r="M791" i="1"/>
  <c r="K791" i="1"/>
  <c r="L814" i="1"/>
  <c r="I814" i="1" s="1"/>
  <c r="K814" i="1"/>
  <c r="M833" i="1"/>
  <c r="M877" i="1"/>
  <c r="K877" i="1"/>
  <c r="L927" i="1"/>
  <c r="I927" i="1" s="1"/>
  <c r="K927" i="1"/>
  <c r="L634" i="1"/>
  <c r="I634" i="1" s="1"/>
  <c r="K634" i="1"/>
  <c r="L639" i="1"/>
  <c r="I639" i="1" s="1"/>
  <c r="K663" i="1"/>
  <c r="L666" i="1"/>
  <c r="I666" i="1" s="1"/>
  <c r="K666" i="1"/>
  <c r="L671" i="1"/>
  <c r="I671" i="1" s="1"/>
  <c r="K695" i="1"/>
  <c r="L698" i="1"/>
  <c r="I698" i="1" s="1"/>
  <c r="K698" i="1"/>
  <c r="L703" i="1"/>
  <c r="I703" i="1" s="1"/>
  <c r="M722" i="1"/>
  <c r="K727" i="1"/>
  <c r="L730" i="1"/>
  <c r="I730" i="1" s="1"/>
  <c r="K730" i="1"/>
  <c r="L735" i="1"/>
  <c r="I735" i="1" s="1"/>
  <c r="M754" i="1"/>
  <c r="L759" i="1"/>
  <c r="I759" i="1" s="1"/>
  <c r="K775" i="1"/>
  <c r="M781" i="1"/>
  <c r="L781" i="1"/>
  <c r="I781" i="1" s="1"/>
  <c r="K781" i="1"/>
  <c r="L807" i="1"/>
  <c r="I807" i="1" s="1"/>
  <c r="M814" i="1"/>
  <c r="L817" i="1"/>
  <c r="I817" i="1" s="1"/>
  <c r="L854" i="1"/>
  <c r="I854" i="1" s="1"/>
  <c r="K854" i="1"/>
  <c r="L881" i="1"/>
  <c r="I881" i="1" s="1"/>
  <c r="K881" i="1"/>
  <c r="L909" i="1"/>
  <c r="I909" i="1" s="1"/>
  <c r="K909" i="1"/>
  <c r="L938" i="1"/>
  <c r="I938" i="1" s="1"/>
  <c r="K938" i="1"/>
  <c r="M967" i="1"/>
  <c r="K967" i="1"/>
  <c r="M1084" i="1"/>
  <c r="L1084" i="1"/>
  <c r="I1084" i="1" s="1"/>
  <c r="L625" i="1"/>
  <c r="I625" i="1" s="1"/>
  <c r="K629" i="1"/>
  <c r="K641" i="1"/>
  <c r="L644" i="1"/>
  <c r="I644" i="1" s="1"/>
  <c r="K644" i="1"/>
  <c r="L649" i="1"/>
  <c r="I649" i="1" s="1"/>
  <c r="K673" i="1"/>
  <c r="L676" i="1"/>
  <c r="I676" i="1" s="1"/>
  <c r="K676" i="1"/>
  <c r="L681" i="1"/>
  <c r="I681" i="1" s="1"/>
  <c r="K705" i="1"/>
  <c r="L708" i="1"/>
  <c r="I708" i="1" s="1"/>
  <c r="K708" i="1"/>
  <c r="L713" i="1"/>
  <c r="I713" i="1" s="1"/>
  <c r="M732" i="1"/>
  <c r="K737" i="1"/>
  <c r="L740" i="1"/>
  <c r="I740" i="1" s="1"/>
  <c r="K740" i="1"/>
  <c r="L745" i="1"/>
  <c r="I745" i="1" s="1"/>
  <c r="K762" i="1"/>
  <c r="L798" i="1"/>
  <c r="I798" i="1" s="1"/>
  <c r="K798" i="1"/>
  <c r="M837" i="1"/>
  <c r="L837" i="1"/>
  <c r="I837" i="1" s="1"/>
  <c r="K837" i="1"/>
  <c r="L931" i="1"/>
  <c r="I931" i="1" s="1"/>
  <c r="K931" i="1"/>
  <c r="K1067" i="1"/>
  <c r="L1067" i="1"/>
  <c r="I1067" i="1" s="1"/>
  <c r="L632" i="1"/>
  <c r="I632" i="1" s="1"/>
  <c r="K651" i="1"/>
  <c r="L654" i="1"/>
  <c r="I654" i="1" s="1"/>
  <c r="K654" i="1"/>
  <c r="L659" i="1"/>
  <c r="I659" i="1" s="1"/>
  <c r="K683" i="1"/>
  <c r="L686" i="1"/>
  <c r="I686" i="1" s="1"/>
  <c r="K686" i="1"/>
  <c r="L691" i="1"/>
  <c r="I691" i="1" s="1"/>
  <c r="K715" i="1"/>
  <c r="L718" i="1"/>
  <c r="I718" i="1" s="1"/>
  <c r="K718" i="1"/>
  <c r="L723" i="1"/>
  <c r="I723" i="1" s="1"/>
  <c r="M742" i="1"/>
  <c r="K747" i="1"/>
  <c r="L750" i="1"/>
  <c r="I750" i="1" s="1"/>
  <c r="K750" i="1"/>
  <c r="L755" i="1"/>
  <c r="I755" i="1" s="1"/>
  <c r="L791" i="1"/>
  <c r="I791" i="1" s="1"/>
  <c r="M798" i="1"/>
  <c r="L801" i="1"/>
  <c r="I801" i="1" s="1"/>
  <c r="M831" i="1"/>
  <c r="K831" i="1"/>
  <c r="L841" i="1"/>
  <c r="I841" i="1" s="1"/>
  <c r="K841" i="1"/>
  <c r="L878" i="1"/>
  <c r="I878" i="1" s="1"/>
  <c r="K878" i="1"/>
  <c r="L895" i="1"/>
  <c r="I895" i="1" s="1"/>
  <c r="K895" i="1"/>
  <c r="L935" i="1"/>
  <c r="I935" i="1" s="1"/>
  <c r="L964" i="1"/>
  <c r="I964" i="1" s="1"/>
  <c r="K964" i="1"/>
  <c r="M1067" i="1"/>
  <c r="L623" i="1"/>
  <c r="I623" i="1" s="1"/>
  <c r="K627" i="1"/>
  <c r="L637" i="1"/>
  <c r="I637" i="1" s="1"/>
  <c r="K661" i="1"/>
  <c r="L664" i="1"/>
  <c r="I664" i="1" s="1"/>
  <c r="K664" i="1"/>
  <c r="L669" i="1"/>
  <c r="I669" i="1" s="1"/>
  <c r="K693" i="1"/>
  <c r="L696" i="1"/>
  <c r="I696" i="1" s="1"/>
  <c r="K696" i="1"/>
  <c r="L701" i="1"/>
  <c r="I701" i="1" s="1"/>
  <c r="M720" i="1"/>
  <c r="K725" i="1"/>
  <c r="L728" i="1"/>
  <c r="I728" i="1" s="1"/>
  <c r="K728" i="1"/>
  <c r="L733" i="1"/>
  <c r="I733" i="1" s="1"/>
  <c r="M752" i="1"/>
  <c r="K757" i="1"/>
  <c r="M760" i="1"/>
  <c r="L782" i="1"/>
  <c r="I782" i="1" s="1"/>
  <c r="K782" i="1"/>
  <c r="M821" i="1"/>
  <c r="L821" i="1"/>
  <c r="I821" i="1" s="1"/>
  <c r="K821" i="1"/>
  <c r="M861" i="1"/>
  <c r="L861" i="1"/>
  <c r="I861" i="1" s="1"/>
  <c r="K861" i="1"/>
  <c r="M878" i="1"/>
  <c r="L906" i="1"/>
  <c r="I906" i="1" s="1"/>
  <c r="K906" i="1"/>
  <c r="M964" i="1"/>
  <c r="K1033" i="1"/>
  <c r="M1033" i="1"/>
  <c r="L1033" i="1"/>
  <c r="I1033" i="1" s="1"/>
  <c r="L894" i="1"/>
  <c r="I894" i="1" s="1"/>
  <c r="K894" i="1"/>
  <c r="L926" i="1"/>
  <c r="I926" i="1" s="1"/>
  <c r="K926" i="1"/>
  <c r="L958" i="1"/>
  <c r="I958" i="1" s="1"/>
  <c r="K958" i="1"/>
  <c r="L986" i="1"/>
  <c r="I986" i="1" s="1"/>
  <c r="L1000" i="1"/>
  <c r="I1000" i="1" s="1"/>
  <c r="K1000" i="1"/>
  <c r="K897" i="1"/>
  <c r="M906" i="1"/>
  <c r="L912" i="1"/>
  <c r="I912" i="1" s="1"/>
  <c r="K912" i="1"/>
  <c r="M915" i="1"/>
  <c r="K929" i="1"/>
  <c r="M938" i="1"/>
  <c r="L944" i="1"/>
  <c r="I944" i="1" s="1"/>
  <c r="K944" i="1"/>
  <c r="M947" i="1"/>
  <c r="K961" i="1"/>
  <c r="M970" i="1"/>
  <c r="L976" i="1"/>
  <c r="I976" i="1" s="1"/>
  <c r="M976" i="1"/>
  <c r="K976" i="1"/>
  <c r="L992" i="1"/>
  <c r="I992" i="1" s="1"/>
  <c r="L1006" i="1"/>
  <c r="I1006" i="1" s="1"/>
  <c r="K1006" i="1"/>
  <c r="L1024" i="1"/>
  <c r="I1024" i="1" s="1"/>
  <c r="K1064" i="1"/>
  <c r="M1064" i="1"/>
  <c r="K1039" i="1"/>
  <c r="L1039" i="1"/>
  <c r="I1039" i="1" s="1"/>
  <c r="L1108" i="1"/>
  <c r="I1108" i="1" s="1"/>
  <c r="K1108" i="1"/>
  <c r="L1187" i="1"/>
  <c r="I1187" i="1" s="1"/>
  <c r="K1187" i="1"/>
  <c r="L1191" i="1"/>
  <c r="I1191" i="1" s="1"/>
  <c r="K1191" i="1"/>
  <c r="L772" i="1"/>
  <c r="I772" i="1" s="1"/>
  <c r="K772" i="1"/>
  <c r="L780" i="1"/>
  <c r="I780" i="1" s="1"/>
  <c r="K780" i="1"/>
  <c r="L788" i="1"/>
  <c r="I788" i="1" s="1"/>
  <c r="K788" i="1"/>
  <c r="L796" i="1"/>
  <c r="I796" i="1" s="1"/>
  <c r="K796" i="1"/>
  <c r="L804" i="1"/>
  <c r="I804" i="1" s="1"/>
  <c r="K804" i="1"/>
  <c r="L812" i="1"/>
  <c r="I812" i="1" s="1"/>
  <c r="K812" i="1"/>
  <c r="L820" i="1"/>
  <c r="I820" i="1" s="1"/>
  <c r="K820" i="1"/>
  <c r="L828" i="1"/>
  <c r="I828" i="1" s="1"/>
  <c r="K828" i="1"/>
  <c r="L836" i="1"/>
  <c r="I836" i="1" s="1"/>
  <c r="K836" i="1"/>
  <c r="L844" i="1"/>
  <c r="I844" i="1" s="1"/>
  <c r="K844" i="1"/>
  <c r="L852" i="1"/>
  <c r="I852" i="1" s="1"/>
  <c r="K852" i="1"/>
  <c r="L860" i="1"/>
  <c r="I860" i="1" s="1"/>
  <c r="K860" i="1"/>
  <c r="L868" i="1"/>
  <c r="I868" i="1" s="1"/>
  <c r="K868" i="1"/>
  <c r="L876" i="1"/>
  <c r="I876" i="1" s="1"/>
  <c r="K876" i="1"/>
  <c r="L884" i="1"/>
  <c r="I884" i="1" s="1"/>
  <c r="K884" i="1"/>
  <c r="L892" i="1"/>
  <c r="I892" i="1" s="1"/>
  <c r="K892" i="1"/>
  <c r="M895" i="1"/>
  <c r="M918" i="1"/>
  <c r="L924" i="1"/>
  <c r="I924" i="1" s="1"/>
  <c r="K924" i="1"/>
  <c r="M927" i="1"/>
  <c r="M950" i="1"/>
  <c r="L956" i="1"/>
  <c r="I956" i="1" s="1"/>
  <c r="K956" i="1"/>
  <c r="M959" i="1"/>
  <c r="M984" i="1"/>
  <c r="M995" i="1"/>
  <c r="M1027" i="1"/>
  <c r="M1039" i="1"/>
  <c r="L1048" i="1"/>
  <c r="I1048" i="1" s="1"/>
  <c r="K1052" i="1"/>
  <c r="L1064" i="1"/>
  <c r="I1064" i="1" s="1"/>
  <c r="L1136" i="1"/>
  <c r="I1136" i="1" s="1"/>
  <c r="K1136" i="1"/>
  <c r="M1136" i="1"/>
  <c r="K1248" i="1"/>
  <c r="M1248" i="1"/>
  <c r="L1248" i="1"/>
  <c r="I1248" i="1" s="1"/>
  <c r="L898" i="1"/>
  <c r="I898" i="1" s="1"/>
  <c r="K898" i="1"/>
  <c r="L930" i="1"/>
  <c r="I930" i="1" s="1"/>
  <c r="K930" i="1"/>
  <c r="L962" i="1"/>
  <c r="I962" i="1" s="1"/>
  <c r="K962" i="1"/>
  <c r="K1517" i="1"/>
  <c r="L1517" i="1"/>
  <c r="I1517" i="1" s="1"/>
  <c r="L904" i="1"/>
  <c r="I904" i="1" s="1"/>
  <c r="K904" i="1"/>
  <c r="L936" i="1"/>
  <c r="I936" i="1" s="1"/>
  <c r="K936" i="1"/>
  <c r="K953" i="1"/>
  <c r="L968" i="1"/>
  <c r="I968" i="1" s="1"/>
  <c r="K968" i="1"/>
  <c r="K979" i="1"/>
  <c r="K984" i="1"/>
  <c r="K992" i="1"/>
  <c r="K995" i="1"/>
  <c r="L1013" i="1"/>
  <c r="I1013" i="1" s="1"/>
  <c r="K1013" i="1"/>
  <c r="L1016" i="1"/>
  <c r="I1016" i="1" s="1"/>
  <c r="K1016" i="1"/>
  <c r="K1024" i="1"/>
  <c r="K1027" i="1"/>
  <c r="K1036" i="1"/>
  <c r="M1116" i="1"/>
  <c r="L1116" i="1"/>
  <c r="I1116" i="1" s="1"/>
  <c r="K1116" i="1"/>
  <c r="M1161" i="1"/>
  <c r="K1161" i="1"/>
  <c r="M904" i="1"/>
  <c r="L910" i="1"/>
  <c r="I910" i="1" s="1"/>
  <c r="K910" i="1"/>
  <c r="M913" i="1"/>
  <c r="M936" i="1"/>
  <c r="L942" i="1"/>
  <c r="I942" i="1" s="1"/>
  <c r="K942" i="1"/>
  <c r="M945" i="1"/>
  <c r="K959" i="1"/>
  <c r="M968" i="1"/>
  <c r="L974" i="1"/>
  <c r="I974" i="1" s="1"/>
  <c r="K974" i="1"/>
  <c r="L979" i="1"/>
  <c r="I979" i="1" s="1"/>
  <c r="L982" i="1"/>
  <c r="I982" i="1" s="1"/>
  <c r="K982" i="1"/>
  <c r="L1007" i="1"/>
  <c r="I1007" i="1" s="1"/>
  <c r="K1007" i="1"/>
  <c r="L1031" i="1"/>
  <c r="I1031" i="1" s="1"/>
  <c r="K1040" i="1"/>
  <c r="M1043" i="1"/>
  <c r="L1043" i="1"/>
  <c r="I1043" i="1" s="1"/>
  <c r="L1049" i="1"/>
  <c r="I1049" i="1" s="1"/>
  <c r="K1095" i="1"/>
  <c r="L1095" i="1"/>
  <c r="I1095" i="1" s="1"/>
  <c r="K1324" i="1"/>
  <c r="M1324" i="1"/>
  <c r="L1324" i="1"/>
  <c r="I1324" i="1" s="1"/>
  <c r="M758" i="1"/>
  <c r="L770" i="1"/>
  <c r="I770" i="1" s="1"/>
  <c r="K770" i="1"/>
  <c r="L778" i="1"/>
  <c r="I778" i="1" s="1"/>
  <c r="K778" i="1"/>
  <c r="L786" i="1"/>
  <c r="I786" i="1" s="1"/>
  <c r="K786" i="1"/>
  <c r="L794" i="1"/>
  <c r="I794" i="1" s="1"/>
  <c r="K794" i="1"/>
  <c r="L802" i="1"/>
  <c r="I802" i="1" s="1"/>
  <c r="K802" i="1"/>
  <c r="L810" i="1"/>
  <c r="I810" i="1" s="1"/>
  <c r="K810" i="1"/>
  <c r="L818" i="1"/>
  <c r="I818" i="1" s="1"/>
  <c r="K818" i="1"/>
  <c r="L826" i="1"/>
  <c r="I826" i="1" s="1"/>
  <c r="K826" i="1"/>
  <c r="L834" i="1"/>
  <c r="I834" i="1" s="1"/>
  <c r="K834" i="1"/>
  <c r="K839" i="1"/>
  <c r="L842" i="1"/>
  <c r="I842" i="1" s="1"/>
  <c r="K842" i="1"/>
  <c r="K847" i="1"/>
  <c r="L850" i="1"/>
  <c r="I850" i="1" s="1"/>
  <c r="K850" i="1"/>
  <c r="K855" i="1"/>
  <c r="L858" i="1"/>
  <c r="I858" i="1" s="1"/>
  <c r="K858" i="1"/>
  <c r="K863" i="1"/>
  <c r="L866" i="1"/>
  <c r="I866" i="1" s="1"/>
  <c r="K866" i="1"/>
  <c r="K871" i="1"/>
  <c r="L874" i="1"/>
  <c r="I874" i="1" s="1"/>
  <c r="K874" i="1"/>
  <c r="K879" i="1"/>
  <c r="L882" i="1"/>
  <c r="I882" i="1" s="1"/>
  <c r="K882" i="1"/>
  <c r="K887" i="1"/>
  <c r="L890" i="1"/>
  <c r="I890" i="1" s="1"/>
  <c r="K890" i="1"/>
  <c r="K901" i="1"/>
  <c r="L916" i="1"/>
  <c r="I916" i="1" s="1"/>
  <c r="K916" i="1"/>
  <c r="K933" i="1"/>
  <c r="L948" i="1"/>
  <c r="I948" i="1" s="1"/>
  <c r="K948" i="1"/>
  <c r="K965" i="1"/>
  <c r="L990" i="1"/>
  <c r="I990" i="1" s="1"/>
  <c r="L993" i="1"/>
  <c r="I993" i="1" s="1"/>
  <c r="L1052" i="1"/>
  <c r="I1052" i="1" s="1"/>
  <c r="M1062" i="1"/>
  <c r="L1062" i="1"/>
  <c r="I1062" i="1" s="1"/>
  <c r="L1082" i="1"/>
  <c r="I1082" i="1" s="1"/>
  <c r="L1106" i="1"/>
  <c r="I1106" i="1" s="1"/>
  <c r="K1106" i="1"/>
  <c r="M1106" i="1"/>
  <c r="L1144" i="1"/>
  <c r="I1144" i="1" s="1"/>
  <c r="K1144" i="1"/>
  <c r="K971" i="1"/>
  <c r="L1022" i="1"/>
  <c r="I1022" i="1" s="1"/>
  <c r="K1022" i="1"/>
  <c r="L1056" i="1"/>
  <c r="I1056" i="1" s="1"/>
  <c r="K1056" i="1"/>
  <c r="M1158" i="1"/>
  <c r="L1158" i="1"/>
  <c r="I1158" i="1" s="1"/>
  <c r="L1165" i="1"/>
  <c r="I1165" i="1" s="1"/>
  <c r="K1165" i="1"/>
  <c r="L896" i="1"/>
  <c r="I896" i="1" s="1"/>
  <c r="K896" i="1"/>
  <c r="M899" i="1"/>
  <c r="K913" i="1"/>
  <c r="M922" i="1"/>
  <c r="L928" i="1"/>
  <c r="I928" i="1" s="1"/>
  <c r="K928" i="1"/>
  <c r="M931" i="1"/>
  <c r="K945" i="1"/>
  <c r="M954" i="1"/>
  <c r="L960" i="1"/>
  <c r="I960" i="1" s="1"/>
  <c r="K960" i="1"/>
  <c r="M963" i="1"/>
  <c r="K977" i="1"/>
  <c r="M1013" i="1"/>
  <c r="M1022" i="1"/>
  <c r="M1056" i="1"/>
  <c r="M1086" i="1"/>
  <c r="K1089" i="1"/>
  <c r="L1089" i="1"/>
  <c r="I1089" i="1" s="1"/>
  <c r="M1089" i="1"/>
  <c r="K1099" i="1"/>
  <c r="L1099" i="1"/>
  <c r="I1099" i="1" s="1"/>
  <c r="M1378" i="1"/>
  <c r="L1378" i="1"/>
  <c r="I1378" i="1" s="1"/>
  <c r="K1378" i="1"/>
  <c r="M896" i="1"/>
  <c r="L902" i="1"/>
  <c r="I902" i="1" s="1"/>
  <c r="K902" i="1"/>
  <c r="M905" i="1"/>
  <c r="M928" i="1"/>
  <c r="L934" i="1"/>
  <c r="I934" i="1" s="1"/>
  <c r="K934" i="1"/>
  <c r="M937" i="1"/>
  <c r="M960" i="1"/>
  <c r="L966" i="1"/>
  <c r="I966" i="1" s="1"/>
  <c r="K966" i="1"/>
  <c r="M969" i="1"/>
  <c r="L977" i="1"/>
  <c r="I977" i="1" s="1"/>
  <c r="L1008" i="1"/>
  <c r="I1008" i="1" s="1"/>
  <c r="L1040" i="1"/>
  <c r="I1040" i="1" s="1"/>
  <c r="L1050" i="1"/>
  <c r="I1050" i="1" s="1"/>
  <c r="K1050" i="1"/>
  <c r="K1062" i="1"/>
  <c r="L1352" i="1"/>
  <c r="I1352" i="1" s="1"/>
  <c r="K1352" i="1"/>
  <c r="M1352" i="1"/>
  <c r="L768" i="1"/>
  <c r="I768" i="1" s="1"/>
  <c r="K768" i="1"/>
  <c r="L776" i="1"/>
  <c r="I776" i="1" s="1"/>
  <c r="K776" i="1"/>
  <c r="L784" i="1"/>
  <c r="I784" i="1" s="1"/>
  <c r="K784" i="1"/>
  <c r="L792" i="1"/>
  <c r="I792" i="1" s="1"/>
  <c r="K792" i="1"/>
  <c r="L800" i="1"/>
  <c r="I800" i="1" s="1"/>
  <c r="K800" i="1"/>
  <c r="L808" i="1"/>
  <c r="I808" i="1" s="1"/>
  <c r="K808" i="1"/>
  <c r="L816" i="1"/>
  <c r="I816" i="1" s="1"/>
  <c r="K816" i="1"/>
  <c r="L824" i="1"/>
  <c r="I824" i="1" s="1"/>
  <c r="K824" i="1"/>
  <c r="L832" i="1"/>
  <c r="I832" i="1" s="1"/>
  <c r="K832" i="1"/>
  <c r="L840" i="1"/>
  <c r="I840" i="1" s="1"/>
  <c r="K840" i="1"/>
  <c r="L848" i="1"/>
  <c r="I848" i="1" s="1"/>
  <c r="K848" i="1"/>
  <c r="L856" i="1"/>
  <c r="I856" i="1" s="1"/>
  <c r="K856" i="1"/>
  <c r="L864" i="1"/>
  <c r="I864" i="1" s="1"/>
  <c r="K864" i="1"/>
  <c r="L872" i="1"/>
  <c r="I872" i="1" s="1"/>
  <c r="K872" i="1"/>
  <c r="L880" i="1"/>
  <c r="I880" i="1" s="1"/>
  <c r="K880" i="1"/>
  <c r="L888" i="1"/>
  <c r="I888" i="1" s="1"/>
  <c r="K888" i="1"/>
  <c r="L908" i="1"/>
  <c r="I908" i="1" s="1"/>
  <c r="K908" i="1"/>
  <c r="L919" i="1"/>
  <c r="I919" i="1" s="1"/>
  <c r="K925" i="1"/>
  <c r="L940" i="1"/>
  <c r="I940" i="1" s="1"/>
  <c r="K940" i="1"/>
  <c r="L951" i="1"/>
  <c r="I951" i="1" s="1"/>
  <c r="L972" i="1"/>
  <c r="I972" i="1" s="1"/>
  <c r="K972" i="1"/>
  <c r="L988" i="1"/>
  <c r="I988" i="1" s="1"/>
  <c r="K988" i="1"/>
  <c r="K990" i="1"/>
  <c r="K999" i="1"/>
  <c r="L1032" i="1"/>
  <c r="I1032" i="1" s="1"/>
  <c r="K1032" i="1"/>
  <c r="L1086" i="1"/>
  <c r="I1086" i="1" s="1"/>
  <c r="L1141" i="1"/>
  <c r="I1141" i="1" s="1"/>
  <c r="M1141" i="1"/>
  <c r="K1141" i="1"/>
  <c r="M1165" i="1"/>
  <c r="L1237" i="1"/>
  <c r="I1237" i="1" s="1"/>
  <c r="M1237" i="1"/>
  <c r="K1237" i="1"/>
  <c r="M872" i="1"/>
  <c r="M880" i="1"/>
  <c r="M888" i="1"/>
  <c r="M908" i="1"/>
  <c r="L914" i="1"/>
  <c r="I914" i="1" s="1"/>
  <c r="K914" i="1"/>
  <c r="M917" i="1"/>
  <c r="M940" i="1"/>
  <c r="L946" i="1"/>
  <c r="I946" i="1" s="1"/>
  <c r="K946" i="1"/>
  <c r="M949" i="1"/>
  <c r="M972" i="1"/>
  <c r="M1011" i="1"/>
  <c r="L1029" i="1"/>
  <c r="I1029" i="1" s="1"/>
  <c r="K1029" i="1"/>
  <c r="K1057" i="1"/>
  <c r="L1057" i="1"/>
  <c r="I1057" i="1" s="1"/>
  <c r="K1063" i="1"/>
  <c r="L1063" i="1"/>
  <c r="I1063" i="1" s="1"/>
  <c r="M1063" i="1"/>
  <c r="M1305" i="1"/>
  <c r="L1305" i="1"/>
  <c r="I1305" i="1" s="1"/>
  <c r="M914" i="1"/>
  <c r="L920" i="1"/>
  <c r="I920" i="1" s="1"/>
  <c r="K920" i="1"/>
  <c r="M923" i="1"/>
  <c r="M946" i="1"/>
  <c r="L952" i="1"/>
  <c r="I952" i="1" s="1"/>
  <c r="K952" i="1"/>
  <c r="M955" i="1"/>
  <c r="L978" i="1"/>
  <c r="I978" i="1" s="1"/>
  <c r="K978" i="1"/>
  <c r="L991" i="1"/>
  <c r="I991" i="1" s="1"/>
  <c r="K991" i="1"/>
  <c r="L1023" i="1"/>
  <c r="I1023" i="1" s="1"/>
  <c r="K1023" i="1"/>
  <c r="M1099" i="1"/>
  <c r="L1127" i="1"/>
  <c r="I1127" i="1" s="1"/>
  <c r="K1127" i="1"/>
  <c r="L1138" i="1"/>
  <c r="I1138" i="1" s="1"/>
  <c r="K1138" i="1"/>
  <c r="M1144" i="1"/>
  <c r="L1155" i="1"/>
  <c r="I1155" i="1" s="1"/>
  <c r="K1155" i="1"/>
  <c r="L1173" i="1"/>
  <c r="I1173" i="1" s="1"/>
  <c r="M1173" i="1"/>
  <c r="M1187" i="1"/>
  <c r="M1191" i="1"/>
  <c r="M1222" i="1"/>
  <c r="L1222" i="1"/>
  <c r="I1222" i="1" s="1"/>
  <c r="L1234" i="1"/>
  <c r="I1234" i="1" s="1"/>
  <c r="K1234" i="1"/>
  <c r="K1307" i="1"/>
  <c r="M1307" i="1"/>
  <c r="L1307" i="1"/>
  <c r="I1307" i="1" s="1"/>
  <c r="M1330" i="1"/>
  <c r="L1330" i="1"/>
  <c r="I1330" i="1" s="1"/>
  <c r="K1330" i="1"/>
  <c r="L1078" i="1"/>
  <c r="I1078" i="1" s="1"/>
  <c r="K1078" i="1"/>
  <c r="K1091" i="1"/>
  <c r="L1091" i="1"/>
  <c r="I1091" i="1" s="1"/>
  <c r="L1130" i="1"/>
  <c r="I1130" i="1" s="1"/>
  <c r="M1138" i="1"/>
  <c r="M1155" i="1"/>
  <c r="L1170" i="1"/>
  <c r="I1170" i="1" s="1"/>
  <c r="K1170" i="1"/>
  <c r="M1234" i="1"/>
  <c r="M1279" i="1"/>
  <c r="L1279" i="1"/>
  <c r="I1279" i="1" s="1"/>
  <c r="K1279" i="1"/>
  <c r="K1422" i="1"/>
  <c r="L1422" i="1"/>
  <c r="I1422" i="1" s="1"/>
  <c r="L1038" i="1"/>
  <c r="I1038" i="1" s="1"/>
  <c r="M1078" i="1"/>
  <c r="M1091" i="1"/>
  <c r="K1167" i="1"/>
  <c r="M1170" i="1"/>
  <c r="M1263" i="1"/>
  <c r="L1263" i="1"/>
  <c r="I1263" i="1" s="1"/>
  <c r="K1263" i="1"/>
  <c r="M1422" i="1"/>
  <c r="K1488" i="1"/>
  <c r="L1488" i="1"/>
  <c r="I1488" i="1" s="1"/>
  <c r="M1488" i="1"/>
  <c r="M1491" i="1"/>
  <c r="L1491" i="1"/>
  <c r="I1491" i="1" s="1"/>
  <c r="K1491" i="1"/>
  <c r="K1055" i="1"/>
  <c r="K1097" i="1"/>
  <c r="L1114" i="1"/>
  <c r="I1114" i="1" s="1"/>
  <c r="L1159" i="1"/>
  <c r="I1159" i="1" s="1"/>
  <c r="K1159" i="1"/>
  <c r="K1173" i="1"/>
  <c r="K1176" i="1"/>
  <c r="M1188" i="1"/>
  <c r="L1188" i="1"/>
  <c r="I1188" i="1" s="1"/>
  <c r="K1188" i="1"/>
  <c r="L1219" i="1"/>
  <c r="I1219" i="1" s="1"/>
  <c r="K1219" i="1"/>
  <c r="L1223" i="1"/>
  <c r="I1223" i="1" s="1"/>
  <c r="K1223" i="1"/>
  <c r="L1238" i="1"/>
  <c r="I1238" i="1" s="1"/>
  <c r="K1238" i="1"/>
  <c r="M1247" i="1"/>
  <c r="L1247" i="1"/>
  <c r="I1247" i="1" s="1"/>
  <c r="K1247" i="1"/>
  <c r="M1020" i="1"/>
  <c r="M1036" i="1"/>
  <c r="M1065" i="1"/>
  <c r="L1094" i="1"/>
  <c r="I1094" i="1" s="1"/>
  <c r="L1100" i="1"/>
  <c r="I1100" i="1" s="1"/>
  <c r="L1105" i="1"/>
  <c r="I1105" i="1" s="1"/>
  <c r="M1108" i="1"/>
  <c r="L1125" i="1"/>
  <c r="I1125" i="1" s="1"/>
  <c r="K1125" i="1"/>
  <c r="K1133" i="1"/>
  <c r="L1142" i="1"/>
  <c r="I1142" i="1" s="1"/>
  <c r="K1142" i="1"/>
  <c r="K1150" i="1"/>
  <c r="L1168" i="1"/>
  <c r="I1168" i="1" s="1"/>
  <c r="K1168" i="1"/>
  <c r="L1174" i="1"/>
  <c r="I1174" i="1" s="1"/>
  <c r="K1174" i="1"/>
  <c r="L1182" i="1"/>
  <c r="I1182" i="1" s="1"/>
  <c r="L1185" i="1"/>
  <c r="I1185" i="1" s="1"/>
  <c r="L1204" i="1"/>
  <c r="I1204" i="1" s="1"/>
  <c r="K1204" i="1"/>
  <c r="L1399" i="1"/>
  <c r="I1399" i="1" s="1"/>
  <c r="L980" i="1"/>
  <c r="I980" i="1" s="1"/>
  <c r="L1002" i="1"/>
  <c r="I1002" i="1" s="1"/>
  <c r="L1018" i="1"/>
  <c r="I1018" i="1" s="1"/>
  <c r="L1034" i="1"/>
  <c r="I1034" i="1" s="1"/>
  <c r="K1038" i="1"/>
  <c r="L1055" i="1"/>
  <c r="I1055" i="1" s="1"/>
  <c r="L1076" i="1"/>
  <c r="I1076" i="1" s="1"/>
  <c r="K1076" i="1"/>
  <c r="L1111" i="1"/>
  <c r="I1111" i="1" s="1"/>
  <c r="M1125" i="1"/>
  <c r="M1142" i="1"/>
  <c r="L1150" i="1"/>
  <c r="I1150" i="1" s="1"/>
  <c r="L1153" i="1"/>
  <c r="I1153" i="1" s="1"/>
  <c r="K1153" i="1"/>
  <c r="M1174" i="1"/>
  <c r="M1204" i="1"/>
  <c r="L1208" i="1"/>
  <c r="I1208" i="1" s="1"/>
  <c r="K1280" i="1"/>
  <c r="M1280" i="1"/>
  <c r="L1280" i="1"/>
  <c r="I1280" i="1" s="1"/>
  <c r="K1396" i="1"/>
  <c r="M1396" i="1"/>
  <c r="L1396" i="1"/>
  <c r="I1396" i="1" s="1"/>
  <c r="K1053" i="1"/>
  <c r="L1053" i="1"/>
  <c r="I1053" i="1" s="1"/>
  <c r="K1071" i="1"/>
  <c r="L1097" i="1"/>
  <c r="I1097" i="1" s="1"/>
  <c r="M1111" i="1"/>
  <c r="K1114" i="1"/>
  <c r="L1189" i="1"/>
  <c r="I1189" i="1" s="1"/>
  <c r="K1189" i="1"/>
  <c r="M1208" i="1"/>
  <c r="K1208" i="1"/>
  <c r="M1220" i="1"/>
  <c r="L1220" i="1"/>
  <c r="I1220" i="1" s="1"/>
  <c r="K1220" i="1"/>
  <c r="K1264" i="1"/>
  <c r="M1264" i="1"/>
  <c r="L1264" i="1"/>
  <c r="I1264" i="1" s="1"/>
  <c r="L1384" i="1"/>
  <c r="I1384" i="1" s="1"/>
  <c r="M1384" i="1"/>
  <c r="K1384" i="1"/>
  <c r="M1000" i="1"/>
  <c r="M1016" i="1"/>
  <c r="M1032" i="1"/>
  <c r="L1041" i="1"/>
  <c r="I1041" i="1" s="1"/>
  <c r="L1044" i="1"/>
  <c r="I1044" i="1" s="1"/>
  <c r="L1079" i="1"/>
  <c r="I1079" i="1" s="1"/>
  <c r="M1095" i="1"/>
  <c r="L1098" i="1"/>
  <c r="I1098" i="1" s="1"/>
  <c r="K1101" i="1"/>
  <c r="L1103" i="1"/>
  <c r="I1103" i="1" s="1"/>
  <c r="L1112" i="1"/>
  <c r="I1112" i="1" s="1"/>
  <c r="K1112" i="1"/>
  <c r="K1131" i="1"/>
  <c r="L1157" i="1"/>
  <c r="I1157" i="1" s="1"/>
  <c r="K1157" i="1"/>
  <c r="L1180" i="1"/>
  <c r="I1180" i="1" s="1"/>
  <c r="L1205" i="1"/>
  <c r="I1205" i="1" s="1"/>
  <c r="M1205" i="1"/>
  <c r="K1205" i="1"/>
  <c r="M1281" i="1"/>
  <c r="L1281" i="1"/>
  <c r="I1281" i="1" s="1"/>
  <c r="K1281" i="1"/>
  <c r="K980" i="1"/>
  <c r="K993" i="1"/>
  <c r="L998" i="1"/>
  <c r="I998" i="1" s="1"/>
  <c r="K1002" i="1"/>
  <c r="K1009" i="1"/>
  <c r="L1014" i="1"/>
  <c r="I1014" i="1" s="1"/>
  <c r="K1018" i="1"/>
  <c r="K1025" i="1"/>
  <c r="L1030" i="1"/>
  <c r="I1030" i="1" s="1"/>
  <c r="K1034" i="1"/>
  <c r="K1046" i="1"/>
  <c r="K1058" i="1"/>
  <c r="L1074" i="1"/>
  <c r="I1074" i="1" s="1"/>
  <c r="K1074" i="1"/>
  <c r="M1079" i="1"/>
  <c r="K1120" i="1"/>
  <c r="K1126" i="1"/>
  <c r="L1140" i="1"/>
  <c r="I1140" i="1" s="1"/>
  <c r="K1140" i="1"/>
  <c r="M1265" i="1"/>
  <c r="L1265" i="1"/>
  <c r="I1265" i="1" s="1"/>
  <c r="K1265" i="1"/>
  <c r="M1427" i="1"/>
  <c r="K1427" i="1"/>
  <c r="L1427" i="1"/>
  <c r="I1427" i="1" s="1"/>
  <c r="K1480" i="1"/>
  <c r="L1480" i="1"/>
  <c r="I1480" i="1" s="1"/>
  <c r="L1058" i="1"/>
  <c r="I1058" i="1" s="1"/>
  <c r="K1061" i="1"/>
  <c r="K1069" i="1"/>
  <c r="L1071" i="1"/>
  <c r="I1071" i="1" s="1"/>
  <c r="K1082" i="1"/>
  <c r="L1120" i="1"/>
  <c r="I1120" i="1" s="1"/>
  <c r="L1123" i="1"/>
  <c r="I1123" i="1" s="1"/>
  <c r="M1123" i="1"/>
  <c r="K1123" i="1"/>
  <c r="L1129" i="1"/>
  <c r="I1129" i="1" s="1"/>
  <c r="M1146" i="1"/>
  <c r="L1172" i="1"/>
  <c r="I1172" i="1" s="1"/>
  <c r="K1172" i="1"/>
  <c r="K1190" i="1"/>
  <c r="M1193" i="1"/>
  <c r="K1193" i="1"/>
  <c r="L1202" i="1"/>
  <c r="I1202" i="1" s="1"/>
  <c r="K1202" i="1"/>
  <c r="L1221" i="1"/>
  <c r="I1221" i="1" s="1"/>
  <c r="K1221" i="1"/>
  <c r="L1236" i="1"/>
  <c r="I1236" i="1" s="1"/>
  <c r="K1236" i="1"/>
  <c r="M1249" i="1"/>
  <c r="L1249" i="1"/>
  <c r="I1249" i="1" s="1"/>
  <c r="K1249" i="1"/>
  <c r="L996" i="1"/>
  <c r="I996" i="1" s="1"/>
  <c r="L1012" i="1"/>
  <c r="I1012" i="1" s="1"/>
  <c r="L1028" i="1"/>
  <c r="I1028" i="1" s="1"/>
  <c r="L1042" i="1"/>
  <c r="I1042" i="1" s="1"/>
  <c r="K1042" i="1"/>
  <c r="K1093" i="1"/>
  <c r="L1093" i="1"/>
  <c r="I1093" i="1" s="1"/>
  <c r="M1190" i="1"/>
  <c r="L1190" i="1"/>
  <c r="I1190" i="1" s="1"/>
  <c r="M1288" i="1"/>
  <c r="L1288" i="1"/>
  <c r="I1288" i="1" s="1"/>
  <c r="K1288" i="1"/>
  <c r="M996" i="1"/>
  <c r="M1012" i="1"/>
  <c r="M1028" i="1"/>
  <c r="K1044" i="1"/>
  <c r="M1080" i="1"/>
  <c r="M1093" i="1"/>
  <c r="K1096" i="1"/>
  <c r="L1101" i="1"/>
  <c r="I1101" i="1" s="1"/>
  <c r="K1118" i="1"/>
  <c r="L1126" i="1"/>
  <c r="I1126" i="1" s="1"/>
  <c r="L1206" i="1"/>
  <c r="I1206" i="1" s="1"/>
  <c r="K1206" i="1"/>
  <c r="M1272" i="1"/>
  <c r="L1272" i="1"/>
  <c r="I1272" i="1" s="1"/>
  <c r="K1272" i="1"/>
  <c r="L994" i="1"/>
  <c r="I994" i="1" s="1"/>
  <c r="K998" i="1"/>
  <c r="L1010" i="1"/>
  <c r="I1010" i="1" s="1"/>
  <c r="K1014" i="1"/>
  <c r="L1026" i="1"/>
  <c r="I1026" i="1" s="1"/>
  <c r="K1030" i="1"/>
  <c r="K1059" i="1"/>
  <c r="L1059" i="1"/>
  <c r="I1059" i="1" s="1"/>
  <c r="L1110" i="1"/>
  <c r="I1110" i="1" s="1"/>
  <c r="K1110" i="1"/>
  <c r="K1158" i="1"/>
  <c r="M1206" i="1"/>
  <c r="M1240" i="1"/>
  <c r="K1240" i="1"/>
  <c r="M1256" i="1"/>
  <c r="L1256" i="1"/>
  <c r="I1256" i="1" s="1"/>
  <c r="K1256" i="1"/>
  <c r="K1448" i="1"/>
  <c r="L1448" i="1"/>
  <c r="I1448" i="1" s="1"/>
  <c r="L1371" i="1"/>
  <c r="I1371" i="1" s="1"/>
  <c r="K1371" i="1"/>
  <c r="M1371" i="1"/>
  <c r="M1251" i="1"/>
  <c r="L1251" i="1"/>
  <c r="I1251" i="1" s="1"/>
  <c r="M1267" i="1"/>
  <c r="L1267" i="1"/>
  <c r="I1267" i="1" s="1"/>
  <c r="M1283" i="1"/>
  <c r="L1283" i="1"/>
  <c r="I1283" i="1" s="1"/>
  <c r="M1362" i="1"/>
  <c r="L1362" i="1"/>
  <c r="I1362" i="1" s="1"/>
  <c r="K1362" i="1"/>
  <c r="L1641" i="1"/>
  <c r="I1641" i="1" s="1"/>
  <c r="K1641" i="1"/>
  <c r="L1161" i="1"/>
  <c r="I1161" i="1" s="1"/>
  <c r="L1193" i="1"/>
  <c r="I1193" i="1" s="1"/>
  <c r="M1316" i="1"/>
  <c r="L1316" i="1"/>
  <c r="I1316" i="1" s="1"/>
  <c r="K1316" i="1"/>
  <c r="K1399" i="1"/>
  <c r="M1514" i="1"/>
  <c r="L1514" i="1"/>
  <c r="I1514" i="1" s="1"/>
  <c r="L1217" i="1"/>
  <c r="I1217" i="1" s="1"/>
  <c r="K1303" i="1"/>
  <c r="L1303" i="1"/>
  <c r="I1303" i="1" s="1"/>
  <c r="L1474" i="1"/>
  <c r="I1474" i="1" s="1"/>
  <c r="M1474" i="1"/>
  <c r="K1509" i="1"/>
  <c r="M1509" i="1"/>
  <c r="K1526" i="1"/>
  <c r="M1526" i="1"/>
  <c r="L1532" i="1"/>
  <c r="I1532" i="1" s="1"/>
  <c r="M1532" i="1"/>
  <c r="K1532" i="1"/>
  <c r="M1635" i="1"/>
  <c r="K1635" i="1"/>
  <c r="M1225" i="1"/>
  <c r="M1245" i="1"/>
  <c r="L1245" i="1"/>
  <c r="I1245" i="1" s="1"/>
  <c r="M1261" i="1"/>
  <c r="L1261" i="1"/>
  <c r="I1261" i="1" s="1"/>
  <c r="M1277" i="1"/>
  <c r="L1277" i="1"/>
  <c r="I1277" i="1" s="1"/>
  <c r="M1303" i="1"/>
  <c r="L1323" i="1"/>
  <c r="I1323" i="1" s="1"/>
  <c r="K1323" i="1"/>
  <c r="L1413" i="1"/>
  <c r="I1413" i="1" s="1"/>
  <c r="K1413" i="1"/>
  <c r="K1514" i="1"/>
  <c r="K1529" i="1"/>
  <c r="M1529" i="1"/>
  <c r="L1529" i="1"/>
  <c r="I1529" i="1" s="1"/>
  <c r="K1087" i="1"/>
  <c r="K1119" i="1"/>
  <c r="L1149" i="1"/>
  <c r="I1149" i="1" s="1"/>
  <c r="L1181" i="1"/>
  <c r="I1181" i="1" s="1"/>
  <c r="M1293" i="1"/>
  <c r="M1323" i="1"/>
  <c r="L1433" i="1"/>
  <c r="I1433" i="1" s="1"/>
  <c r="K1433" i="1"/>
  <c r="K1436" i="1"/>
  <c r="L1436" i="1"/>
  <c r="I1436" i="1" s="1"/>
  <c r="M1436" i="1"/>
  <c r="L1442" i="1"/>
  <c r="I1442" i="1" s="1"/>
  <c r="L1526" i="1"/>
  <c r="I1526" i="1" s="1"/>
  <c r="L1211" i="1"/>
  <c r="I1211" i="1" s="1"/>
  <c r="M1243" i="1"/>
  <c r="L1243" i="1"/>
  <c r="I1243" i="1" s="1"/>
  <c r="K1254" i="1"/>
  <c r="M1259" i="1"/>
  <c r="L1259" i="1"/>
  <c r="I1259" i="1" s="1"/>
  <c r="K1270" i="1"/>
  <c r="M1275" i="1"/>
  <c r="L1275" i="1"/>
  <c r="I1275" i="1" s="1"/>
  <c r="K1286" i="1"/>
  <c r="M1291" i="1"/>
  <c r="L1291" i="1"/>
  <c r="I1291" i="1" s="1"/>
  <c r="M1306" i="1"/>
  <c r="L1306" i="1"/>
  <c r="I1306" i="1" s="1"/>
  <c r="K1306" i="1"/>
  <c r="L1311" i="1"/>
  <c r="I1311" i="1" s="1"/>
  <c r="M1314" i="1"/>
  <c r="L1314" i="1"/>
  <c r="I1314" i="1" s="1"/>
  <c r="K1314" i="1"/>
  <c r="K1320" i="1"/>
  <c r="L1145" i="1"/>
  <c r="I1145" i="1" s="1"/>
  <c r="L1177" i="1"/>
  <c r="I1177" i="1" s="1"/>
  <c r="K1185" i="1"/>
  <c r="K1200" i="1"/>
  <c r="L1209" i="1"/>
  <c r="I1209" i="1" s="1"/>
  <c r="K1217" i="1"/>
  <c r="K1232" i="1"/>
  <c r="L1254" i="1"/>
  <c r="I1254" i="1" s="1"/>
  <c r="L1270" i="1"/>
  <c r="I1270" i="1" s="1"/>
  <c r="L1286" i="1"/>
  <c r="I1286" i="1" s="1"/>
  <c r="K1309" i="1"/>
  <c r="L1320" i="1"/>
  <c r="I1320" i="1" s="1"/>
  <c r="L1339" i="1"/>
  <c r="I1339" i="1" s="1"/>
  <c r="M1339" i="1"/>
  <c r="L1397" i="1"/>
  <c r="I1397" i="1" s="1"/>
  <c r="K1397" i="1"/>
  <c r="M1433" i="1"/>
  <c r="K1456" i="1"/>
  <c r="L1456" i="1"/>
  <c r="I1456" i="1" s="1"/>
  <c r="L1509" i="1"/>
  <c r="I1509" i="1" s="1"/>
  <c r="K1049" i="1"/>
  <c r="K1081" i="1"/>
  <c r="K1113" i="1"/>
  <c r="L1121" i="1"/>
  <c r="I1121" i="1" s="1"/>
  <c r="L1143" i="1"/>
  <c r="I1143" i="1" s="1"/>
  <c r="K1151" i="1"/>
  <c r="L1175" i="1"/>
  <c r="I1175" i="1" s="1"/>
  <c r="K1183" i="1"/>
  <c r="L1207" i="1"/>
  <c r="I1207" i="1" s="1"/>
  <c r="K1215" i="1"/>
  <c r="K1245" i="1"/>
  <c r="K1252" i="1"/>
  <c r="M1257" i="1"/>
  <c r="L1257" i="1"/>
  <c r="I1257" i="1" s="1"/>
  <c r="K1261" i="1"/>
  <c r="K1268" i="1"/>
  <c r="M1273" i="1"/>
  <c r="L1273" i="1"/>
  <c r="I1273" i="1" s="1"/>
  <c r="K1277" i="1"/>
  <c r="K1284" i="1"/>
  <c r="M1289" i="1"/>
  <c r="L1289" i="1"/>
  <c r="I1289" i="1" s="1"/>
  <c r="L1293" i="1"/>
  <c r="I1293" i="1" s="1"/>
  <c r="K1301" i="1"/>
  <c r="L1301" i="1"/>
  <c r="I1301" i="1" s="1"/>
  <c r="M1345" i="1"/>
  <c r="M1397" i="1"/>
  <c r="M1413" i="1"/>
  <c r="L1575" i="1"/>
  <c r="I1575" i="1" s="1"/>
  <c r="K1575" i="1"/>
  <c r="K1045" i="1"/>
  <c r="K1068" i="1"/>
  <c r="K1077" i="1"/>
  <c r="L1085" i="1"/>
  <c r="I1085" i="1" s="1"/>
  <c r="K1100" i="1"/>
  <c r="K1109" i="1"/>
  <c r="L1117" i="1"/>
  <c r="I1117" i="1" s="1"/>
  <c r="K1130" i="1"/>
  <c r="L1139" i="1"/>
  <c r="I1139" i="1" s="1"/>
  <c r="K1147" i="1"/>
  <c r="K1162" i="1"/>
  <c r="L1171" i="1"/>
  <c r="I1171" i="1" s="1"/>
  <c r="K1179" i="1"/>
  <c r="K1194" i="1"/>
  <c r="L1203" i="1"/>
  <c r="I1203" i="1" s="1"/>
  <c r="K1211" i="1"/>
  <c r="K1226" i="1"/>
  <c r="K1243" i="1"/>
  <c r="K1250" i="1"/>
  <c r="M1255" i="1"/>
  <c r="L1255" i="1"/>
  <c r="I1255" i="1" s="1"/>
  <c r="K1259" i="1"/>
  <c r="K1266" i="1"/>
  <c r="M1271" i="1"/>
  <c r="L1271" i="1"/>
  <c r="I1271" i="1" s="1"/>
  <c r="K1275" i="1"/>
  <c r="K1282" i="1"/>
  <c r="M1287" i="1"/>
  <c r="L1287" i="1"/>
  <c r="I1287" i="1" s="1"/>
  <c r="K1291" i="1"/>
  <c r="L1309" i="1"/>
  <c r="I1309" i="1" s="1"/>
  <c r="M1336" i="1"/>
  <c r="L1355" i="1"/>
  <c r="I1355" i="1" s="1"/>
  <c r="M1355" i="1"/>
  <c r="K1043" i="1"/>
  <c r="L1051" i="1"/>
  <c r="I1051" i="1" s="1"/>
  <c r="L1068" i="1"/>
  <c r="I1068" i="1" s="1"/>
  <c r="K1075" i="1"/>
  <c r="L1083" i="1"/>
  <c r="I1083" i="1" s="1"/>
  <c r="K1098" i="1"/>
  <c r="L1115" i="1"/>
  <c r="I1115" i="1" s="1"/>
  <c r="K1128" i="1"/>
  <c r="L1137" i="1"/>
  <c r="I1137" i="1" s="1"/>
  <c r="K1145" i="1"/>
  <c r="K1160" i="1"/>
  <c r="L1169" i="1"/>
  <c r="I1169" i="1" s="1"/>
  <c r="K1177" i="1"/>
  <c r="K1192" i="1"/>
  <c r="L1201" i="1"/>
  <c r="I1201" i="1" s="1"/>
  <c r="K1209" i="1"/>
  <c r="K1224" i="1"/>
  <c r="L1233" i="1"/>
  <c r="I1233" i="1" s="1"/>
  <c r="K1241" i="1"/>
  <c r="L1250" i="1"/>
  <c r="I1250" i="1" s="1"/>
  <c r="L1266" i="1"/>
  <c r="I1266" i="1" s="1"/>
  <c r="L1282" i="1"/>
  <c r="I1282" i="1" s="1"/>
  <c r="M1346" i="1"/>
  <c r="L1346" i="1"/>
  <c r="I1346" i="1" s="1"/>
  <c r="K1346" i="1"/>
  <c r="M1361" i="1"/>
  <c r="L1377" i="1"/>
  <c r="I1377" i="1" s="1"/>
  <c r="K1377" i="1"/>
  <c r="L1411" i="1"/>
  <c r="I1411" i="1" s="1"/>
  <c r="K1411" i="1"/>
  <c r="K1565" i="1"/>
  <c r="L1565" i="1"/>
  <c r="I1565" i="1" s="1"/>
  <c r="M1565" i="1"/>
  <c r="K1073" i="1"/>
  <c r="L1081" i="1"/>
  <c r="I1081" i="1" s="1"/>
  <c r="K1105" i="1"/>
  <c r="L1113" i="1"/>
  <c r="I1113" i="1" s="1"/>
  <c r="L1135" i="1"/>
  <c r="I1135" i="1" s="1"/>
  <c r="K1143" i="1"/>
  <c r="L1167" i="1"/>
  <c r="I1167" i="1" s="1"/>
  <c r="K1175" i="1"/>
  <c r="L1199" i="1"/>
  <c r="I1199" i="1" s="1"/>
  <c r="K1207" i="1"/>
  <c r="L1231" i="1"/>
  <c r="I1231" i="1" s="1"/>
  <c r="K1239" i="1"/>
  <c r="M1241" i="1"/>
  <c r="M1253" i="1"/>
  <c r="L1253" i="1"/>
  <c r="I1253" i="1" s="1"/>
  <c r="K1257" i="1"/>
  <c r="M1269" i="1"/>
  <c r="L1269" i="1"/>
  <c r="I1269" i="1" s="1"/>
  <c r="K1273" i="1"/>
  <c r="M1285" i="1"/>
  <c r="L1285" i="1"/>
  <c r="I1285" i="1" s="1"/>
  <c r="K1289" i="1"/>
  <c r="K1299" i="1"/>
  <c r="L1299" i="1"/>
  <c r="I1299" i="1" s="1"/>
  <c r="L1368" i="1"/>
  <c r="I1368" i="1" s="1"/>
  <c r="K1408" i="1"/>
  <c r="M1408" i="1"/>
  <c r="K1549" i="1"/>
  <c r="L1549" i="1"/>
  <c r="I1549" i="1" s="1"/>
  <c r="K1305" i="1"/>
  <c r="L1375" i="1"/>
  <c r="I1375" i="1" s="1"/>
  <c r="K1375" i="1"/>
  <c r="K1416" i="1"/>
  <c r="L1416" i="1"/>
  <c r="I1416" i="1" s="1"/>
  <c r="M1459" i="1"/>
  <c r="L1459" i="1"/>
  <c r="I1459" i="1" s="1"/>
  <c r="L1465" i="1"/>
  <c r="I1465" i="1" s="1"/>
  <c r="L1373" i="1"/>
  <c r="I1373" i="1" s="1"/>
  <c r="K1373" i="1"/>
  <c r="M1439" i="1"/>
  <c r="L1439" i="1"/>
  <c r="I1439" i="1" s="1"/>
  <c r="K1439" i="1"/>
  <c r="K1468" i="1"/>
  <c r="L1468" i="1"/>
  <c r="I1468" i="1" s="1"/>
  <c r="L1589" i="1"/>
  <c r="I1589" i="1" s="1"/>
  <c r="K1589" i="1"/>
  <c r="L1750" i="1"/>
  <c r="I1750" i="1" s="1"/>
  <c r="K1750" i="1"/>
  <c r="M1448" i="1"/>
  <c r="M1480" i="1"/>
  <c r="K1515" i="1"/>
  <c r="L1515" i="1"/>
  <c r="I1515" i="1" s="1"/>
  <c r="K1541" i="1"/>
  <c r="M1541" i="1"/>
  <c r="K1295" i="1"/>
  <c r="L1321" i="1"/>
  <c r="I1321" i="1" s="1"/>
  <c r="K1321" i="1"/>
  <c r="K1332" i="1"/>
  <c r="K1337" i="1"/>
  <c r="M1341" i="1"/>
  <c r="K1348" i="1"/>
  <c r="M1357" i="1"/>
  <c r="K1364" i="1"/>
  <c r="M1373" i="1"/>
  <c r="K1380" i="1"/>
  <c r="K1400" i="1"/>
  <c r="L1400" i="1"/>
  <c r="I1400" i="1" s="1"/>
  <c r="K1440" i="1"/>
  <c r="L1440" i="1"/>
  <c r="I1440" i="1" s="1"/>
  <c r="K1501" i="1"/>
  <c r="L1501" i="1"/>
  <c r="I1501" i="1" s="1"/>
  <c r="M1515" i="1"/>
  <c r="L1605" i="1"/>
  <c r="I1605" i="1" s="1"/>
  <c r="K1605" i="1"/>
  <c r="L1332" i="1"/>
  <c r="I1332" i="1" s="1"/>
  <c r="L1337" i="1"/>
  <c r="I1337" i="1" s="1"/>
  <c r="L1348" i="1"/>
  <c r="I1348" i="1" s="1"/>
  <c r="L1364" i="1"/>
  <c r="I1364" i="1" s="1"/>
  <c r="L1369" i="1"/>
  <c r="I1369" i="1" s="1"/>
  <c r="K1369" i="1"/>
  <c r="L1380" i="1"/>
  <c r="I1380" i="1" s="1"/>
  <c r="M1400" i="1"/>
  <c r="M1454" i="1"/>
  <c r="K1472" i="1"/>
  <c r="L1472" i="1"/>
  <c r="I1472" i="1" s="1"/>
  <c r="M1501" i="1"/>
  <c r="L1319" i="1"/>
  <c r="I1319" i="1" s="1"/>
  <c r="K1319" i="1"/>
  <c r="L1335" i="1"/>
  <c r="I1335" i="1" s="1"/>
  <c r="K1351" i="1"/>
  <c r="K1367" i="1"/>
  <c r="K1431" i="1"/>
  <c r="M1486" i="1"/>
  <c r="K1498" i="1"/>
  <c r="L1498" i="1"/>
  <c r="I1498" i="1" s="1"/>
  <c r="L1541" i="1"/>
  <c r="I1541" i="1" s="1"/>
  <c r="L1602" i="1"/>
  <c r="I1602" i="1" s="1"/>
  <c r="L1615" i="1"/>
  <c r="I1615" i="1" s="1"/>
  <c r="M1615" i="1"/>
  <c r="K1669" i="1"/>
  <c r="K1417" i="1"/>
  <c r="K1420" i="1"/>
  <c r="L1420" i="1"/>
  <c r="I1420" i="1" s="1"/>
  <c r="L1431" i="1"/>
  <c r="I1431" i="1" s="1"/>
  <c r="L1454" i="1"/>
  <c r="I1454" i="1" s="1"/>
  <c r="K1463" i="1"/>
  <c r="M1475" i="1"/>
  <c r="L1475" i="1"/>
  <c r="I1475" i="1" s="1"/>
  <c r="L1295" i="1"/>
  <c r="I1295" i="1" s="1"/>
  <c r="K1310" i="1"/>
  <c r="L1317" i="1"/>
  <c r="I1317" i="1" s="1"/>
  <c r="K1317" i="1"/>
  <c r="K1328" i="1"/>
  <c r="L1333" i="1"/>
  <c r="I1333" i="1" s="1"/>
  <c r="M1337" i="1"/>
  <c r="K1344" i="1"/>
  <c r="K1349" i="1"/>
  <c r="M1353" i="1"/>
  <c r="K1360" i="1"/>
  <c r="K1365" i="1"/>
  <c r="M1369" i="1"/>
  <c r="K1376" i="1"/>
  <c r="M1395" i="1"/>
  <c r="M1406" i="1"/>
  <c r="L1417" i="1"/>
  <c r="I1417" i="1" s="1"/>
  <c r="M1423" i="1"/>
  <c r="L1423" i="1"/>
  <c r="I1423" i="1" s="1"/>
  <c r="K1423" i="1"/>
  <c r="K1443" i="1"/>
  <c r="L1463" i="1"/>
  <c r="I1463" i="1" s="1"/>
  <c r="M1472" i="1"/>
  <c r="L1486" i="1"/>
  <c r="I1486" i="1" s="1"/>
  <c r="K1502" i="1"/>
  <c r="L1577" i="1"/>
  <c r="I1577" i="1" s="1"/>
  <c r="K1577" i="1"/>
  <c r="M1602" i="1"/>
  <c r="M1654" i="1"/>
  <c r="L1654" i="1"/>
  <c r="I1654" i="1" s="1"/>
  <c r="K1654" i="1"/>
  <c r="L1429" i="1"/>
  <c r="I1429" i="1" s="1"/>
  <c r="K1432" i="1"/>
  <c r="L1432" i="1"/>
  <c r="I1432" i="1" s="1"/>
  <c r="K1452" i="1"/>
  <c r="L1452" i="1"/>
  <c r="I1452" i="1" s="1"/>
  <c r="L1585" i="1"/>
  <c r="I1585" i="1" s="1"/>
  <c r="K1585" i="1"/>
  <c r="K1615" i="1"/>
  <c r="L1315" i="1"/>
  <c r="I1315" i="1" s="1"/>
  <c r="K1315" i="1"/>
  <c r="K1326" i="1"/>
  <c r="L1331" i="1"/>
  <c r="I1331" i="1" s="1"/>
  <c r="K1342" i="1"/>
  <c r="K1347" i="1"/>
  <c r="M1351" i="1"/>
  <c r="K1358" i="1"/>
  <c r="K1363" i="1"/>
  <c r="M1367" i="1"/>
  <c r="K1374" i="1"/>
  <c r="K1390" i="1"/>
  <c r="K1395" i="1"/>
  <c r="L1406" i="1"/>
  <c r="I1406" i="1" s="1"/>
  <c r="M1432" i="1"/>
  <c r="K1449" i="1"/>
  <c r="M1455" i="1"/>
  <c r="L1455" i="1"/>
  <c r="I1455" i="1" s="1"/>
  <c r="K1455" i="1"/>
  <c r="K1464" i="1"/>
  <c r="L1464" i="1"/>
  <c r="I1464" i="1" s="1"/>
  <c r="K1481" i="1"/>
  <c r="K1484" i="1"/>
  <c r="L1484" i="1"/>
  <c r="I1484" i="1" s="1"/>
  <c r="L1326" i="1"/>
  <c r="I1326" i="1" s="1"/>
  <c r="L1342" i="1"/>
  <c r="I1342" i="1" s="1"/>
  <c r="L1358" i="1"/>
  <c r="I1358" i="1" s="1"/>
  <c r="L1374" i="1"/>
  <c r="I1374" i="1" s="1"/>
  <c r="L1390" i="1"/>
  <c r="I1390" i="1" s="1"/>
  <c r="M1393" i="1"/>
  <c r="L1393" i="1"/>
  <c r="I1393" i="1" s="1"/>
  <c r="K1424" i="1"/>
  <c r="L1424" i="1"/>
  <c r="I1424" i="1" s="1"/>
  <c r="M1449" i="1"/>
  <c r="L1458" i="1"/>
  <c r="I1458" i="1" s="1"/>
  <c r="M1481" i="1"/>
  <c r="L1502" i="1"/>
  <c r="I1502" i="1" s="1"/>
  <c r="L1525" i="1"/>
  <c r="I1525" i="1" s="1"/>
  <c r="K1537" i="1"/>
  <c r="L1537" i="1"/>
  <c r="I1537" i="1" s="1"/>
  <c r="M1558" i="1"/>
  <c r="K1558" i="1"/>
  <c r="L1600" i="1"/>
  <c r="I1600" i="1" s="1"/>
  <c r="K1311" i="1"/>
  <c r="L1329" i="1"/>
  <c r="I1329" i="1" s="1"/>
  <c r="K1345" i="1"/>
  <c r="M1349" i="1"/>
  <c r="K1361" i="1"/>
  <c r="M1365" i="1"/>
  <c r="K1404" i="1"/>
  <c r="L1404" i="1"/>
  <c r="I1404" i="1" s="1"/>
  <c r="L1407" i="1"/>
  <c r="I1407" i="1" s="1"/>
  <c r="K1407" i="1"/>
  <c r="M1438" i="1"/>
  <c r="M1534" i="1"/>
  <c r="L1534" i="1"/>
  <c r="I1534" i="1" s="1"/>
  <c r="K1511" i="1"/>
  <c r="L1511" i="1"/>
  <c r="I1511" i="1" s="1"/>
  <c r="L1528" i="1"/>
  <c r="I1528" i="1" s="1"/>
  <c r="L1550" i="1"/>
  <c r="I1550" i="1" s="1"/>
  <c r="K1550" i="1"/>
  <c r="K1553" i="1"/>
  <c r="L1599" i="1"/>
  <c r="I1599" i="1" s="1"/>
  <c r="K1599" i="1"/>
  <c r="L1500" i="1"/>
  <c r="I1500" i="1" s="1"/>
  <c r="K1519" i="1"/>
  <c r="K1531" i="1"/>
  <c r="M1550" i="1"/>
  <c r="L1579" i="1"/>
  <c r="I1579" i="1" s="1"/>
  <c r="K1579" i="1"/>
  <c r="M1605" i="1"/>
  <c r="M1516" i="1"/>
  <c r="M1528" i="1"/>
  <c r="L1545" i="1"/>
  <c r="I1545" i="1" s="1"/>
  <c r="K1551" i="1"/>
  <c r="L1551" i="1"/>
  <c r="I1551" i="1" s="1"/>
  <c r="L1553" i="1"/>
  <c r="I1553" i="1" s="1"/>
  <c r="M1564" i="1"/>
  <c r="L1564" i="1"/>
  <c r="I1564" i="1" s="1"/>
  <c r="M1641" i="1"/>
  <c r="L1829" i="1"/>
  <c r="I1829" i="1" s="1"/>
  <c r="K1829" i="1"/>
  <c r="L1883" i="1"/>
  <c r="I1883" i="1" s="1"/>
  <c r="K1883" i="1"/>
  <c r="K1402" i="1"/>
  <c r="K1418" i="1"/>
  <c r="K1429" i="1"/>
  <c r="K1434" i="1"/>
  <c r="K1445" i="1"/>
  <c r="K1450" i="1"/>
  <c r="K1461" i="1"/>
  <c r="K1466" i="1"/>
  <c r="K1477" i="1"/>
  <c r="K1482" i="1"/>
  <c r="K1493" i="1"/>
  <c r="M1498" i="1"/>
  <c r="M1517" i="1"/>
  <c r="M1554" i="1"/>
  <c r="L1554" i="1"/>
  <c r="I1554" i="1" s="1"/>
  <c r="K1554" i="1"/>
  <c r="K1564" i="1"/>
  <c r="K1600" i="1"/>
  <c r="L1612" i="1"/>
  <c r="I1612" i="1" s="1"/>
  <c r="K1612" i="1"/>
  <c r="L1667" i="1"/>
  <c r="I1667" i="1" s="1"/>
  <c r="K1667" i="1"/>
  <c r="L1690" i="1"/>
  <c r="I1690" i="1" s="1"/>
  <c r="M1690" i="1"/>
  <c r="K1690" i="1"/>
  <c r="L1496" i="1"/>
  <c r="I1496" i="1" s="1"/>
  <c r="L1595" i="1"/>
  <c r="I1595" i="1" s="1"/>
  <c r="K1595" i="1"/>
  <c r="M1618" i="1"/>
  <c r="L1618" i="1"/>
  <c r="I1618" i="1" s="1"/>
  <c r="K1618" i="1"/>
  <c r="L1633" i="1"/>
  <c r="I1633" i="1" s="1"/>
  <c r="K1633" i="1"/>
  <c r="M1537" i="1"/>
  <c r="M1549" i="1"/>
  <c r="M1562" i="1"/>
  <c r="L1562" i="1"/>
  <c r="I1562" i="1" s="1"/>
  <c r="K1562" i="1"/>
  <c r="M1575" i="1"/>
  <c r="M1585" i="1"/>
  <c r="K1325" i="1"/>
  <c r="K1327" i="1"/>
  <c r="K1329" i="1"/>
  <c r="K1331" i="1"/>
  <c r="K1333" i="1"/>
  <c r="K1335" i="1"/>
  <c r="K1379" i="1"/>
  <c r="K1381" i="1"/>
  <c r="K1383" i="1"/>
  <c r="K1385" i="1"/>
  <c r="K1387" i="1"/>
  <c r="K1389" i="1"/>
  <c r="K1391" i="1"/>
  <c r="K1398" i="1"/>
  <c r="K1409" i="1"/>
  <c r="K1414" i="1"/>
  <c r="K1425" i="1"/>
  <c r="K1441" i="1"/>
  <c r="K1457" i="1"/>
  <c r="L1593" i="1"/>
  <c r="I1593" i="1" s="1"/>
  <c r="K1593" i="1"/>
  <c r="M1598" i="1"/>
  <c r="L1598" i="1"/>
  <c r="I1598" i="1" s="1"/>
  <c r="M1649" i="1"/>
  <c r="K1649" i="1"/>
  <c r="L1659" i="1"/>
  <c r="I1659" i="1" s="1"/>
  <c r="K1659" i="1"/>
  <c r="M1684" i="1"/>
  <c r="L1684" i="1"/>
  <c r="I1684" i="1" s="1"/>
  <c r="K1684" i="1"/>
  <c r="K1496" i="1"/>
  <c r="K1499" i="1"/>
  <c r="K1513" i="1"/>
  <c r="K1523" i="1"/>
  <c r="L1610" i="1"/>
  <c r="I1610" i="1" s="1"/>
  <c r="K1610" i="1"/>
  <c r="M1659" i="1"/>
  <c r="K1471" i="1"/>
  <c r="K1487" i="1"/>
  <c r="K1508" i="1"/>
  <c r="L1518" i="1"/>
  <c r="I1518" i="1" s="1"/>
  <c r="K1518" i="1"/>
  <c r="M1530" i="1"/>
  <c r="K1530" i="1"/>
  <c r="K1547" i="1"/>
  <c r="L1547" i="1"/>
  <c r="I1547" i="1" s="1"/>
  <c r="L1557" i="1"/>
  <c r="I1557" i="1" s="1"/>
  <c r="L1573" i="1"/>
  <c r="I1573" i="1" s="1"/>
  <c r="K1573" i="1"/>
  <c r="M1646" i="1"/>
  <c r="L1646" i="1"/>
  <c r="I1646" i="1" s="1"/>
  <c r="K1646" i="1"/>
  <c r="L1398" i="1"/>
  <c r="I1398" i="1" s="1"/>
  <c r="L1414" i="1"/>
  <c r="I1414" i="1" s="1"/>
  <c r="L1430" i="1"/>
  <c r="I1430" i="1" s="1"/>
  <c r="L1446" i="1"/>
  <c r="I1446" i="1" s="1"/>
  <c r="L1462" i="1"/>
  <c r="I1462" i="1" s="1"/>
  <c r="L1471" i="1"/>
  <c r="I1471" i="1" s="1"/>
  <c r="L1478" i="1"/>
  <c r="I1478" i="1" s="1"/>
  <c r="L1487" i="1"/>
  <c r="I1487" i="1" s="1"/>
  <c r="L1494" i="1"/>
  <c r="I1494" i="1" s="1"/>
  <c r="L1508" i="1"/>
  <c r="I1508" i="1" s="1"/>
  <c r="L1555" i="1"/>
  <c r="I1555" i="1" s="1"/>
  <c r="K1598" i="1"/>
  <c r="L1625" i="1"/>
  <c r="I1625" i="1" s="1"/>
  <c r="K1625" i="1"/>
  <c r="K1656" i="1"/>
  <c r="M1675" i="1"/>
  <c r="K1675" i="1"/>
  <c r="K1392" i="1"/>
  <c r="K1410" i="1"/>
  <c r="K1426" i="1"/>
  <c r="K1442" i="1"/>
  <c r="K1458" i="1"/>
  <c r="K1474" i="1"/>
  <c r="K1490" i="1"/>
  <c r="L1499" i="1"/>
  <c r="I1499" i="1" s="1"/>
  <c r="K1521" i="1"/>
  <c r="K1533" i="1"/>
  <c r="L1533" i="1"/>
  <c r="I1533" i="1" s="1"/>
  <c r="L1591" i="1"/>
  <c r="I1591" i="1" s="1"/>
  <c r="K1591" i="1"/>
  <c r="L1656" i="1"/>
  <c r="I1656" i="1" s="1"/>
  <c r="L1731" i="1"/>
  <c r="I1731" i="1" s="1"/>
  <c r="K1731" i="1"/>
  <c r="M1750" i="1"/>
  <c r="M1731" i="1"/>
  <c r="L1901" i="1"/>
  <c r="I1901" i="1" s="1"/>
  <c r="K1901" i="1"/>
  <c r="M1678" i="1"/>
  <c r="L1678" i="1"/>
  <c r="I1678" i="1" s="1"/>
  <c r="K1678" i="1"/>
  <c r="M1968" i="1"/>
  <c r="K1968" i="1"/>
  <c r="K1543" i="1"/>
  <c r="L1603" i="1"/>
  <c r="I1603" i="1" s="1"/>
  <c r="L1631" i="1"/>
  <c r="I1631" i="1" s="1"/>
  <c r="K1631" i="1"/>
  <c r="L1693" i="1"/>
  <c r="I1693" i="1" s="1"/>
  <c r="K1693" i="1"/>
  <c r="L1699" i="1"/>
  <c r="I1699" i="1" s="1"/>
  <c r="K1699" i="1"/>
  <c r="M1720" i="1"/>
  <c r="M1644" i="1"/>
  <c r="L1644" i="1"/>
  <c r="I1644" i="1" s="1"/>
  <c r="K1644" i="1"/>
  <c r="L1657" i="1"/>
  <c r="I1657" i="1" s="1"/>
  <c r="M1657" i="1"/>
  <c r="K1657" i="1"/>
  <c r="M1693" i="1"/>
  <c r="M1699" i="1"/>
  <c r="L1739" i="1"/>
  <c r="I1739" i="1" s="1"/>
  <c r="K1739" i="1"/>
  <c r="M1742" i="1"/>
  <c r="L1742" i="1"/>
  <c r="I1742" i="1" s="1"/>
  <c r="K1742" i="1"/>
  <c r="K1507" i="1"/>
  <c r="K1539" i="1"/>
  <c r="M1616" i="1"/>
  <c r="L1616" i="1"/>
  <c r="I1616" i="1" s="1"/>
  <c r="M1665" i="1"/>
  <c r="L1717" i="1"/>
  <c r="I1717" i="1" s="1"/>
  <c r="M1723" i="1"/>
  <c r="L1723" i="1"/>
  <c r="I1723" i="1" s="1"/>
  <c r="K1784" i="1"/>
  <c r="L1784" i="1"/>
  <c r="I1784" i="1" s="1"/>
  <c r="L1826" i="1"/>
  <c r="I1826" i="1" s="1"/>
  <c r="K1826" i="1"/>
  <c r="K1569" i="1"/>
  <c r="L1587" i="1"/>
  <c r="I1587" i="1" s="1"/>
  <c r="K1587" i="1"/>
  <c r="K1608" i="1"/>
  <c r="L1712" i="1"/>
  <c r="I1712" i="1" s="1"/>
  <c r="K1720" i="1"/>
  <c r="M1807" i="1"/>
  <c r="L1807" i="1"/>
  <c r="I1807" i="1" s="1"/>
  <c r="K1807" i="1"/>
  <c r="K1503" i="1"/>
  <c r="K1535" i="1"/>
  <c r="L1543" i="1"/>
  <c r="I1543" i="1" s="1"/>
  <c r="K1567" i="1"/>
  <c r="K1603" i="1"/>
  <c r="K1626" i="1"/>
  <c r="L1629" i="1"/>
  <c r="I1629" i="1" s="1"/>
  <c r="K1629" i="1"/>
  <c r="K1647" i="1"/>
  <c r="K1652" i="1"/>
  <c r="M1676" i="1"/>
  <c r="L1676" i="1"/>
  <c r="I1676" i="1" s="1"/>
  <c r="K1676" i="1"/>
  <c r="L1736" i="1"/>
  <c r="I1736" i="1" s="1"/>
  <c r="K1736" i="1"/>
  <c r="L1637" i="1"/>
  <c r="I1637" i="1" s="1"/>
  <c r="K1639" i="1"/>
  <c r="L1642" i="1"/>
  <c r="I1642" i="1" s="1"/>
  <c r="K1642" i="1"/>
  <c r="M1647" i="1"/>
  <c r="L1652" i="1"/>
  <c r="I1652" i="1" s="1"/>
  <c r="L1663" i="1"/>
  <c r="I1663" i="1" s="1"/>
  <c r="K1663" i="1"/>
  <c r="K1665" i="1"/>
  <c r="K1673" i="1"/>
  <c r="L1718" i="1"/>
  <c r="I1718" i="1" s="1"/>
  <c r="K1718" i="1"/>
  <c r="L1759" i="1"/>
  <c r="I1759" i="1" s="1"/>
  <c r="K1759" i="1"/>
  <c r="K1563" i="1"/>
  <c r="L1571" i="1"/>
  <c r="I1571" i="1" s="1"/>
  <c r="M1599" i="1"/>
  <c r="K1601" i="1"/>
  <c r="L1609" i="1"/>
  <c r="I1609" i="1" s="1"/>
  <c r="L1614" i="1"/>
  <c r="I1614" i="1" s="1"/>
  <c r="K1614" i="1"/>
  <c r="M1663" i="1"/>
  <c r="L1688" i="1"/>
  <c r="I1688" i="1" s="1"/>
  <c r="M1697" i="1"/>
  <c r="L1707" i="1"/>
  <c r="I1707" i="1" s="1"/>
  <c r="K1712" i="1"/>
  <c r="M1718" i="1"/>
  <c r="M1759" i="1"/>
  <c r="L1583" i="1"/>
  <c r="I1583" i="1" s="1"/>
  <c r="K1583" i="1"/>
  <c r="L1604" i="1"/>
  <c r="I1604" i="1" s="1"/>
  <c r="M1642" i="1"/>
  <c r="M1736" i="1"/>
  <c r="L1765" i="1"/>
  <c r="I1765" i="1" s="1"/>
  <c r="K1495" i="1"/>
  <c r="L1503" i="1"/>
  <c r="I1503" i="1" s="1"/>
  <c r="L1520" i="1"/>
  <c r="I1520" i="1" s="1"/>
  <c r="L1535" i="1"/>
  <c r="I1535" i="1" s="1"/>
  <c r="L1552" i="1"/>
  <c r="I1552" i="1" s="1"/>
  <c r="L1567" i="1"/>
  <c r="I1567" i="1" s="1"/>
  <c r="L1624" i="1"/>
  <c r="I1624" i="1" s="1"/>
  <c r="L1627" i="1"/>
  <c r="I1627" i="1" s="1"/>
  <c r="K1627" i="1"/>
  <c r="K1632" i="1"/>
  <c r="M1648" i="1"/>
  <c r="L1648" i="1"/>
  <c r="I1648" i="1" s="1"/>
  <c r="L1650" i="1"/>
  <c r="I1650" i="1" s="1"/>
  <c r="K1697" i="1"/>
  <c r="L1715" i="1"/>
  <c r="I1715" i="1" s="1"/>
  <c r="L1756" i="1"/>
  <c r="I1756" i="1" s="1"/>
  <c r="K1756" i="1"/>
  <c r="M1756" i="1"/>
  <c r="K1525" i="1"/>
  <c r="K1557" i="1"/>
  <c r="L1581" i="1"/>
  <c r="I1581" i="1" s="1"/>
  <c r="K1581" i="1"/>
  <c r="L1597" i="1"/>
  <c r="I1597" i="1" s="1"/>
  <c r="K1597" i="1"/>
  <c r="K1602" i="1"/>
  <c r="L1607" i="1"/>
  <c r="I1607" i="1" s="1"/>
  <c r="M1627" i="1"/>
  <c r="L1635" i="1"/>
  <c r="I1635" i="1" s="1"/>
  <c r="K1637" i="1"/>
  <c r="L1661" i="1"/>
  <c r="I1661" i="1" s="1"/>
  <c r="K1661" i="1"/>
  <c r="L1669" i="1"/>
  <c r="I1669" i="1" s="1"/>
  <c r="K1671" i="1"/>
  <c r="M1680" i="1"/>
  <c r="L1680" i="1"/>
  <c r="I1680" i="1" s="1"/>
  <c r="K1680" i="1"/>
  <c r="K1707" i="1"/>
  <c r="L1753" i="1"/>
  <c r="I1753" i="1" s="1"/>
  <c r="K1753" i="1"/>
  <c r="K1812" i="1"/>
  <c r="L1812" i="1"/>
  <c r="I1812" i="1" s="1"/>
  <c r="L1695" i="1"/>
  <c r="I1695" i="1" s="1"/>
  <c r="L1710" i="1"/>
  <c r="I1710" i="1" s="1"/>
  <c r="K1710" i="1"/>
  <c r="L1775" i="1"/>
  <c r="I1775" i="1" s="1"/>
  <c r="M1883" i="1"/>
  <c r="M1986" i="1"/>
  <c r="K1986" i="1"/>
  <c r="M1785" i="1"/>
  <c r="L1785" i="1"/>
  <c r="I1785" i="1" s="1"/>
  <c r="K1785" i="1"/>
  <c r="M1826" i="1"/>
  <c r="K1854" i="1"/>
  <c r="L1866" i="1"/>
  <c r="I1866" i="1" s="1"/>
  <c r="K1866" i="1"/>
  <c r="K1682" i="1"/>
  <c r="K1705" i="1"/>
  <c r="M1710" i="1"/>
  <c r="K1816" i="1"/>
  <c r="L1816" i="1"/>
  <c r="I1816" i="1" s="1"/>
  <c r="M1866" i="1"/>
  <c r="L1682" i="1"/>
  <c r="I1682" i="1" s="1"/>
  <c r="K1695" i="1"/>
  <c r="L1772" i="1"/>
  <c r="I1772" i="1" s="1"/>
  <c r="L1804" i="1"/>
  <c r="I1804" i="1" s="1"/>
  <c r="L1855" i="1"/>
  <c r="I1855" i="1" s="1"/>
  <c r="K1855" i="1"/>
  <c r="K1700" i="1"/>
  <c r="L1716" i="1"/>
  <c r="I1716" i="1" s="1"/>
  <c r="K1716" i="1"/>
  <c r="M1721" i="1"/>
  <c r="K1743" i="1"/>
  <c r="M1779" i="1"/>
  <c r="K1779" i="1"/>
  <c r="M1855" i="1"/>
  <c r="L1921" i="1"/>
  <c r="I1921" i="1" s="1"/>
  <c r="K1921" i="1"/>
  <c r="L1621" i="1"/>
  <c r="I1621" i="1" s="1"/>
  <c r="L1653" i="1"/>
  <c r="I1653" i="1" s="1"/>
  <c r="L1685" i="1"/>
  <c r="I1685" i="1" s="1"/>
  <c r="L1700" i="1"/>
  <c r="I1700" i="1" s="1"/>
  <c r="M1703" i="1"/>
  <c r="K1724" i="1"/>
  <c r="K1726" i="1"/>
  <c r="K1729" i="1"/>
  <c r="L1743" i="1"/>
  <c r="I1743" i="1" s="1"/>
  <c r="L1782" i="1"/>
  <c r="I1782" i="1" s="1"/>
  <c r="L1831" i="1"/>
  <c r="I1831" i="1" s="1"/>
  <c r="K1831" i="1"/>
  <c r="L1619" i="1"/>
  <c r="I1619" i="1" s="1"/>
  <c r="L1651" i="1"/>
  <c r="I1651" i="1" s="1"/>
  <c r="K1674" i="1"/>
  <c r="L1683" i="1"/>
  <c r="I1683" i="1" s="1"/>
  <c r="K1691" i="1"/>
  <c r="L1719" i="1"/>
  <c r="I1719" i="1" s="1"/>
  <c r="K1721" i="1"/>
  <c r="M1726" i="1"/>
  <c r="L1737" i="1"/>
  <c r="I1737" i="1" s="1"/>
  <c r="L1779" i="1"/>
  <c r="I1779" i="1" s="1"/>
  <c r="L1820" i="1"/>
  <c r="I1820" i="1" s="1"/>
  <c r="K1820" i="1"/>
  <c r="L1852" i="1"/>
  <c r="I1852" i="1" s="1"/>
  <c r="K1852" i="1"/>
  <c r="L1617" i="1"/>
  <c r="I1617" i="1" s="1"/>
  <c r="K1640" i="1"/>
  <c r="L1649" i="1"/>
  <c r="I1649" i="1" s="1"/>
  <c r="K1672" i="1"/>
  <c r="L1674" i="1"/>
  <c r="I1674" i="1" s="1"/>
  <c r="L1681" i="1"/>
  <c r="I1681" i="1" s="1"/>
  <c r="K1689" i="1"/>
  <c r="M1706" i="1"/>
  <c r="L1706" i="1"/>
  <c r="I1706" i="1" s="1"/>
  <c r="K1714" i="1"/>
  <c r="L1744" i="1"/>
  <c r="I1744" i="1" s="1"/>
  <c r="L1746" i="1"/>
  <c r="I1746" i="1" s="1"/>
  <c r="M1758" i="1"/>
  <c r="L1758" i="1"/>
  <c r="I1758" i="1" s="1"/>
  <c r="L1761" i="1"/>
  <c r="I1761" i="1" s="1"/>
  <c r="K1761" i="1"/>
  <c r="L1838" i="1"/>
  <c r="I1838" i="1" s="1"/>
  <c r="K1838" i="1"/>
  <c r="M1689" i="1"/>
  <c r="L1701" i="1"/>
  <c r="I1701" i="1" s="1"/>
  <c r="L1727" i="1"/>
  <c r="I1727" i="1" s="1"/>
  <c r="L1741" i="1"/>
  <c r="I1741" i="1" s="1"/>
  <c r="K1780" i="1"/>
  <c r="L1780" i="1"/>
  <c r="I1780" i="1" s="1"/>
  <c r="K1790" i="1"/>
  <c r="L1790" i="1"/>
  <c r="I1790" i="1" s="1"/>
  <c r="L1828" i="1"/>
  <c r="I1828" i="1" s="1"/>
  <c r="K1828" i="1"/>
  <c r="L1904" i="1"/>
  <c r="I1904" i="1" s="1"/>
  <c r="K1904" i="1"/>
  <c r="L1933" i="1"/>
  <c r="I1933" i="1" s="1"/>
  <c r="K1933" i="1"/>
  <c r="K1604" i="1"/>
  <c r="L1613" i="1"/>
  <c r="I1613" i="1" s="1"/>
  <c r="K1621" i="1"/>
  <c r="K1636" i="1"/>
  <c r="L1638" i="1"/>
  <c r="I1638" i="1" s="1"/>
  <c r="L1645" i="1"/>
  <c r="I1645" i="1" s="1"/>
  <c r="K1653" i="1"/>
  <c r="K1668" i="1"/>
  <c r="L1670" i="1"/>
  <c r="I1670" i="1" s="1"/>
  <c r="L1677" i="1"/>
  <c r="I1677" i="1" s="1"/>
  <c r="K1685" i="1"/>
  <c r="K1696" i="1"/>
  <c r="M1701" i="1"/>
  <c r="K1706" i="1"/>
  <c r="L1724" i="1"/>
  <c r="I1724" i="1" s="1"/>
  <c r="M1727" i="1"/>
  <c r="K1732" i="1"/>
  <c r="M1735" i="1"/>
  <c r="M1741" i="1"/>
  <c r="K1758" i="1"/>
  <c r="M1780" i="1"/>
  <c r="L1814" i="1"/>
  <c r="I1814" i="1" s="1"/>
  <c r="M1828" i="1"/>
  <c r="M1933" i="1"/>
  <c r="L1611" i="1"/>
  <c r="I1611" i="1" s="1"/>
  <c r="K1619" i="1"/>
  <c r="L1643" i="1"/>
  <c r="I1643" i="1" s="1"/>
  <c r="K1651" i="1"/>
  <c r="L1675" i="1"/>
  <c r="I1675" i="1" s="1"/>
  <c r="K1683" i="1"/>
  <c r="L1704" i="1"/>
  <c r="I1704" i="1" s="1"/>
  <c r="K1704" i="1"/>
  <c r="K1717" i="1"/>
  <c r="M1738" i="1"/>
  <c r="L1738" i="1"/>
  <c r="I1738" i="1" s="1"/>
  <c r="K1738" i="1"/>
  <c r="K1744" i="1"/>
  <c r="K1752" i="1"/>
  <c r="K1765" i="1"/>
  <c r="K1768" i="1"/>
  <c r="L1768" i="1"/>
  <c r="I1768" i="1" s="1"/>
  <c r="L1930" i="1"/>
  <c r="I1930" i="1" s="1"/>
  <c r="K1930" i="1"/>
  <c r="M1784" i="1"/>
  <c r="M1816" i="1"/>
  <c r="M1831" i="1"/>
  <c r="L1861" i="1"/>
  <c r="I1861" i="1" s="1"/>
  <c r="K1861" i="1"/>
  <c r="L1872" i="1"/>
  <c r="I1872" i="1" s="1"/>
  <c r="K1872" i="1"/>
  <c r="L1875" i="1"/>
  <c r="I1875" i="1" s="1"/>
  <c r="K1875" i="1"/>
  <c r="L1889" i="1"/>
  <c r="I1889" i="1" s="1"/>
  <c r="K1889" i="1"/>
  <c r="M1921" i="1"/>
  <c r="L1939" i="1"/>
  <c r="I1939" i="1" s="1"/>
  <c r="K1939" i="1"/>
  <c r="K1772" i="1"/>
  <c r="K1804" i="1"/>
  <c r="L1825" i="1"/>
  <c r="I1825" i="1" s="1"/>
  <c r="K1825" i="1"/>
  <c r="L1851" i="1"/>
  <c r="I1851" i="1" s="1"/>
  <c r="K1851" i="1"/>
  <c r="L1858" i="1"/>
  <c r="I1858" i="1" s="1"/>
  <c r="K1858" i="1"/>
  <c r="M1889" i="1"/>
  <c r="L1907" i="1"/>
  <c r="I1907" i="1" s="1"/>
  <c r="K1907" i="1"/>
  <c r="L1936" i="1"/>
  <c r="I1936" i="1" s="1"/>
  <c r="K1936" i="1"/>
  <c r="L1968" i="1"/>
  <c r="I1968" i="1" s="1"/>
  <c r="L1986" i="1"/>
  <c r="I1986" i="1" s="1"/>
  <c r="M1782" i="1"/>
  <c r="L1789" i="1"/>
  <c r="I1789" i="1" s="1"/>
  <c r="K1792" i="1"/>
  <c r="K1799" i="1"/>
  <c r="M1814" i="1"/>
  <c r="M1838" i="1"/>
  <c r="M1904" i="1"/>
  <c r="K1770" i="1"/>
  <c r="L1794" i="1"/>
  <c r="I1794" i="1" s="1"/>
  <c r="K1802" i="1"/>
  <c r="M1832" i="1"/>
  <c r="L1835" i="1"/>
  <c r="I1835" i="1" s="1"/>
  <c r="K1835" i="1"/>
  <c r="L1869" i="1"/>
  <c r="I1869" i="1" s="1"/>
  <c r="K1869" i="1"/>
  <c r="L1983" i="1"/>
  <c r="I1983" i="1" s="1"/>
  <c r="K1748" i="1"/>
  <c r="K1775" i="1"/>
  <c r="M1790" i="1"/>
  <c r="L1792" i="1"/>
  <c r="I1792" i="1" s="1"/>
  <c r="L1797" i="1"/>
  <c r="I1797" i="1" s="1"/>
  <c r="M1829" i="1"/>
  <c r="K1832" i="1"/>
  <c r="L1898" i="1"/>
  <c r="I1898" i="1" s="1"/>
  <c r="K1898" i="1"/>
  <c r="M1901" i="1"/>
  <c r="M1930" i="1"/>
  <c r="M1962" i="1"/>
  <c r="K1962" i="1"/>
  <c r="K1766" i="1"/>
  <c r="L1770" i="1"/>
  <c r="I1770" i="1" s="1"/>
  <c r="K1778" i="1"/>
  <c r="M1800" i="1"/>
  <c r="L1802" i="1"/>
  <c r="I1802" i="1" s="1"/>
  <c r="K1810" i="1"/>
  <c r="L1823" i="1"/>
  <c r="I1823" i="1" s="1"/>
  <c r="K1823" i="1"/>
  <c r="L1846" i="1"/>
  <c r="I1846" i="1" s="1"/>
  <c r="L1870" i="1"/>
  <c r="I1870" i="1" s="1"/>
  <c r="K1870" i="1"/>
  <c r="M1898" i="1"/>
  <c r="L1916" i="1"/>
  <c r="I1916" i="1" s="1"/>
  <c r="K1916" i="1"/>
  <c r="M1980" i="1"/>
  <c r="K1980" i="1"/>
  <c r="L1849" i="1"/>
  <c r="I1849" i="1" s="1"/>
  <c r="K1849" i="1"/>
  <c r="L1863" i="1"/>
  <c r="I1863" i="1" s="1"/>
  <c r="K1863" i="1"/>
  <c r="L1884" i="1"/>
  <c r="I1884" i="1" s="1"/>
  <c r="K1884" i="1"/>
  <c r="K1725" i="1"/>
  <c r="K1757" i="1"/>
  <c r="K1773" i="1"/>
  <c r="M1788" i="1"/>
  <c r="L1795" i="1"/>
  <c r="I1795" i="1" s="1"/>
  <c r="K1805" i="1"/>
  <c r="L1840" i="1"/>
  <c r="I1840" i="1" s="1"/>
  <c r="M1849" i="1"/>
  <c r="M1863" i="1"/>
  <c r="M1884" i="1"/>
  <c r="L1927" i="1"/>
  <c r="I1927" i="1" s="1"/>
  <c r="K1927" i="1"/>
  <c r="K1708" i="1"/>
  <c r="K1740" i="1"/>
  <c r="K1776" i="1"/>
  <c r="K1783" i="1"/>
  <c r="M1798" i="1"/>
  <c r="L1800" i="1"/>
  <c r="I1800" i="1" s="1"/>
  <c r="K1808" i="1"/>
  <c r="L1843" i="1"/>
  <c r="I1843" i="1" s="1"/>
  <c r="K1843" i="1"/>
  <c r="M1860" i="1"/>
  <c r="L1895" i="1"/>
  <c r="I1895" i="1" s="1"/>
  <c r="K1895" i="1"/>
  <c r="M1927" i="1"/>
  <c r="L1755" i="1"/>
  <c r="I1755" i="1" s="1"/>
  <c r="M1786" i="1"/>
  <c r="L1788" i="1"/>
  <c r="I1788" i="1" s="1"/>
  <c r="M1818" i="1"/>
  <c r="L1824" i="1"/>
  <c r="I1824" i="1" s="1"/>
  <c r="K1824" i="1"/>
  <c r="L1834" i="1"/>
  <c r="I1834" i="1" s="1"/>
  <c r="L1857" i="1"/>
  <c r="I1857" i="1" s="1"/>
  <c r="K1857" i="1"/>
  <c r="M1892" i="1"/>
  <c r="L1764" i="1"/>
  <c r="I1764" i="1" s="1"/>
  <c r="K1774" i="1"/>
  <c r="M1796" i="1"/>
  <c r="L1798" i="1"/>
  <c r="I1798" i="1" s="1"/>
  <c r="K1806" i="1"/>
  <c r="M1824" i="1"/>
  <c r="L1837" i="1"/>
  <c r="I1837" i="1" s="1"/>
  <c r="K1837" i="1"/>
  <c r="K1840" i="1"/>
  <c r="L1847" i="1"/>
  <c r="I1847" i="1" s="1"/>
  <c r="K1847" i="1"/>
  <c r="M1857" i="1"/>
  <c r="K1860" i="1"/>
  <c r="M1878" i="1"/>
  <c r="L1910" i="1"/>
  <c r="I1910" i="1" s="1"/>
  <c r="K1910" i="1"/>
  <c r="M1942" i="1"/>
  <c r="K1942" i="1"/>
  <c r="L1953" i="1"/>
  <c r="I1953" i="1" s="1"/>
  <c r="K1953" i="1"/>
  <c r="K1956" i="1"/>
  <c r="M1974" i="1"/>
  <c r="K1974" i="1"/>
  <c r="L1915" i="1"/>
  <c r="I1915" i="1" s="1"/>
  <c r="K1915" i="1"/>
  <c r="L1924" i="1"/>
  <c r="I1924" i="1" s="1"/>
  <c r="L1947" i="1"/>
  <c r="I1947" i="1" s="1"/>
  <c r="K1947" i="1"/>
  <c r="L1956" i="1"/>
  <c r="I1956" i="1" s="1"/>
  <c r="M1875" i="1"/>
  <c r="L1881" i="1"/>
  <c r="I1881" i="1" s="1"/>
  <c r="K1881" i="1"/>
  <c r="L1890" i="1"/>
  <c r="I1890" i="1" s="1"/>
  <c r="M1907" i="1"/>
  <c r="L1913" i="1"/>
  <c r="I1913" i="1" s="1"/>
  <c r="K1913" i="1"/>
  <c r="L1922" i="1"/>
  <c r="I1922" i="1" s="1"/>
  <c r="M1939" i="1"/>
  <c r="L1945" i="1"/>
  <c r="I1945" i="1" s="1"/>
  <c r="K1945" i="1"/>
  <c r="L1954" i="1"/>
  <c r="I1954" i="1" s="1"/>
  <c r="L1864" i="1"/>
  <c r="I1864" i="1" s="1"/>
  <c r="L1887" i="1"/>
  <c r="I1887" i="1" s="1"/>
  <c r="K1887" i="1"/>
  <c r="L1896" i="1"/>
  <c r="I1896" i="1" s="1"/>
  <c r="L1919" i="1"/>
  <c r="I1919" i="1" s="1"/>
  <c r="K1919" i="1"/>
  <c r="L1928" i="1"/>
  <c r="I1928" i="1" s="1"/>
  <c r="M1945" i="1"/>
  <c r="L1951" i="1"/>
  <c r="I1951" i="1" s="1"/>
  <c r="K1951" i="1"/>
  <c r="L1960" i="1"/>
  <c r="I1960" i="1" s="1"/>
  <c r="L1893" i="1"/>
  <c r="I1893" i="1" s="1"/>
  <c r="K1893" i="1"/>
  <c r="L1925" i="1"/>
  <c r="I1925" i="1" s="1"/>
  <c r="K1925" i="1"/>
  <c r="M1861" i="1"/>
  <c r="L1867" i="1"/>
  <c r="I1867" i="1" s="1"/>
  <c r="K1867" i="1"/>
  <c r="M1893" i="1"/>
  <c r="L1899" i="1"/>
  <c r="I1899" i="1" s="1"/>
  <c r="K1899" i="1"/>
  <c r="M1925" i="1"/>
  <c r="L1931" i="1"/>
  <c r="I1931" i="1" s="1"/>
  <c r="K1931" i="1"/>
  <c r="K1948" i="1"/>
  <c r="L1821" i="1"/>
  <c r="I1821" i="1" s="1"/>
  <c r="K1821" i="1"/>
  <c r="M1835" i="1"/>
  <c r="L1841" i="1"/>
  <c r="I1841" i="1" s="1"/>
  <c r="K1841" i="1"/>
  <c r="L1850" i="1"/>
  <c r="I1850" i="1" s="1"/>
  <c r="M1867" i="1"/>
  <c r="L1873" i="1"/>
  <c r="I1873" i="1" s="1"/>
  <c r="K1873" i="1"/>
  <c r="L1882" i="1"/>
  <c r="I1882" i="1" s="1"/>
  <c r="K1890" i="1"/>
  <c r="M1899" i="1"/>
  <c r="L1905" i="1"/>
  <c r="I1905" i="1" s="1"/>
  <c r="K1905" i="1"/>
  <c r="L1914" i="1"/>
  <c r="I1914" i="1" s="1"/>
  <c r="K1922" i="1"/>
  <c r="M1931" i="1"/>
  <c r="L1937" i="1"/>
  <c r="I1937" i="1" s="1"/>
  <c r="K1937" i="1"/>
  <c r="L1946" i="1"/>
  <c r="I1946" i="1" s="1"/>
  <c r="K1954" i="1"/>
  <c r="L1969" i="1"/>
  <c r="I1969" i="1" s="1"/>
  <c r="L1978" i="1"/>
  <c r="I1978" i="1" s="1"/>
  <c r="L1981" i="1"/>
  <c r="I1981" i="1" s="1"/>
  <c r="L1856" i="1"/>
  <c r="I1856" i="1" s="1"/>
  <c r="K1864" i="1"/>
  <c r="L1879" i="1"/>
  <c r="I1879" i="1" s="1"/>
  <c r="K1879" i="1"/>
  <c r="L1888" i="1"/>
  <c r="I1888" i="1" s="1"/>
  <c r="K1896" i="1"/>
  <c r="L1911" i="1"/>
  <c r="I1911" i="1" s="1"/>
  <c r="K1911" i="1"/>
  <c r="L1920" i="1"/>
  <c r="I1920" i="1" s="1"/>
  <c r="K1928" i="1"/>
  <c r="L1943" i="1"/>
  <c r="I1943" i="1" s="1"/>
  <c r="K1943" i="1"/>
  <c r="L1952" i="1"/>
  <c r="I1952" i="1" s="1"/>
  <c r="K1960" i="1"/>
  <c r="K1984" i="1"/>
  <c r="L1830" i="1"/>
  <c r="I1830" i="1" s="1"/>
  <c r="M1847" i="1"/>
  <c r="L1853" i="1"/>
  <c r="I1853" i="1" s="1"/>
  <c r="K1853" i="1"/>
  <c r="L1862" i="1"/>
  <c r="I1862" i="1" s="1"/>
  <c r="M1879" i="1"/>
  <c r="L1885" i="1"/>
  <c r="I1885" i="1" s="1"/>
  <c r="K1885" i="1"/>
  <c r="L1894" i="1"/>
  <c r="I1894" i="1" s="1"/>
  <c r="K1902" i="1"/>
  <c r="M1911" i="1"/>
  <c r="L1917" i="1"/>
  <c r="I1917" i="1" s="1"/>
  <c r="K1917" i="1"/>
  <c r="L1926" i="1"/>
  <c r="I1926" i="1" s="1"/>
  <c r="K1934" i="1"/>
  <c r="M1943" i="1"/>
  <c r="L1949" i="1"/>
  <c r="I1949" i="1" s="1"/>
  <c r="K1949" i="1"/>
  <c r="L1958" i="1"/>
  <c r="I1958" i="1" s="1"/>
  <c r="K1966" i="1"/>
  <c r="L1827" i="1"/>
  <c r="I1827" i="1" s="1"/>
  <c r="K1827" i="1"/>
  <c r="L1836" i="1"/>
  <c r="I1836" i="1" s="1"/>
  <c r="K1844" i="1"/>
  <c r="M1853" i="1"/>
  <c r="L1859" i="1"/>
  <c r="I1859" i="1" s="1"/>
  <c r="K1859" i="1"/>
  <c r="L1868" i="1"/>
  <c r="I1868" i="1" s="1"/>
  <c r="K1876" i="1"/>
  <c r="M1885" i="1"/>
  <c r="L1891" i="1"/>
  <c r="I1891" i="1" s="1"/>
  <c r="K1891" i="1"/>
  <c r="L1900" i="1"/>
  <c r="I1900" i="1" s="1"/>
  <c r="K1908" i="1"/>
  <c r="M1917" i="1"/>
  <c r="L1923" i="1"/>
  <c r="I1923" i="1" s="1"/>
  <c r="K1923" i="1"/>
  <c r="L1932" i="1"/>
  <c r="I1932" i="1" s="1"/>
  <c r="K1940" i="1"/>
  <c r="M1949" i="1"/>
  <c r="L1955" i="1"/>
  <c r="I1955" i="1" s="1"/>
  <c r="L1964" i="1"/>
  <c r="I1964" i="1" s="1"/>
  <c r="K1972" i="1"/>
  <c r="K1978" i="1"/>
  <c r="L1819" i="1"/>
  <c r="I1819" i="1" s="1"/>
  <c r="K1819" i="1"/>
  <c r="L1833" i="1"/>
  <c r="I1833" i="1" s="1"/>
  <c r="K1833" i="1"/>
  <c r="L1842" i="1"/>
  <c r="I1842" i="1" s="1"/>
  <c r="K1850" i="1"/>
  <c r="L1865" i="1"/>
  <c r="I1865" i="1" s="1"/>
  <c r="K1865" i="1"/>
  <c r="L1874" i="1"/>
  <c r="I1874" i="1" s="1"/>
  <c r="K1882" i="1"/>
  <c r="L1897" i="1"/>
  <c r="I1897" i="1" s="1"/>
  <c r="K1897" i="1"/>
  <c r="L1906" i="1"/>
  <c r="I1906" i="1" s="1"/>
  <c r="K1914" i="1"/>
  <c r="L1929" i="1"/>
  <c r="I1929" i="1" s="1"/>
  <c r="K1929" i="1"/>
  <c r="L1938" i="1"/>
  <c r="I1938" i="1" s="1"/>
  <c r="K1946" i="1"/>
  <c r="L1961" i="1"/>
  <c r="I1961" i="1" s="1"/>
  <c r="L1970" i="1"/>
  <c r="I1970" i="1" s="1"/>
  <c r="L1982" i="1"/>
  <c r="I1982" i="1" s="1"/>
  <c r="L1985" i="1"/>
  <c r="I1985" i="1" s="1"/>
  <c r="L1822" i="1"/>
  <c r="I1822" i="1" s="1"/>
  <c r="L1839" i="1"/>
  <c r="I1839" i="1" s="1"/>
  <c r="K1839" i="1"/>
  <c r="L1848" i="1"/>
  <c r="I1848" i="1" s="1"/>
  <c r="K1856" i="1"/>
  <c r="L1871" i="1"/>
  <c r="I1871" i="1" s="1"/>
  <c r="K1871" i="1"/>
  <c r="L1880" i="1"/>
  <c r="I1880" i="1" s="1"/>
  <c r="K1888" i="1"/>
  <c r="L1903" i="1"/>
  <c r="I1903" i="1" s="1"/>
  <c r="K1903" i="1"/>
  <c r="L1912" i="1"/>
  <c r="I1912" i="1" s="1"/>
  <c r="K1920" i="1"/>
  <c r="L1935" i="1"/>
  <c r="I1935" i="1" s="1"/>
  <c r="K1935" i="1"/>
  <c r="L1944" i="1"/>
  <c r="I1944" i="1" s="1"/>
  <c r="K1952" i="1"/>
  <c r="L1967" i="1"/>
  <c r="I1967" i="1" s="1"/>
  <c r="L1976" i="1"/>
  <c r="I1976" i="1" s="1"/>
  <c r="K1830" i="1"/>
  <c r="M1839" i="1"/>
  <c r="L1845" i="1"/>
  <c r="I1845" i="1" s="1"/>
  <c r="K1845" i="1"/>
  <c r="L1854" i="1"/>
  <c r="I1854" i="1" s="1"/>
  <c r="K1862" i="1"/>
  <c r="M1871" i="1"/>
  <c r="L1877" i="1"/>
  <c r="I1877" i="1" s="1"/>
  <c r="K1877" i="1"/>
  <c r="L1886" i="1"/>
  <c r="I1886" i="1" s="1"/>
  <c r="K1894" i="1"/>
  <c r="M1903" i="1"/>
  <c r="L1909" i="1"/>
  <c r="I1909" i="1" s="1"/>
  <c r="K1909" i="1"/>
  <c r="L1918" i="1"/>
  <c r="I1918" i="1" s="1"/>
  <c r="K1926" i="1"/>
  <c r="M1935" i="1"/>
  <c r="L1941" i="1"/>
  <c r="I1941" i="1" s="1"/>
  <c r="K1941" i="1"/>
  <c r="L1950" i="1"/>
  <c r="I1950" i="1" s="1"/>
  <c r="L1973" i="1"/>
  <c r="I1973" i="1" s="1"/>
  <c r="L1979" i="1"/>
  <c r="I1979" i="1" s="1"/>
  <c r="K1955" i="1"/>
  <c r="K1957" i="1"/>
  <c r="K1959" i="1"/>
  <c r="K1961" i="1"/>
  <c r="K1963" i="1"/>
  <c r="K1965" i="1"/>
  <c r="K1967" i="1"/>
  <c r="K1969" i="1"/>
  <c r="K1971" i="1"/>
  <c r="K1973" i="1"/>
  <c r="K1975" i="1"/>
  <c r="K1977" i="1"/>
  <c r="K1979" i="1"/>
  <c r="K1981" i="1"/>
  <c r="K1983" i="1"/>
  <c r="K1985" i="1"/>
  <c r="K1987" i="1"/>
  <c r="K1988" i="1"/>
</calcChain>
</file>

<file path=xl/sharedStrings.xml><?xml version="1.0" encoding="utf-8"?>
<sst xmlns="http://schemas.openxmlformats.org/spreadsheetml/2006/main" count="131" uniqueCount="101">
  <si>
    <t>Molly Bachman</t>
  </si>
  <si>
    <t>First Name</t>
  </si>
  <si>
    <t>Last Name</t>
  </si>
  <si>
    <t>Jenna Bisset</t>
  </si>
  <si>
    <t>Molly</t>
  </si>
  <si>
    <t>Bachman</t>
  </si>
  <si>
    <t>Abby Buys</t>
  </si>
  <si>
    <t>Jenna</t>
  </si>
  <si>
    <t>Bisset</t>
  </si>
  <si>
    <t>Gianna Masinter</t>
  </si>
  <si>
    <t>Abby</t>
  </si>
  <si>
    <t>Buys</t>
  </si>
  <si>
    <t>Emma Naftzger</t>
  </si>
  <si>
    <t>Gianna</t>
  </si>
  <si>
    <t>Masinter</t>
  </si>
  <si>
    <t>Grace Nelson</t>
  </si>
  <si>
    <t>Emma</t>
  </si>
  <si>
    <t>Naftzger</t>
  </si>
  <si>
    <t>Nicole Ross</t>
  </si>
  <si>
    <t>Grace</t>
  </si>
  <si>
    <t>Nelson</t>
  </si>
  <si>
    <t>Priya Torres</t>
  </si>
  <si>
    <t>Nicole</t>
  </si>
  <si>
    <t>Ross</t>
  </si>
  <si>
    <t>Madison Khan</t>
  </si>
  <si>
    <t>Priya</t>
  </si>
  <si>
    <t>Torres</t>
  </si>
  <si>
    <t>Juliet Thrapp</t>
  </si>
  <si>
    <t>Madison</t>
  </si>
  <si>
    <t>Khan</t>
  </si>
  <si>
    <t>Leah Uezato</t>
  </si>
  <si>
    <t>Juliet</t>
  </si>
  <si>
    <t>Thrapp</t>
  </si>
  <si>
    <t>Kylee Jerome</t>
  </si>
  <si>
    <t>Leah</t>
  </si>
  <si>
    <t>Uezato</t>
  </si>
  <si>
    <t>Madelyn Saruwatari</t>
  </si>
  <si>
    <t>Kylee</t>
  </si>
  <si>
    <t>Jerome</t>
  </si>
  <si>
    <t>Jade Vacheck</t>
  </si>
  <si>
    <t>Madelyn</t>
  </si>
  <si>
    <t>Saruwatari</t>
  </si>
  <si>
    <t>Beatrice Levi</t>
  </si>
  <si>
    <t>Jade</t>
  </si>
  <si>
    <t>Vacheck</t>
  </si>
  <si>
    <t>Madilyn Audet</t>
  </si>
  <si>
    <t>Beatrice</t>
  </si>
  <si>
    <t>Levi</t>
  </si>
  <si>
    <t>Kody McKinney</t>
  </si>
  <si>
    <t>Madilyn</t>
  </si>
  <si>
    <t>Audet</t>
  </si>
  <si>
    <t>Emma Blakely</t>
  </si>
  <si>
    <t>Kody</t>
  </si>
  <si>
    <t>McKinney</t>
  </si>
  <si>
    <t>Hayley "Lehua" Hanawahine</t>
  </si>
  <si>
    <t>Blakely</t>
  </si>
  <si>
    <t>Shaylen Greff</t>
  </si>
  <si>
    <t>Hayley "Lehua"</t>
  </si>
  <si>
    <t>Hanawahine</t>
  </si>
  <si>
    <t>Tessa Anastasi</t>
  </si>
  <si>
    <t>Shaylen</t>
  </si>
  <si>
    <t>Greff</t>
  </si>
  <si>
    <t>Lila Jones</t>
  </si>
  <si>
    <t>Tessa</t>
  </si>
  <si>
    <t>Anastasi</t>
  </si>
  <si>
    <t>Kaleia Coughlin</t>
  </si>
  <si>
    <t>Lila</t>
  </si>
  <si>
    <t>Jones</t>
  </si>
  <si>
    <t>Hannah Boelscher</t>
  </si>
  <si>
    <t>Kaleia</t>
  </si>
  <si>
    <t>Coughlin</t>
  </si>
  <si>
    <t>Cameron Simmons</t>
  </si>
  <si>
    <t>Hannah</t>
  </si>
  <si>
    <t>Boelscher</t>
  </si>
  <si>
    <t>Abby Wright</t>
  </si>
  <si>
    <t>Cameron</t>
  </si>
  <si>
    <t>Simmons</t>
  </si>
  <si>
    <t>Ava Heil</t>
  </si>
  <si>
    <t>Wright</t>
  </si>
  <si>
    <t>Riley Johnson</t>
  </si>
  <si>
    <t>Ava</t>
  </si>
  <si>
    <t>Heil</t>
  </si>
  <si>
    <t>Riley</t>
  </si>
  <si>
    <t>Johnson</t>
  </si>
  <si>
    <t>False = No match</t>
  </si>
  <si>
    <t>True = Game day or Game day -1</t>
  </si>
  <si>
    <t>Date</t>
  </si>
  <si>
    <t>Match</t>
  </si>
  <si>
    <t>Player Name</t>
  </si>
  <si>
    <t>CMJ 1</t>
  </si>
  <si>
    <t>CMJ 2</t>
  </si>
  <si>
    <t>CMJ 3</t>
  </si>
  <si>
    <t>Average</t>
  </si>
  <si>
    <t>Rolling Baseline</t>
  </si>
  <si>
    <t>Readiness Score</t>
  </si>
  <si>
    <t>Consecutive Days</t>
  </si>
  <si>
    <t>Difference</t>
  </si>
  <si>
    <t>Z-Score</t>
  </si>
  <si>
    <t>% Change</t>
  </si>
  <si>
    <t>#ERROR!</t>
  </si>
  <si>
    <t>Rolling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</si>
</sst>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d&quot;, &quot;mmmm&quot; &quot;d&quot;, &quot;yyyy"/>
  </numFmts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3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14" fontId="1" fillId="2" borderId="3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14" fontId="1" fillId="0" borderId="3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3" fillId="0" borderId="1" xfId="0" applyFont="1" applyBorder="1"/>
    <xf numFmtId="49" fontId="3" fillId="0" borderId="2" xfId="0" applyNumberFormat="1" applyFont="1" applyBorder="1"/>
    <xf numFmtId="0" fontId="3" fillId="0" borderId="2" xfId="0" applyFont="1" applyBorder="1"/>
    <xf numFmtId="4" fontId="3" fillId="0" borderId="2" xfId="0" applyNumberFormat="1" applyFont="1" applyBorder="1"/>
    <xf numFmtId="0" fontId="3" fillId="0" borderId="4" xfId="0" applyFont="1" applyBorder="1"/>
    <xf numFmtId="14" fontId="1" fillId="0" borderId="1" xfId="0" applyNumberFormat="1" applyFont="1" applyBorder="1" applyAlignment="1">
      <alignment horizontal="right"/>
    </xf>
    <xf numFmtId="4" fontId="1" fillId="2" borderId="2" xfId="0" applyNumberFormat="1" applyFont="1" applyFill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14" fontId="2" fillId="0" borderId="0" xfId="0" applyNumberFormat="1" applyFont="1"/>
    <xf numFmtId="4" fontId="1" fillId="2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5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2" fillId="0" borderId="7" xfId="0" applyFont="1" applyBorder="1"/>
    <xf numFmtId="4" fontId="1" fillId="2" borderId="7" xfId="0" applyNumberFormat="1" applyFont="1" applyFill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10" fontId="1" fillId="0" borderId="7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2" fillId="0" borderId="2" xfId="0" applyFont="1" applyBorder="1"/>
    <xf numFmtId="4" fontId="1" fillId="2" borderId="0" xfId="0" applyNumberFormat="1" applyFont="1" applyFill="1"/>
    <xf numFmtId="0" fontId="1" fillId="0" borderId="0" xfId="0" applyFont="1"/>
    <xf numFmtId="4" fontId="1" fillId="0" borderId="0" xfId="0" applyNumberFormat="1" applyFont="1"/>
    <xf numFmtId="164" fontId="4" fillId="0" borderId="9" xfId="0" applyNumberFormat="1" applyFont="1" applyBorder="1" applyAlignment="1">
      <alignment horizontal="center" textRotation="90"/>
    </xf>
    <xf numFmtId="14" fontId="1" fillId="2" borderId="0" xfId="0" applyNumberFormat="1" applyFont="1" applyFill="1"/>
    <xf numFmtId="4" fontId="1" fillId="0" borderId="10" xfId="0" applyNumberFormat="1" applyFont="1" applyBorder="1" applyAlignment="1">
      <alignment horizontal="center"/>
    </xf>
    <xf numFmtId="164" fontId="4" fillId="2" borderId="9" xfId="0" applyNumberFormat="1" applyFont="1" applyFill="1" applyBorder="1" applyAlignment="1">
      <alignment horizontal="center" textRotation="90"/>
    </xf>
    <xf numFmtId="164" fontId="4" fillId="0" borderId="3" xfId="0" applyNumberFormat="1" applyFont="1" applyBorder="1" applyAlignment="1">
      <alignment horizontal="center" textRotation="90"/>
    </xf>
    <xf numFmtId="164" fontId="4" fillId="2" borderId="3" xfId="0" applyNumberFormat="1" applyFont="1" applyFill="1" applyBorder="1" applyAlignment="1">
      <alignment horizontal="center" textRotation="90"/>
    </xf>
    <xf numFmtId="0" fontId="1" fillId="2" borderId="0" xfId="0" applyFont="1" applyFill="1"/>
    <xf numFmtId="1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236">
    <dxf>
      <fill>
        <patternFill patternType="solid">
          <fgColor rgb="FFFFE599"/>
          <bgColor rgb="FFFFE5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15">
    <tableStyle name="Roster Formatting-style" pivot="0" count="2" xr9:uid="{00000000-0011-0000-FFFF-FFFF00000000}">
      <tableStyleElement type="firstRowStripe" dxfId="235"/>
      <tableStyleElement type="secondRowStripe" dxfId="234"/>
    </tableStyle>
    <tableStyle name="Roster Formatting-style 2" pivot="0" count="2" xr9:uid="{00000000-0011-0000-FFFF-FFFF01000000}">
      <tableStyleElement type="firstRowStripe" dxfId="233"/>
      <tableStyleElement type="secondRowStripe" dxfId="232"/>
    </tableStyle>
    <tableStyle name="Roster Formatting-style 3" pivot="0" count="2" xr9:uid="{00000000-0011-0000-FFFF-FFFF02000000}">
      <tableStyleElement type="firstRowStripe" dxfId="231"/>
      <tableStyleElement type="secondRowStripe" dxfId="230"/>
    </tableStyle>
    <tableStyle name="Roster Formatting-style 4" pivot="0" count="2" xr9:uid="{00000000-0011-0000-FFFF-FFFF03000000}">
      <tableStyleElement type="firstRowStripe" dxfId="229"/>
      <tableStyleElement type="secondRowStripe" dxfId="228"/>
    </tableStyle>
    <tableStyle name="Roster Formatting-style 5" pivot="0" count="2" xr9:uid="{00000000-0011-0000-FFFF-FFFF04000000}">
      <tableStyleElement type="firstRowStripe" dxfId="227"/>
      <tableStyleElement type="secondRowStripe" dxfId="226"/>
    </tableStyle>
    <tableStyle name="CMJ Readiness-style" pivot="0" count="2" xr9:uid="{00000000-0011-0000-FFFF-FFFF05000000}">
      <tableStyleElement type="firstRowStripe" dxfId="225"/>
      <tableStyleElement type="secondRowStripe" dxfId="224"/>
    </tableStyle>
    <tableStyle name="CMJ Readiness-style 2" pivot="0" count="2" xr9:uid="{00000000-0011-0000-FFFF-FFFF06000000}">
      <tableStyleElement type="firstRowStripe" dxfId="223"/>
      <tableStyleElement type="secondRowStripe" dxfId="222"/>
    </tableStyle>
    <tableStyle name="CMJ Readiness-style 3" pivot="0" count="2" xr9:uid="{00000000-0011-0000-FFFF-FFFF07000000}">
      <tableStyleElement type="firstRowStripe" dxfId="221"/>
      <tableStyleElement type="secondRowStripe" dxfId="220"/>
    </tableStyle>
    <tableStyle name="CMJ Readiness-style 4" pivot="0" count="2" xr9:uid="{00000000-0011-0000-FFFF-FFFF08000000}">
      <tableStyleElement type="firstRowStripe" dxfId="219"/>
      <tableStyleElement type="secondRowStripe" dxfId="218"/>
    </tableStyle>
    <tableStyle name="CMJ Readiness-style 5" pivot="0" count="2" xr9:uid="{00000000-0011-0000-FFFF-FFFF09000000}">
      <tableStyleElement type="firstRowStripe" dxfId="217"/>
      <tableStyleElement type="secondRowStripe" dxfId="216"/>
    </tableStyle>
    <tableStyle name="CMJ Readiness-style 6" pivot="0" count="2" xr9:uid="{00000000-0011-0000-FFFF-FFFF0A000000}">
      <tableStyleElement type="firstRowStripe" dxfId="215"/>
      <tableStyleElement type="secondRowStripe" dxfId="214"/>
    </tableStyle>
    <tableStyle name="CMJ Readiness-style 7" pivot="0" count="2" xr9:uid="{00000000-0011-0000-FFFF-FFFF0B000000}">
      <tableStyleElement type="firstRowStripe" dxfId="213"/>
      <tableStyleElement type="secondRowStripe" dxfId="212"/>
    </tableStyle>
    <tableStyle name="CMJ Readiness-style 8" pivot="0" count="2" xr9:uid="{00000000-0011-0000-FFFF-FFFF0C000000}">
      <tableStyleElement type="firstRowStripe" dxfId="211"/>
      <tableStyleElement type="secondRowStripe" dxfId="210"/>
    </tableStyle>
    <tableStyle name="CMJ Readiness-style 9" pivot="0" count="2" xr9:uid="{00000000-0011-0000-FFFF-FFFF0D000000}">
      <tableStyleElement type="firstRowStripe" dxfId="209"/>
      <tableStyleElement type="secondRowStripe" dxfId="208"/>
    </tableStyle>
    <tableStyle name="CMJ Readiness-style 10" pivot="0" count="2" xr9:uid="{00000000-0011-0000-FFFF-FFFF0E000000}">
      <tableStyleElement type="firstRowStripe" dxfId="207"/>
      <tableStyleElement type="secondRowStripe" dxfId="206"/>
    </tableStyle>
    <tableStyle name="CMJ Readiness-style 11" pivot="0" count="2" xr9:uid="{00000000-0011-0000-FFFF-FFFF0F000000}">
      <tableStyleElement type="firstRowStripe" dxfId="205"/>
      <tableStyleElement type="secondRowStripe" dxfId="204"/>
    </tableStyle>
    <tableStyle name="CMJ Readiness-style 12" pivot="0" count="2" xr9:uid="{00000000-0011-0000-FFFF-FFFF10000000}">
      <tableStyleElement type="firstRowStripe" dxfId="203"/>
      <tableStyleElement type="secondRowStripe" dxfId="202"/>
    </tableStyle>
    <tableStyle name="CMJ Readiness-style 13" pivot="0" count="2" xr9:uid="{00000000-0011-0000-FFFF-FFFF11000000}">
      <tableStyleElement type="firstRowStripe" dxfId="201"/>
      <tableStyleElement type="secondRowStripe" dxfId="200"/>
    </tableStyle>
    <tableStyle name="CMJ Readiness-style 14" pivot="0" count="2" xr9:uid="{00000000-0011-0000-FFFF-FFFF12000000}">
      <tableStyleElement type="firstRowStripe" dxfId="199"/>
      <tableStyleElement type="secondRowStripe" dxfId="198"/>
    </tableStyle>
    <tableStyle name="CMJ Readiness-style 15" pivot="0" count="2" xr9:uid="{00000000-0011-0000-FFFF-FFFF13000000}">
      <tableStyleElement type="firstRowStripe" dxfId="197"/>
      <tableStyleElement type="secondRowStripe" dxfId="196"/>
    </tableStyle>
    <tableStyle name="CMJ Readiness-style 16" pivot="0" count="2" xr9:uid="{00000000-0011-0000-FFFF-FFFF14000000}">
      <tableStyleElement type="firstRowStripe" dxfId="195"/>
      <tableStyleElement type="secondRowStripe" dxfId="194"/>
    </tableStyle>
    <tableStyle name="CMJ Readiness-style 17" pivot="0" count="2" xr9:uid="{00000000-0011-0000-FFFF-FFFF15000000}">
      <tableStyleElement type="firstRowStripe" dxfId="193"/>
      <tableStyleElement type="secondRowStripe" dxfId="192"/>
    </tableStyle>
    <tableStyle name="CMJ Readiness-style 18" pivot="0" count="2" xr9:uid="{00000000-0011-0000-FFFF-FFFF16000000}">
      <tableStyleElement type="firstRowStripe" dxfId="191"/>
      <tableStyleElement type="secondRowStripe" dxfId="190"/>
    </tableStyle>
    <tableStyle name="CMJ Readiness-style 19" pivot="0" count="2" xr9:uid="{00000000-0011-0000-FFFF-FFFF17000000}">
      <tableStyleElement type="firstRowStripe" dxfId="189"/>
      <tableStyleElement type="secondRowStripe" dxfId="188"/>
    </tableStyle>
    <tableStyle name="CMJ Readiness-style 20" pivot="0" count="2" xr9:uid="{00000000-0011-0000-FFFF-FFFF18000000}">
      <tableStyleElement type="firstRowStripe" dxfId="187"/>
      <tableStyleElement type="secondRowStripe" dxfId="186"/>
    </tableStyle>
    <tableStyle name="CMJ Readiness-style 21" pivot="0" count="2" xr9:uid="{00000000-0011-0000-FFFF-FFFF19000000}">
      <tableStyleElement type="firstRowStripe" dxfId="185"/>
      <tableStyleElement type="secondRowStripe" dxfId="184"/>
    </tableStyle>
    <tableStyle name="CMJ Readiness-style 22" pivot="0" count="2" xr9:uid="{00000000-0011-0000-FFFF-FFFF1A000000}">
      <tableStyleElement type="firstRowStripe" dxfId="183"/>
      <tableStyleElement type="secondRowStripe" dxfId="182"/>
    </tableStyle>
    <tableStyle name="CMJ Readiness-style 23" pivot="0" count="2" xr9:uid="{00000000-0011-0000-FFFF-FFFF1B000000}">
      <tableStyleElement type="firstRowStripe" dxfId="181"/>
      <tableStyleElement type="secondRowStripe" dxfId="180"/>
    </tableStyle>
    <tableStyle name="CMJ Readiness-style 24" pivot="0" count="2" xr9:uid="{00000000-0011-0000-FFFF-FFFF1C000000}">
      <tableStyleElement type="firstRowStripe" dxfId="179"/>
      <tableStyleElement type="secondRowStripe" dxfId="178"/>
    </tableStyle>
    <tableStyle name="CMJ Readiness-style 25" pivot="0" count="2" xr9:uid="{00000000-0011-0000-FFFF-FFFF1D000000}">
      <tableStyleElement type="firstRowStripe" dxfId="177"/>
      <tableStyleElement type="secondRowStripe" dxfId="176"/>
    </tableStyle>
    <tableStyle name="CMJ Readiness-style 26" pivot="0" count="2" xr9:uid="{00000000-0011-0000-FFFF-FFFF1E000000}">
      <tableStyleElement type="firstRowStripe" dxfId="175"/>
      <tableStyleElement type="secondRowStripe" dxfId="174"/>
    </tableStyle>
    <tableStyle name="CMJ Readiness-style 27" pivot="0" count="2" xr9:uid="{00000000-0011-0000-FFFF-FFFF1F000000}">
      <tableStyleElement type="firstRowStripe" dxfId="173"/>
      <tableStyleElement type="secondRowStripe" dxfId="172"/>
    </tableStyle>
    <tableStyle name="CMJ Readiness-style 28" pivot="0" count="2" xr9:uid="{00000000-0011-0000-FFFF-FFFF20000000}">
      <tableStyleElement type="firstRowStripe" dxfId="171"/>
      <tableStyleElement type="secondRowStripe" dxfId="170"/>
    </tableStyle>
    <tableStyle name="CMJ Readiness-style 29" pivot="0" count="2" xr9:uid="{00000000-0011-0000-FFFF-FFFF21000000}">
      <tableStyleElement type="firstRowStripe" dxfId="169"/>
      <tableStyleElement type="secondRowStripe" dxfId="168"/>
    </tableStyle>
    <tableStyle name="CMJ Readiness-style 30" pivot="0" count="2" xr9:uid="{00000000-0011-0000-FFFF-FFFF22000000}">
      <tableStyleElement type="firstRowStripe" dxfId="167"/>
      <tableStyleElement type="secondRowStripe" dxfId="166"/>
    </tableStyle>
    <tableStyle name="CMJ Readiness-style 31" pivot="0" count="2" xr9:uid="{00000000-0011-0000-FFFF-FFFF23000000}">
      <tableStyleElement type="firstRowStripe" dxfId="165"/>
      <tableStyleElement type="secondRowStripe" dxfId="164"/>
    </tableStyle>
    <tableStyle name="CMJ Readiness-style 32" pivot="0" count="2" xr9:uid="{00000000-0011-0000-FFFF-FFFF24000000}">
      <tableStyleElement type="firstRowStripe" dxfId="163"/>
      <tableStyleElement type="secondRowStripe" dxfId="162"/>
    </tableStyle>
    <tableStyle name="CMJ Readiness-style 33" pivot="0" count="2" xr9:uid="{00000000-0011-0000-FFFF-FFFF25000000}">
      <tableStyleElement type="firstRowStripe" dxfId="161"/>
      <tableStyleElement type="secondRowStripe" dxfId="160"/>
    </tableStyle>
    <tableStyle name="CMJ Readiness-style 34" pivot="0" count="2" xr9:uid="{00000000-0011-0000-FFFF-FFFF26000000}">
      <tableStyleElement type="firstRowStripe" dxfId="159"/>
      <tableStyleElement type="secondRowStripe" dxfId="158"/>
    </tableStyle>
    <tableStyle name="CMJ Readiness-style 35" pivot="0" count="2" xr9:uid="{00000000-0011-0000-FFFF-FFFF27000000}">
      <tableStyleElement type="firstRowStripe" dxfId="157"/>
      <tableStyleElement type="secondRowStripe" dxfId="156"/>
    </tableStyle>
    <tableStyle name="CMJ Readiness-style 36" pivot="0" count="2" xr9:uid="{00000000-0011-0000-FFFF-FFFF28000000}">
      <tableStyleElement type="firstRowStripe" dxfId="155"/>
      <tableStyleElement type="secondRowStripe" dxfId="154"/>
    </tableStyle>
    <tableStyle name="CMJ Readiness-style 37" pivot="0" count="2" xr9:uid="{00000000-0011-0000-FFFF-FFFF29000000}">
      <tableStyleElement type="firstRowStripe" dxfId="153"/>
      <tableStyleElement type="secondRowStripe" dxfId="152"/>
    </tableStyle>
    <tableStyle name="CMJ Readiness-style 38" pivot="0" count="2" xr9:uid="{00000000-0011-0000-FFFF-FFFF2A000000}">
      <tableStyleElement type="firstRowStripe" dxfId="151"/>
      <tableStyleElement type="secondRowStripe" dxfId="150"/>
    </tableStyle>
    <tableStyle name="CMJ Readiness-style 39" pivot="0" count="2" xr9:uid="{00000000-0011-0000-FFFF-FFFF2B000000}">
      <tableStyleElement type="firstRowStripe" dxfId="149"/>
      <tableStyleElement type="secondRowStripe" dxfId="148"/>
    </tableStyle>
    <tableStyle name="CMJ Readiness-style 40" pivot="0" count="2" xr9:uid="{00000000-0011-0000-FFFF-FFFF2C000000}">
      <tableStyleElement type="firstRowStripe" dxfId="147"/>
      <tableStyleElement type="secondRowStripe" dxfId="146"/>
    </tableStyle>
    <tableStyle name="CMJ Readiness-style 41" pivot="0" count="2" xr9:uid="{00000000-0011-0000-FFFF-FFFF2D000000}">
      <tableStyleElement type="firstRowStripe" dxfId="145"/>
      <tableStyleElement type="secondRowStripe" dxfId="144"/>
    </tableStyle>
    <tableStyle name="CMJ Readiness-style 42" pivot="0" count="2" xr9:uid="{00000000-0011-0000-FFFF-FFFF2E000000}">
      <tableStyleElement type="firstRowStripe" dxfId="143"/>
      <tableStyleElement type="secondRowStripe" dxfId="142"/>
    </tableStyle>
    <tableStyle name="CMJ Readiness-style 43" pivot="0" count="2" xr9:uid="{00000000-0011-0000-FFFF-FFFF2F000000}">
      <tableStyleElement type="firstRowStripe" dxfId="141"/>
      <tableStyleElement type="secondRowStripe" dxfId="140"/>
    </tableStyle>
    <tableStyle name="CMJ Readiness-style 44" pivot="0" count="2" xr9:uid="{00000000-0011-0000-FFFF-FFFF30000000}">
      <tableStyleElement type="firstRowStripe" dxfId="139"/>
      <tableStyleElement type="secondRowStripe" dxfId="138"/>
    </tableStyle>
    <tableStyle name="CMJ Readiness-style 45" pivot="0" count="2" xr9:uid="{00000000-0011-0000-FFFF-FFFF31000000}">
      <tableStyleElement type="firstRowStripe" dxfId="137"/>
      <tableStyleElement type="secondRowStripe" dxfId="136"/>
    </tableStyle>
    <tableStyle name="CMJ Readiness-style 46" pivot="0" count="2" xr9:uid="{00000000-0011-0000-FFFF-FFFF32000000}">
      <tableStyleElement type="firstRowStripe" dxfId="135"/>
      <tableStyleElement type="secondRowStripe" dxfId="134"/>
    </tableStyle>
    <tableStyle name="CMJ Readiness-style 47" pivot="0" count="2" xr9:uid="{00000000-0011-0000-FFFF-FFFF33000000}">
      <tableStyleElement type="firstRowStripe" dxfId="133"/>
      <tableStyleElement type="secondRowStripe" dxfId="132"/>
    </tableStyle>
    <tableStyle name="CMJ Readiness-style 48" pivot="0" count="2" xr9:uid="{00000000-0011-0000-FFFF-FFFF34000000}">
      <tableStyleElement type="firstRowStripe" dxfId="131"/>
      <tableStyleElement type="secondRowStripe" dxfId="130"/>
    </tableStyle>
    <tableStyle name="CMJ Readiness-style 49" pivot="0" count="2" xr9:uid="{00000000-0011-0000-FFFF-FFFF35000000}">
      <tableStyleElement type="firstRowStripe" dxfId="129"/>
      <tableStyleElement type="secondRowStripe" dxfId="128"/>
    </tableStyle>
    <tableStyle name="CMJ Readiness-style 50" pivot="0" count="2" xr9:uid="{00000000-0011-0000-FFFF-FFFF36000000}">
      <tableStyleElement type="firstRowStripe" dxfId="127"/>
      <tableStyleElement type="secondRowStripe" dxfId="126"/>
    </tableStyle>
    <tableStyle name="CMJ Readiness-style 51" pivot="0" count="2" xr9:uid="{00000000-0011-0000-FFFF-FFFF37000000}">
      <tableStyleElement type="firstRowStripe" dxfId="125"/>
      <tableStyleElement type="secondRowStripe" dxfId="124"/>
    </tableStyle>
    <tableStyle name="CMJ Readiness-style 52" pivot="0" count="2" xr9:uid="{00000000-0011-0000-FFFF-FFFF38000000}">
      <tableStyleElement type="firstRowStripe" dxfId="123"/>
      <tableStyleElement type="secondRowStripe" dxfId="122"/>
    </tableStyle>
    <tableStyle name="CMJ Readiness-style 53" pivot="0" count="2" xr9:uid="{00000000-0011-0000-FFFF-FFFF39000000}">
      <tableStyleElement type="firstRowStripe" dxfId="121"/>
      <tableStyleElement type="secondRowStripe" dxfId="120"/>
    </tableStyle>
    <tableStyle name="CMJ Readiness-style 54" pivot="0" count="2" xr9:uid="{00000000-0011-0000-FFFF-FFFF3A000000}">
      <tableStyleElement type="firstRowStripe" dxfId="119"/>
      <tableStyleElement type="secondRowStripe" dxfId="118"/>
    </tableStyle>
    <tableStyle name="CMJ Readiness-style 55" pivot="0" count="2" xr9:uid="{00000000-0011-0000-FFFF-FFFF3B000000}">
      <tableStyleElement type="firstRowStripe" dxfId="117"/>
      <tableStyleElement type="secondRowStripe" dxfId="116"/>
    </tableStyle>
    <tableStyle name="CMJ Readiness-style 56" pivot="0" count="2" xr9:uid="{00000000-0011-0000-FFFF-FFFF3C000000}">
      <tableStyleElement type="firstRowStripe" dxfId="115"/>
      <tableStyleElement type="secondRowStripe" dxfId="114"/>
    </tableStyle>
    <tableStyle name="CMJ Readiness-style 57" pivot="0" count="2" xr9:uid="{00000000-0011-0000-FFFF-FFFF3D000000}">
      <tableStyleElement type="firstRowStripe" dxfId="113"/>
      <tableStyleElement type="secondRowStripe" dxfId="112"/>
    </tableStyle>
    <tableStyle name="CMJ Readiness-style 58" pivot="0" count="2" xr9:uid="{00000000-0011-0000-FFFF-FFFF3E000000}">
      <tableStyleElement type="firstRowStripe" dxfId="111"/>
      <tableStyleElement type="secondRowStripe" dxfId="110"/>
    </tableStyle>
    <tableStyle name="CMJ Readiness-style 59" pivot="0" count="2" xr9:uid="{00000000-0011-0000-FFFF-FFFF3F000000}">
      <tableStyleElement type="firstRowStripe" dxfId="109"/>
      <tableStyleElement type="secondRowStripe" dxfId="108"/>
    </tableStyle>
    <tableStyle name="CMJ Readiness-style 60" pivot="0" count="2" xr9:uid="{00000000-0011-0000-FFFF-FFFF40000000}">
      <tableStyleElement type="firstRowStripe" dxfId="107"/>
      <tableStyleElement type="secondRowStripe" dxfId="106"/>
    </tableStyle>
    <tableStyle name="CMJ Readiness-style 61" pivot="0" count="2" xr9:uid="{00000000-0011-0000-FFFF-FFFF41000000}">
      <tableStyleElement type="firstRowStripe" dxfId="105"/>
      <tableStyleElement type="secondRowStripe" dxfId="104"/>
    </tableStyle>
    <tableStyle name="CMJ Readiness-style 62" pivot="0" count="2" xr9:uid="{00000000-0011-0000-FFFF-FFFF42000000}">
      <tableStyleElement type="firstRowStripe" dxfId="103"/>
      <tableStyleElement type="secondRowStripe" dxfId="102"/>
    </tableStyle>
    <tableStyle name="CMJ Readiness-style 63" pivot="0" count="2" xr9:uid="{00000000-0011-0000-FFFF-FFFF43000000}">
      <tableStyleElement type="firstRowStripe" dxfId="101"/>
      <tableStyleElement type="secondRowStripe" dxfId="100"/>
    </tableStyle>
    <tableStyle name="CMJ Readiness-style 64" pivot="0" count="2" xr9:uid="{00000000-0011-0000-FFFF-FFFF44000000}">
      <tableStyleElement type="firstRowStripe" dxfId="99"/>
      <tableStyleElement type="secondRowStripe" dxfId="98"/>
    </tableStyle>
    <tableStyle name="CMJ Readiness-style 65" pivot="0" count="2" xr9:uid="{00000000-0011-0000-FFFF-FFFF45000000}">
      <tableStyleElement type="firstRowStripe" dxfId="97"/>
      <tableStyleElement type="secondRowStripe" dxfId="96"/>
    </tableStyle>
    <tableStyle name="CMJ Readiness-style 66" pivot="0" count="2" xr9:uid="{00000000-0011-0000-FFFF-FFFF46000000}">
      <tableStyleElement type="firstRowStripe" dxfId="95"/>
      <tableStyleElement type="secondRowStripe" dxfId="94"/>
    </tableStyle>
    <tableStyle name="CMJ Readiness-style 67" pivot="0" count="2" xr9:uid="{00000000-0011-0000-FFFF-FFFF47000000}">
      <tableStyleElement type="firstRowStripe" dxfId="93"/>
      <tableStyleElement type="secondRowStripe" dxfId="92"/>
    </tableStyle>
    <tableStyle name="CMJ Readiness-style 68" pivot="0" count="2" xr9:uid="{00000000-0011-0000-FFFF-FFFF48000000}">
      <tableStyleElement type="firstRowStripe" dxfId="91"/>
      <tableStyleElement type="secondRowStripe" dxfId="90"/>
    </tableStyle>
    <tableStyle name="CMJ Readiness-style 69" pivot="0" count="2" xr9:uid="{00000000-0011-0000-FFFF-FFFF49000000}">
      <tableStyleElement type="firstRowStripe" dxfId="89"/>
      <tableStyleElement type="secondRowStripe" dxfId="88"/>
    </tableStyle>
    <tableStyle name="CMJ Readiness-style 70" pivot="0" count="2" xr9:uid="{00000000-0011-0000-FFFF-FFFF4A000000}">
      <tableStyleElement type="firstRowStripe" dxfId="87"/>
      <tableStyleElement type="secondRowStripe" dxfId="86"/>
    </tableStyle>
    <tableStyle name="CMJ Readiness-style 71" pivot="0" count="2" xr9:uid="{00000000-0011-0000-FFFF-FFFF4B000000}">
      <tableStyleElement type="firstRowStripe" dxfId="85"/>
      <tableStyleElement type="secondRowStripe" dxfId="84"/>
    </tableStyle>
    <tableStyle name="CMJ Readiness-style 72" pivot="0" count="2" xr9:uid="{00000000-0011-0000-FFFF-FFFF4C000000}">
      <tableStyleElement type="firstRowStripe" dxfId="83"/>
      <tableStyleElement type="secondRowStripe" dxfId="82"/>
    </tableStyle>
    <tableStyle name="CMJ Readiness-style 73" pivot="0" count="2" xr9:uid="{00000000-0011-0000-FFFF-FFFF4D000000}">
      <tableStyleElement type="firstRowStripe" dxfId="81"/>
      <tableStyleElement type="secondRowStripe" dxfId="80"/>
    </tableStyle>
    <tableStyle name="CMJ Readiness-style 74" pivot="0" count="2" xr9:uid="{00000000-0011-0000-FFFF-FFFF4E000000}">
      <tableStyleElement type="firstRowStripe" dxfId="79"/>
      <tableStyleElement type="secondRowStripe" dxfId="78"/>
    </tableStyle>
    <tableStyle name="CMJ Readiness-style 75" pivot="0" count="2" xr9:uid="{00000000-0011-0000-FFFF-FFFF4F000000}">
      <tableStyleElement type="firstRowStripe" dxfId="77"/>
      <tableStyleElement type="secondRowStripe" dxfId="76"/>
    </tableStyle>
    <tableStyle name="CMJ Readiness-style 76" pivot="0" count="2" xr9:uid="{00000000-0011-0000-FFFF-FFFF50000000}">
      <tableStyleElement type="firstRowStripe" dxfId="75"/>
      <tableStyleElement type="secondRowStripe" dxfId="74"/>
    </tableStyle>
    <tableStyle name="CMJ Readiness-style 77" pivot="0" count="2" xr9:uid="{00000000-0011-0000-FFFF-FFFF51000000}">
      <tableStyleElement type="firstRowStripe" dxfId="73"/>
      <tableStyleElement type="secondRowStripe" dxfId="72"/>
    </tableStyle>
    <tableStyle name="CMJ Readiness-style 78" pivot="0" count="2" xr9:uid="{00000000-0011-0000-FFFF-FFFF52000000}">
      <tableStyleElement type="firstRowStripe" dxfId="71"/>
      <tableStyleElement type="secondRowStripe" dxfId="70"/>
    </tableStyle>
    <tableStyle name="CMJ Readiness-style 79" pivot="0" count="2" xr9:uid="{00000000-0011-0000-FFFF-FFFF53000000}">
      <tableStyleElement type="firstRowStripe" dxfId="69"/>
      <tableStyleElement type="secondRowStripe" dxfId="68"/>
    </tableStyle>
    <tableStyle name="CMJ Readiness-style 80" pivot="0" count="2" xr9:uid="{00000000-0011-0000-FFFF-FFFF54000000}">
      <tableStyleElement type="firstRowStripe" dxfId="67"/>
      <tableStyleElement type="secondRowStripe" dxfId="66"/>
    </tableStyle>
    <tableStyle name="CMJ Readiness-style 81" pivot="0" count="2" xr9:uid="{00000000-0011-0000-FFFF-FFFF55000000}">
      <tableStyleElement type="firstRowStripe" dxfId="65"/>
      <tableStyleElement type="secondRowStripe" dxfId="64"/>
    </tableStyle>
    <tableStyle name="CMJ Readiness-style 82" pivot="0" count="2" xr9:uid="{00000000-0011-0000-FFFF-FFFF56000000}">
      <tableStyleElement type="firstRowStripe" dxfId="63"/>
      <tableStyleElement type="secondRowStripe" dxfId="62"/>
    </tableStyle>
    <tableStyle name="CMJ Readiness-style 83" pivot="0" count="2" xr9:uid="{00000000-0011-0000-FFFF-FFFF57000000}">
      <tableStyleElement type="firstRowStripe" dxfId="61"/>
      <tableStyleElement type="secondRowStripe" dxfId="60"/>
    </tableStyle>
    <tableStyle name="CMJ Readiness-style 84" pivot="0" count="2" xr9:uid="{00000000-0011-0000-FFFF-FFFF58000000}">
      <tableStyleElement type="firstRowStripe" dxfId="59"/>
      <tableStyleElement type="secondRowStripe" dxfId="58"/>
    </tableStyle>
    <tableStyle name="CMJ Readiness-style 85" pivot="0" count="2" xr9:uid="{00000000-0011-0000-FFFF-FFFF59000000}">
      <tableStyleElement type="firstRowStripe" dxfId="57"/>
      <tableStyleElement type="secondRowStripe" dxfId="56"/>
    </tableStyle>
    <tableStyle name="CMJ Readiness-style 86" pivot="0" count="2" xr9:uid="{00000000-0011-0000-FFFF-FFFF5A000000}">
      <tableStyleElement type="firstRowStripe" dxfId="55"/>
      <tableStyleElement type="secondRowStripe" dxfId="54"/>
    </tableStyle>
    <tableStyle name="CMJ Readiness-style 87" pivot="0" count="3" xr9:uid="{00000000-0011-0000-FFFF-FFFF5B000000}">
      <tableStyleElement type="headerRow" dxfId="53"/>
      <tableStyleElement type="firstRowStripe" dxfId="52"/>
      <tableStyleElement type="secondRowStripe" dxfId="51"/>
    </tableStyle>
    <tableStyle name="CMJ Readiness-style 88" pivot="0" count="3" xr9:uid="{00000000-0011-0000-FFFF-FFFF5C000000}">
      <tableStyleElement type="headerRow" dxfId="50"/>
      <tableStyleElement type="firstRowStripe" dxfId="49"/>
      <tableStyleElement type="secondRowStripe" dxfId="48"/>
    </tableStyle>
    <tableStyle name="CMJ Readiness-style 89" pivot="0" count="2" xr9:uid="{00000000-0011-0000-FFFF-FFFF5D000000}">
      <tableStyleElement type="firstRowStripe" dxfId="47"/>
      <tableStyleElement type="secondRowStripe" dxfId="46"/>
    </tableStyle>
    <tableStyle name="CMJ Readiness-style 90" pivot="0" count="2" xr9:uid="{00000000-0011-0000-FFFF-FFFF5E000000}">
      <tableStyleElement type="firstRowStripe" dxfId="45"/>
      <tableStyleElement type="secondRowStripe" dxfId="44"/>
    </tableStyle>
    <tableStyle name="CMJ Readiness-style 91" pivot="0" count="2" xr9:uid="{00000000-0011-0000-FFFF-FFFF5F000000}">
      <tableStyleElement type="firstRowStripe" dxfId="43"/>
      <tableStyleElement type="secondRowStripe" dxfId="42"/>
    </tableStyle>
    <tableStyle name="CMJ Readiness-style 92" pivot="0" count="2" xr9:uid="{00000000-0011-0000-FFFF-FFFF60000000}">
      <tableStyleElement type="firstRowStripe" dxfId="41"/>
      <tableStyleElement type="secondRowStripe" dxfId="40"/>
    </tableStyle>
    <tableStyle name="CMJ Readiness-style 93" pivot="0" count="2" xr9:uid="{00000000-0011-0000-FFFF-FFFF61000000}">
      <tableStyleElement type="firstRowStripe" dxfId="39"/>
      <tableStyleElement type="secondRowStripe" dxfId="38"/>
    </tableStyle>
    <tableStyle name="CMJ Readiness-style 94" pivot="0" count="2" xr9:uid="{00000000-0011-0000-FFFF-FFFF62000000}">
      <tableStyleElement type="firstRowStripe" dxfId="37"/>
      <tableStyleElement type="secondRowStripe" dxfId="36"/>
    </tableStyle>
    <tableStyle name="CMJ Readiness-style 95" pivot="0" count="2" xr9:uid="{00000000-0011-0000-FFFF-FFFF63000000}">
      <tableStyleElement type="firstRowStripe" dxfId="35"/>
      <tableStyleElement type="secondRowStripe" dxfId="34"/>
    </tableStyle>
    <tableStyle name="CMJ Readiness-style 96" pivot="0" count="2" xr9:uid="{00000000-0011-0000-FFFF-FFFF64000000}">
      <tableStyleElement type="firstRowStripe" dxfId="33"/>
      <tableStyleElement type="secondRowStripe" dxfId="32"/>
    </tableStyle>
    <tableStyle name="CMJ Readiness-style 97" pivot="0" count="2" xr9:uid="{00000000-0011-0000-FFFF-FFFF65000000}">
      <tableStyleElement type="firstRowStripe" dxfId="31"/>
      <tableStyleElement type="secondRowStripe" dxfId="30"/>
    </tableStyle>
    <tableStyle name="CMJ Readiness-style 98" pivot="0" count="2" xr9:uid="{00000000-0011-0000-FFFF-FFFF66000000}">
      <tableStyleElement type="firstRowStripe" dxfId="29"/>
      <tableStyleElement type="secondRowStripe" dxfId="28"/>
    </tableStyle>
    <tableStyle name="CMJ Readiness-style 99" pivot="0" count="2" xr9:uid="{00000000-0011-0000-FFFF-FFFF67000000}">
      <tableStyleElement type="firstRowStripe" dxfId="27"/>
      <tableStyleElement type="secondRowStripe" dxfId="26"/>
    </tableStyle>
    <tableStyle name="CMJ Readiness-style 100" pivot="0" count="2" xr9:uid="{00000000-0011-0000-FFFF-FFFF68000000}">
      <tableStyleElement type="firstRowStripe" dxfId="25"/>
      <tableStyleElement type="secondRowStripe" dxfId="24"/>
    </tableStyle>
    <tableStyle name="CMJ Readiness-style 101" pivot="0" count="2" xr9:uid="{00000000-0011-0000-FFFF-FFFF69000000}">
      <tableStyleElement type="firstRowStripe" dxfId="23"/>
      <tableStyleElement type="secondRowStripe" dxfId="22"/>
    </tableStyle>
    <tableStyle name="CMJ Readiness-style 102" pivot="0" count="2" xr9:uid="{00000000-0011-0000-FFFF-FFFF6A000000}">
      <tableStyleElement type="firstRowStripe" dxfId="21"/>
      <tableStyleElement type="secondRowStripe" dxfId="20"/>
    </tableStyle>
    <tableStyle name="CMJ Readiness-style 103" pivot="0" count="2" xr9:uid="{00000000-0011-0000-FFFF-FFFF6B000000}">
      <tableStyleElement type="firstRowStripe" dxfId="19"/>
      <tableStyleElement type="secondRowStripe" dxfId="18"/>
    </tableStyle>
    <tableStyle name="CMJ Readiness-style 104" pivot="0" count="2" xr9:uid="{00000000-0011-0000-FFFF-FFFF6C000000}">
      <tableStyleElement type="firstRowStripe" dxfId="17"/>
      <tableStyleElement type="secondRowStripe" dxfId="16"/>
    </tableStyle>
    <tableStyle name="CMJ Readiness-style 105" pivot="0" count="2" xr9:uid="{00000000-0011-0000-FFFF-FFFF6D000000}">
      <tableStyleElement type="firstRowStripe" dxfId="15"/>
      <tableStyleElement type="secondRowStripe" dxfId="14"/>
    </tableStyle>
    <tableStyle name="CMJ Readiness-style 106" pivot="0" count="2" xr9:uid="{00000000-0011-0000-FFFF-FFFF6E000000}">
      <tableStyleElement type="firstRowStripe" dxfId="13"/>
      <tableStyleElement type="secondRowStripe" dxfId="12"/>
    </tableStyle>
    <tableStyle name="CMJ Readiness-style 107" pivot="0" count="2" xr9:uid="{00000000-0011-0000-FFFF-FFFF6F000000}">
      <tableStyleElement type="firstRowStripe" dxfId="11"/>
      <tableStyleElement type="secondRowStripe" dxfId="10"/>
    </tableStyle>
    <tableStyle name="CMJ Readiness-style 108" pivot="0" count="2" xr9:uid="{00000000-0011-0000-FFFF-FFFF70000000}">
      <tableStyleElement type="firstRowStripe" dxfId="9"/>
      <tableStyleElement type="secondRowStripe" dxfId="8"/>
    </tableStyle>
    <tableStyle name="CMJ Readiness-style 109" pivot="0" count="2" xr9:uid="{00000000-0011-0000-FFFF-FFFF71000000}">
      <tableStyleElement type="firstRowStripe" dxfId="7"/>
      <tableStyleElement type="secondRowStripe" dxfId="6"/>
    </tableStyle>
    <tableStyle name="CMJ Readiness-style 110" pivot="0" count="2" xr9:uid="{00000000-0011-0000-FFFF-FFFF72000000}"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_6" displayName="Table_6" ref="C2:F24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CMJ Readines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_7" displayName="Table_7" ref="A13:A17" headerRowCount="0">
  <tableColumns count="1">
    <tableColumn id="1" xr3:uid="{00000000-0010-0000-0100-000001000000}" name="Column1"/>
  </tableColumns>
  <tableStyleInfo name="CMJ Readines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_8" displayName="Table_8" ref="B13:B18" headerRowCount="0">
  <tableColumns count="1">
    <tableColumn id="1" xr3:uid="{00000000-0010-0000-0200-000001000000}" name="Column1"/>
  </tableColumns>
  <tableStyleInfo name="CMJ Readines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_9" displayName="Table_9" ref="A23:A27" headerRowCount="0">
  <tableColumns count="1">
    <tableColumn id="1" xr3:uid="{00000000-0010-0000-0300-000001000000}" name="Column1"/>
  </tableColumns>
  <tableStyleInfo name="CMJ Readines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Table_10" displayName="Table_10" ref="B23:B28" headerRowCount="0">
  <tableColumns count="1">
    <tableColumn id="1" xr3:uid="{00000000-0010-0000-0400-000001000000}" name="Column1"/>
  </tableColumns>
  <tableStyleInfo name="CMJ Readines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_11" displayName="Table_11" ref="C25:F48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CMJ Readines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_12" displayName="Table_12" ref="A33:A34" headerRowCount="0">
  <tableColumns count="1">
    <tableColumn id="1" xr3:uid="{00000000-0010-0000-0600-000001000000}" name="Column1"/>
  </tableColumns>
  <tableStyleInfo name="CMJ Readines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_13" displayName="Table_13" ref="A41:A45" headerRowCount="0">
  <tableColumns count="1">
    <tableColumn id="1" xr3:uid="{00000000-0010-0000-0700-000001000000}" name="Column1"/>
  </tableColumns>
  <tableStyleInfo name="CMJ Readines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Table_14" displayName="Table_14" ref="B41:B46" headerRowCount="0">
  <tableColumns count="1">
    <tableColumn id="1" xr3:uid="{00000000-0010-0000-0800-000001000000}" name="Column1"/>
  </tableColumns>
  <tableStyleInfo name="CMJ Readines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Table_15" displayName="Table_15" ref="A51:A56" headerRowCount="0">
  <tableColumns count="1">
    <tableColumn id="1" xr3:uid="{00000000-0010-0000-0900-000001000000}" name="Column1"/>
  </tableColumns>
  <tableStyleInfo name="CMJ Readines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Table_16" displayName="Table_16" ref="B52:E57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CMJ Readines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Table_17" displayName="Table_17" ref="A62" headerRowCount="0">
  <tableColumns count="1">
    <tableColumn id="1" xr3:uid="{00000000-0010-0000-0B00-000001000000}" name="Column1"/>
  </tableColumns>
  <tableStyleInfo name="CMJ Readines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Table_18" displayName="Table_18" ref="C62:F87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CMJ Readines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Table_19" displayName="Table_19" ref="A71:A76" headerRowCount="0">
  <tableColumns count="1">
    <tableColumn id="1" xr3:uid="{00000000-0010-0000-0D00-000001000000}" name="Column1"/>
  </tableColumns>
  <tableStyleInfo name="CMJ Readiness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Table_20" displayName="Table_20" ref="B71:B77" headerRowCount="0">
  <tableColumns count="1">
    <tableColumn id="1" xr3:uid="{00000000-0010-0000-0E00-000001000000}" name="Column1"/>
  </tableColumns>
  <tableStyleInfo name="CMJ Readines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Table_21" displayName="Table_21" ref="A82:A87" headerRowCount="0">
  <tableColumns count="1">
    <tableColumn id="1" xr3:uid="{00000000-0010-0000-0F00-000001000000}" name="Column1"/>
  </tableColumns>
  <tableStyleInfo name="CMJ Readiness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0000000}" name="Table_22" displayName="Table_22" ref="B83:B88" headerRowCount="0">
  <tableColumns count="1">
    <tableColumn id="1" xr3:uid="{00000000-0010-0000-1000-000001000000}" name="Column1"/>
  </tableColumns>
  <tableStyleInfo name="CMJ Readines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1000000}" name="Table_23" displayName="Table_23" ref="C88:F120" headerRowCount="0">
  <tableColumns count="4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</tableColumns>
  <tableStyleInfo name="CMJ Readiness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Table_24" displayName="Table_24" ref="A92" headerRowCount="0">
  <tableColumns count="1">
    <tableColumn id="1" xr3:uid="{00000000-0010-0000-1200-000001000000}" name="Column1"/>
  </tableColumns>
  <tableStyleInfo name="CMJ Readines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3000000}" name="Table_25" displayName="Table_25" ref="A102:A107" headerRowCount="0">
  <tableColumns count="1">
    <tableColumn id="1" xr3:uid="{00000000-0010-0000-1300-000001000000}" name="Column1"/>
  </tableColumns>
  <tableStyleInfo name="CMJ Readiness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4000000}" name="Table_26" displayName="Table_26" ref="B102:B108" headerRowCount="0">
  <tableColumns count="1">
    <tableColumn id="1" xr3:uid="{00000000-0010-0000-1400-000001000000}" name="Column1"/>
  </tableColumns>
  <tableStyleInfo name="CMJ Readines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5000000}" name="Table_27" displayName="Table_27" ref="A113:A118" headerRowCount="0">
  <tableColumns count="1">
    <tableColumn id="1" xr3:uid="{00000000-0010-0000-1500-000001000000}" name="Column1"/>
  </tableColumns>
  <tableStyleInfo name="CMJ Readiness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6000000}" name="Table_28" displayName="Table_28" ref="B114:B119" headerRowCount="0">
  <tableColumns count="1">
    <tableColumn id="1" xr3:uid="{00000000-0010-0000-1600-000001000000}" name="Column1"/>
  </tableColumns>
  <tableStyleInfo name="CMJ Readines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7000000}" name="Table_29" displayName="Table_29" ref="A121:F127" headerRowCount="0">
  <tableColumns count="6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</tableColumns>
  <tableStyleInfo name="CMJ Readiness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8000000}" name="Table_30" displayName="Table_30" ref="A133:A138" headerRowCount="0">
  <tableColumns count="1">
    <tableColumn id="1" xr3:uid="{00000000-0010-0000-1800-000001000000}" name="Column1"/>
  </tableColumns>
  <tableStyleInfo name="CMJ Readines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9000000}" name="Table_31" displayName="Table_31" ref="B133:B139" headerRowCount="0">
  <tableColumns count="1">
    <tableColumn id="1" xr3:uid="{00000000-0010-0000-1900-000001000000}" name="Column1"/>
  </tableColumns>
  <tableStyleInfo name="CMJ Readiness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A000000}" name="Table_32" displayName="Table_32" ref="A145:F150" headerRowCount="0">
  <tableColumns count="6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</tableColumns>
  <tableStyleInfo name="CMJ Readiness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B000000}" name="Table_33" displayName="Table_33" ref="A152:F158" headerRowCount="0">
  <tableColumns count="6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</tableColumns>
  <tableStyleInfo name="CMJ Readiness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C000000}" name="Table_34" displayName="Table_34" ref="A163:F168" headerRowCount="0">
  <tableColumns count="6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</tableColumns>
  <tableStyleInfo name="CMJ Readiness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D000000}" name="Table_35" displayName="Table_35" ref="A175:A180" headerRowCount="0">
  <tableColumns count="1">
    <tableColumn id="1" xr3:uid="{00000000-0010-0000-1D00-000001000000}" name="Column1"/>
  </tableColumns>
  <tableStyleInfo name="CMJ Readiness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E000000}" name="Table_36" displayName="Table_36" ref="B176:B181" headerRowCount="0">
  <tableColumns count="1">
    <tableColumn id="1" xr3:uid="{00000000-0010-0000-1E00-000001000000}" name="Column1"/>
  </tableColumns>
  <tableStyleInfo name="CMJ Readiness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1F000000}" name="Table_37" displayName="Table_37" ref="C179:F180" headerRowCount="0">
  <tableColumns count="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</tableColumns>
  <tableStyleInfo name="CMJ Readiness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0000000}" name="Table_38" displayName="Table_38" ref="A182:F189" headerRowCount="0">
  <tableColumns count="6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</tableColumns>
  <tableStyleInfo name="CMJ Readiness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1000000}" name="Table_39" displayName="Table_39" ref="A193:B198" headerRowCount="0">
  <tableColumns count="2">
    <tableColumn id="1" xr3:uid="{00000000-0010-0000-2100-000001000000}" name="Column1"/>
    <tableColumn id="2" xr3:uid="{00000000-0010-0000-2100-000002000000}" name="Column2"/>
  </tableColumns>
  <tableStyleInfo name="CMJ Readiness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2000000}" name="Table_40" displayName="Table_40" ref="C193:F198" headerRowCount="0">
  <tableColumns count="4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</tableColumns>
  <tableStyleInfo name="CMJ Readiness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3000000}" name="Table_41" displayName="Table_41" ref="A204:F211" headerRowCount="0">
  <tableColumns count="6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</tableColumns>
  <tableStyleInfo name="CMJ Readiness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4000000}" name="Table_42" displayName="Table_42" ref="A212:F219" headerRowCount="0">
  <tableColumns count="6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</tableColumns>
  <tableStyleInfo name="CMJ Readiness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5000000}" name="Table_43" displayName="Table_43" ref="A224:F230" headerRowCount="0">
  <tableColumns count="6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</tableColumns>
  <tableStyleInfo name="CMJ Readiness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6000000}" name="Table_44" displayName="Table_44" ref="A234:F238" headerRowCount="0">
  <tableColumns count="6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</tableColumns>
  <tableStyleInfo name="CMJ Readiness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7000000}" name="Table_45" displayName="Table_45" ref="A239:B241" headerRowCount="0">
  <tableColumns count="2">
    <tableColumn id="1" xr3:uid="{00000000-0010-0000-2700-000001000000}" name="Column1"/>
    <tableColumn id="2" xr3:uid="{00000000-0010-0000-2700-000002000000}" name="Column2"/>
  </tableColumns>
  <tableStyleInfo name="CMJ Readiness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8000000}" name="Table_46" displayName="Table_46" ref="C239:F241" headerRowCount="0">
  <tableColumns count="4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</tableColumns>
  <tableStyleInfo name="CMJ Readiness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9000000}" name="Table_47" displayName="Table_47" ref="A244:F252" headerRowCount="0">
  <tableColumns count="6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</tableColumns>
  <tableStyleInfo name="CMJ Readiness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A000000}" name="Table_48" displayName="Table_48" ref="A254:B260" headerRowCount="0">
  <tableColumns count="2">
    <tableColumn id="1" xr3:uid="{00000000-0010-0000-2A00-000001000000}" name="Column1"/>
    <tableColumn id="2" xr3:uid="{00000000-0010-0000-2A00-000002000000}" name="Column2"/>
  </tableColumns>
  <tableStyleInfo name="CMJ Readiness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B000000}" name="Table_49" displayName="Table_49" ref="C254:F260" headerRowCount="0">
  <tableColumns count="4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</tableColumns>
  <tableStyleInfo name="CMJ Readiness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C000000}" name="Table_50" displayName="Table_50" ref="A268:F275" headerRowCount="0">
  <tableColumns count="6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</tableColumns>
  <tableStyleInfo name="CMJ Readiness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D000000}" name="Table_51" displayName="Table_51" ref="A284:B290" headerRowCount="0">
  <tableColumns count="2">
    <tableColumn id="1" xr3:uid="{00000000-0010-0000-2D00-000001000000}" name="Column1"/>
    <tableColumn id="2" xr3:uid="{00000000-0010-0000-2D00-000002000000}" name="Column2"/>
  </tableColumns>
  <tableStyleInfo name="CMJ Readiness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E000000}" name="Table_52" displayName="Table_52" ref="C284:F290" headerRowCount="0">
  <tableColumns count="4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</tableColumns>
  <tableStyleInfo name="CMJ Readiness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F000000}" name="Table_53" displayName="Table_53" ref="A291:F291" headerRowCount="0">
  <tableColumns count="6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</tableColumns>
  <tableStyleInfo name="CMJ Readiness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0000000}" name="Table_54" displayName="Table_54" ref="A298:F298" headerRowCount="0">
  <tableColumns count="6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</tableColumns>
  <tableStyleInfo name="CMJ Readiness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1000000}" name="Table_55" displayName="Table_55" ref="A301:F308" headerRowCount="0">
  <tableColumns count="6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</tableColumns>
  <tableStyleInfo name="CMJ Readiness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2000000}" name="Table_56" displayName="Table_56" ref="A314:B320" headerRowCount="0">
  <tableColumns count="2">
    <tableColumn id="1" xr3:uid="{00000000-0010-0000-3200-000001000000}" name="Column1"/>
    <tableColumn id="2" xr3:uid="{00000000-0010-0000-3200-000002000000}" name="Column2"/>
  </tableColumns>
  <tableStyleInfo name="CMJ Readiness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3000000}" name="Table_57" displayName="Table_57" ref="C314:F320" headerRowCount="0">
  <tableColumns count="4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</tableColumns>
  <tableStyleInfo name="CMJ Readiness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4000000}" name="Table_58" displayName="Table_58" ref="A321:F321" headerRowCount="0">
  <tableColumns count="6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</tableColumns>
  <tableStyleInfo name="CMJ Readiness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_59" displayName="Table_59" ref="A322:F330" headerRowCount="0">
  <tableColumns count="6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</tableColumns>
  <tableStyleInfo name="CMJ Readiness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6000000}" name="Table_60" displayName="Table_60" ref="A331:A338" headerRowCount="0">
  <tableColumns count="1">
    <tableColumn id="1" xr3:uid="{00000000-0010-0000-3600-000001000000}" name="Column1"/>
  </tableColumns>
  <tableStyleInfo name="CMJ Readiness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7000000}" name="Table_61" displayName="Table_61" ref="C331:F338" headerRowCount="0">
  <tableColumns count="4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</tableColumns>
  <tableStyleInfo name="CMJ Readiness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8000000}" name="Table_62" displayName="Table_62" ref="A345:F351" headerRowCount="0">
  <tableColumns count="6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</tableColumns>
  <tableStyleInfo name="CMJ Readiness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9000000}" name="Table_63" displayName="Table_63" ref="A352:A358" headerRowCount="0">
  <tableColumns count="1">
    <tableColumn id="1" xr3:uid="{00000000-0010-0000-3900-000001000000}" name="Column1"/>
  </tableColumns>
  <tableStyleInfo name="CMJ Readiness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A000000}" name="Table_64" displayName="Table_64" ref="C352:F358" headerRowCount="0">
  <tableColumns count="4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</tableColumns>
  <tableStyleInfo name="CMJ Readiness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B000000}" name="Table_65" displayName="Table_65" ref="A359:F360" headerRowCount="0">
  <tableColumns count="6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  <tableColumn id="6" xr3:uid="{00000000-0010-0000-3B00-000006000000}" name="Column6"/>
  </tableColumns>
  <tableStyleInfo name="CMJ Readiness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C000000}" name="Table_66" displayName="Table_66" ref="A365:F373" headerRowCount="0">
  <tableColumns count="6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  <tableColumn id="6" xr3:uid="{00000000-0010-0000-3C00-000006000000}" name="Column6"/>
  </tableColumns>
  <tableStyleInfo name="CMJ Readiness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D000000}" name="Table_67" displayName="Table_67" ref="A375:F381" headerRowCount="0">
  <tableColumns count="6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  <tableColumn id="6" xr3:uid="{00000000-0010-0000-3D00-000006000000}" name="Column6"/>
  </tableColumns>
  <tableStyleInfo name="CMJ Readiness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E000000}" name="Table_68" displayName="Table_68" ref="A387:F394" headerRowCount="0">
  <tableColumns count="6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  <tableColumn id="6" xr3:uid="{00000000-0010-0000-3E00-000006000000}" name="Column6"/>
  </tableColumns>
  <tableStyleInfo name="CMJ Readiness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F000000}" name="Table_69" displayName="Table_69" ref="A395:A403" headerRowCount="0">
  <tableColumns count="1">
    <tableColumn id="1" xr3:uid="{00000000-0010-0000-3F00-000001000000}" name="Column1"/>
  </tableColumns>
  <tableStyleInfo name="CMJ Readiness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0000000}" name="Table_70" displayName="Table_70" ref="C395:F403" headerRowCount="0">
  <tableColumns count="4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</tableColumns>
  <tableStyleInfo name="CMJ Readiness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1000000}" name="Table_71" displayName="Table_71" ref="A409:F415" headerRowCount="0">
  <tableColumns count="6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  <tableColumn id="6" xr3:uid="{00000000-0010-0000-4100-000006000000}" name="Column6"/>
  </tableColumns>
  <tableStyleInfo name="CMJ Readiness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2000000}" name="Table_72" displayName="Table_72" ref="A417:A418" headerRowCount="0">
  <tableColumns count="1">
    <tableColumn id="1" xr3:uid="{00000000-0010-0000-4200-000001000000}" name="Column1"/>
  </tableColumns>
  <tableStyleInfo name="CMJ Readiness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3000000}" name="Table_73" displayName="Table_73" ref="C417:F418" headerRowCount="0">
  <tableColumns count="4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</tableColumns>
  <tableStyleInfo name="CMJ Readiness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4000000}" name="Table_74" displayName="Table_74" ref="A419:A424" headerRowCount="0">
  <tableColumns count="1">
    <tableColumn id="1" xr3:uid="{00000000-0010-0000-4400-000001000000}" name="Column1"/>
  </tableColumns>
  <tableStyleInfo name="CMJ Readiness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5000000}" name="Table_75" displayName="Table_75" ref="C419:F424" headerRowCount="0">
  <tableColumns count="4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</tableColumns>
  <tableStyleInfo name="CMJ Readiness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6000000}" name="Table_76" displayName="Table_76" ref="A430:F437" headerRowCount="0">
  <tableColumns count="6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  <tableColumn id="5" xr3:uid="{00000000-0010-0000-4600-000005000000}" name="Column5"/>
    <tableColumn id="6" xr3:uid="{00000000-0010-0000-4600-000006000000}" name="Column6"/>
  </tableColumns>
  <tableStyleInfo name="CMJ Readiness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7000000}" name="Table_77" displayName="Table_77" ref="A439:A445" headerRowCount="0">
  <tableColumns count="1">
    <tableColumn id="1" xr3:uid="{00000000-0010-0000-4700-000001000000}" name="Column1"/>
  </tableColumns>
  <tableStyleInfo name="CMJ Readiness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8000000}" name="Table_78" displayName="Table_78" ref="C439:F445" headerRowCount="0">
  <tableColumns count="4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</tableColumns>
  <tableStyleInfo name="CMJ Readiness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9000000}" name="Table_79" displayName="Table_79" ref="A447:A448" headerRowCount="0">
  <tableColumns count="1">
    <tableColumn id="1" xr3:uid="{00000000-0010-0000-4900-000001000000}" name="Column1"/>
  </tableColumns>
  <tableStyleInfo name="CMJ Readiness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A000000}" name="Table_80" displayName="Table_80" ref="C447:F448" headerRowCount="0">
  <tableColumns count="4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</tableColumns>
  <tableStyleInfo name="CMJ Readiness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B000000}" name="Table_81" displayName="Table_81" ref="A453:F459" headerRowCount="0">
  <tableColumns count="6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  <tableColumn id="6" xr3:uid="{00000000-0010-0000-4B00-000006000000}" name="Column6"/>
  </tableColumns>
  <tableStyleInfo name="CMJ Readiness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C000000}" name="Table_82" displayName="Table_82" ref="A460:F467" headerRowCount="0">
  <tableColumns count="6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  <tableColumn id="5" xr3:uid="{00000000-0010-0000-4C00-000005000000}" name="Column5"/>
    <tableColumn id="6" xr3:uid="{00000000-0010-0000-4C00-000006000000}" name="Column6"/>
  </tableColumns>
  <tableStyleInfo name="CMJ Readiness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D000000}" name="Table_83" displayName="Table_83" ref="A474:F482" headerRowCount="0">
  <tableColumns count="6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  <tableColumn id="5" xr3:uid="{00000000-0010-0000-4D00-000005000000}" name="Column5"/>
    <tableColumn id="6" xr3:uid="{00000000-0010-0000-4D00-000006000000}" name="Column6"/>
  </tableColumns>
  <tableStyleInfo name="CMJ Readiness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E000000}" name="Table_84" displayName="Table_84" ref="A496:F504" headerRowCount="0">
  <tableColumns count="6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  <tableColumn id="6" xr3:uid="{00000000-0010-0000-4E00-000006000000}" name="Column6"/>
  </tableColumns>
  <tableStyleInfo name="CMJ Readiness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F000000}" name="Table_85" displayName="Table_85" ref="A520:F527" headerRowCount="0">
  <tableColumns count="6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  <tableColumn id="5" xr3:uid="{00000000-0010-0000-4F00-000005000000}" name="Column5"/>
    <tableColumn id="6" xr3:uid="{00000000-0010-0000-4F00-000006000000}" name="Column6"/>
  </tableColumns>
  <tableStyleInfo name="CMJ Readiness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0000000}" name="Table_86" displayName="Table_86" ref="A543:F551" headerRowCount="0">
  <tableColumns count="6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  <tableColumn id="5" xr3:uid="{00000000-0010-0000-5000-000005000000}" name="Column5"/>
    <tableColumn id="6" xr3:uid="{00000000-0010-0000-5000-000006000000}" name="Column6"/>
  </tableColumns>
  <tableStyleInfo name="CMJ Readiness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1000000}" name="Table_87" displayName="Table_87" ref="A567:F574" headerRowCount="0">
  <tableColumns count="6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  <tableColumn id="5" xr3:uid="{00000000-0010-0000-5100-000005000000}" name="Column5"/>
    <tableColumn id="6" xr3:uid="{00000000-0010-0000-5100-000006000000}" name="Column6"/>
  </tableColumns>
  <tableStyleInfo name="CMJ Readiness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2000000}" name="Table_88" displayName="Table_88" ref="A590:F598" headerRowCount="0">
  <tableColumns count="6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  <tableColumn id="5" xr3:uid="{00000000-0010-0000-5200-000005000000}" name="Column5"/>
    <tableColumn id="6" xr3:uid="{00000000-0010-0000-5200-000006000000}" name="Column6"/>
  </tableColumns>
  <tableStyleInfo name="CMJ Readiness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3000000}" name="Table_89" displayName="Table_89" ref="A613:F621" headerRowCount="0">
  <tableColumns count="6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  <tableColumn id="5" xr3:uid="{00000000-0010-0000-5300-000005000000}" name="Column5"/>
    <tableColumn id="6" xr3:uid="{00000000-0010-0000-5300-000006000000}" name="Column6"/>
  </tableColumns>
  <tableStyleInfo name="CMJ Readiness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4000000}" name="Table_90" displayName="Table_90" ref="B635:F635" headerRowCount="0">
  <tableColumns count="5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  <tableColumn id="5" xr3:uid="{00000000-0010-0000-5400-000005000000}" name="Column5"/>
  </tableColumns>
  <tableStyleInfo name="CMJ Readiness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5000000}" name="Table_91" displayName="Table_91" ref="B636:F681" headerRowCount="0">
  <tableColumns count="5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  <tableColumn id="5" xr3:uid="{00000000-0010-0000-5500-000005000000}" name="Column5"/>
  </tableColumns>
  <tableStyleInfo name="CMJ Readiness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6000000}" name="Table_92" displayName="Table_92" ref="B683:F683" headerRowCount="0">
  <tableColumns count="5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  <tableColumn id="5" xr3:uid="{00000000-0010-0000-5600-000005000000}" name="Column5"/>
  </tableColumns>
  <tableStyleInfo name="CMJ Readiness-style 8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7000000}" name="Table_93" displayName="Table_93" ref="B703:F703" headerRowCount="0">
  <tableColumns count="5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  <tableColumn id="5" xr3:uid="{00000000-0010-0000-5700-000005000000}" name="Column5"/>
  </tableColumns>
  <tableStyleInfo name="CMJ Readiness-style 8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8000000}" name="Table_94" displayName="Table_94" ref="B722:F727" headerRowCount="0">
  <tableColumns count="5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  <tableColumn id="5" xr3:uid="{00000000-0010-0000-5800-000005000000}" name="Column5"/>
  </tableColumns>
  <tableStyleInfo name="CMJ Readiness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9000000}" name="Table_95" displayName="Table_95" ref="B742:F747" headerRowCount="0">
  <tableColumns count="5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  <tableColumn id="5" xr3:uid="{00000000-0010-0000-5900-000005000000}" name="Column5"/>
  </tableColumns>
  <tableStyleInfo name="CMJ Readiness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A000000}" name="Table_96" displayName="Table_96" ref="B761:F766" headerRowCount="0">
  <tableColumns count="5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  <tableColumn id="5" xr3:uid="{00000000-0010-0000-5A00-000005000000}" name="Column5"/>
  </tableColumns>
  <tableStyleInfo name="CMJ Readiness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B000000}" name="Table_97" displayName="Table_97" ref="B780:F780" headerRowCount="0">
  <tableColumns count="5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  <tableColumn id="5" xr3:uid="{00000000-0010-0000-5B00-000005000000}" name="Column5"/>
  </tableColumns>
  <tableStyleInfo name="CMJ Readiness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C000000}" name="Table_98" displayName="Table_98" ref="B781:F785" headerRowCount="0">
  <tableColumns count="5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  <tableColumn id="5" xr3:uid="{00000000-0010-0000-5C00-000005000000}" name="Column5"/>
  </tableColumns>
  <tableStyleInfo name="CMJ Readiness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5D000000}" name="Table_99" displayName="Table_99" ref="C799:F799" headerRowCount="0">
  <tableColumns count="4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</tableColumns>
  <tableStyleInfo name="CMJ Readiness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5E000000}" name="Table_100" displayName="Table_100" ref="C800:F804" headerRowCount="0">
  <tableColumns count="4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</tableColumns>
  <tableStyleInfo name="CMJ Readiness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5F000000}" name="Table_101" displayName="Table_101" ref="B818:F823" headerRowCount="0">
  <tableColumns count="5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  <tableColumn id="5" xr3:uid="{00000000-0010-0000-5F00-000005000000}" name="Column5"/>
  </tableColumns>
  <tableStyleInfo name="CMJ Readiness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0000000}" name="Table_102" displayName="Table_102" ref="B838:F843" headerRowCount="0">
  <tableColumns count="5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  <tableColumn id="5" xr3:uid="{00000000-0010-0000-6000-000005000000}" name="Column5"/>
  </tableColumns>
  <tableStyleInfo name="CMJ Readiness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1000000}" name="Table_103" displayName="Table_103" ref="B856:F861" headerRowCount="0">
  <tableColumns count="5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  <tableColumn id="5" xr3:uid="{00000000-0010-0000-6100-000005000000}" name="Column5"/>
  </tableColumns>
  <tableStyleInfo name="CMJ Readiness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2000000}" name="Table_104" displayName="Table_104" ref="B875:F880" headerRowCount="0">
  <tableColumns count="5">
    <tableColumn id="1" xr3:uid="{00000000-0010-0000-6200-000001000000}" name="Column1"/>
    <tableColumn id="2" xr3:uid="{00000000-0010-0000-6200-000002000000}" name="Column2"/>
    <tableColumn id="3" xr3:uid="{00000000-0010-0000-6200-000003000000}" name="Column3"/>
    <tableColumn id="4" xr3:uid="{00000000-0010-0000-6200-000004000000}" name="Column4"/>
    <tableColumn id="5" xr3:uid="{00000000-0010-0000-6200-000005000000}" name="Column5"/>
  </tableColumns>
  <tableStyleInfo name="CMJ Readiness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3000000}" name="Table_105" displayName="Table_105" ref="B894:F899" headerRowCount="0">
  <tableColumns count="5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  <tableColumn id="5" xr3:uid="{00000000-0010-0000-6300-000005000000}" name="Column5"/>
  </tableColumns>
  <tableStyleInfo name="CMJ Readiness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4000000}" name="Table_106" displayName="Table_106" ref="B913:F918" headerRowCount="0">
  <tableColumns count="5">
    <tableColumn id="1" xr3:uid="{00000000-0010-0000-6400-000001000000}" name="Column1"/>
    <tableColumn id="2" xr3:uid="{00000000-0010-0000-6400-000002000000}" name="Column2"/>
    <tableColumn id="3" xr3:uid="{00000000-0010-0000-6400-000003000000}" name="Column3"/>
    <tableColumn id="4" xr3:uid="{00000000-0010-0000-6400-000004000000}" name="Column4"/>
    <tableColumn id="5" xr3:uid="{00000000-0010-0000-6400-000005000000}" name="Column5"/>
  </tableColumns>
  <tableStyleInfo name="CMJ Readiness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5000000}" name="Table_107" displayName="Table_107" ref="B932:F937" headerRowCount="0">
  <tableColumns count="5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  <tableColumn id="5" xr3:uid="{00000000-0010-0000-6500-000005000000}" name="Column5"/>
  </tableColumns>
  <tableStyleInfo name="CMJ Readiness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6000000}" name="Table_108" displayName="Table_108" ref="B949:F953" headerRowCount="0">
  <tableColumns count="5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  <tableColumn id="5" xr3:uid="{00000000-0010-0000-6600-000005000000}" name="Column5"/>
  </tableColumns>
  <tableStyleInfo name="CMJ Readiness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7000000}" name="Table_109" displayName="Table_109" ref="B965:F970" headerRowCount="0">
  <tableColumns count="5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  <tableColumn id="5" xr3:uid="{00000000-0010-0000-6700-000005000000}" name="Column5"/>
  </tableColumns>
  <tableStyleInfo name="CMJ Readiness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8000000}" name="Table_110" displayName="Table_110" ref="B981:F986" headerRowCount="0">
  <tableColumns count="5">
    <tableColumn id="1" xr3:uid="{00000000-0010-0000-6800-000001000000}" name="Column1"/>
    <tableColumn id="2" xr3:uid="{00000000-0010-0000-6800-000002000000}" name="Column2"/>
    <tableColumn id="3" xr3:uid="{00000000-0010-0000-6800-000003000000}" name="Column3"/>
    <tableColumn id="4" xr3:uid="{00000000-0010-0000-6800-000004000000}" name="Column4"/>
    <tableColumn id="5" xr3:uid="{00000000-0010-0000-6800-000005000000}" name="Column5"/>
  </tableColumns>
  <tableStyleInfo name="CMJ Readiness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9000000}" name="Table_111" displayName="Table_111" ref="B996:F1001" headerRowCount="0">
  <tableColumns count="5">
    <tableColumn id="1" xr3:uid="{00000000-0010-0000-6900-000001000000}" name="Column1"/>
    <tableColumn id="2" xr3:uid="{00000000-0010-0000-6900-000002000000}" name="Column2"/>
    <tableColumn id="3" xr3:uid="{00000000-0010-0000-6900-000003000000}" name="Column3"/>
    <tableColumn id="4" xr3:uid="{00000000-0010-0000-6900-000004000000}" name="Column4"/>
    <tableColumn id="5" xr3:uid="{00000000-0010-0000-6900-000005000000}" name="Column5"/>
  </tableColumns>
  <tableStyleInfo name="CMJ Readiness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A000000}" name="Table_112" displayName="Table_112" ref="B1012:F1018" headerRowCount="0">
  <tableColumns count="5">
    <tableColumn id="1" xr3:uid="{00000000-0010-0000-6A00-000001000000}" name="Column1"/>
    <tableColumn id="2" xr3:uid="{00000000-0010-0000-6A00-000002000000}" name="Column2"/>
    <tableColumn id="3" xr3:uid="{00000000-0010-0000-6A00-000003000000}" name="Column3"/>
    <tableColumn id="4" xr3:uid="{00000000-0010-0000-6A00-000004000000}" name="Column4"/>
    <tableColumn id="5" xr3:uid="{00000000-0010-0000-6A00-000005000000}" name="Column5"/>
  </tableColumns>
  <tableStyleInfo name="CMJ Readiness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B000000}" name="Table_113" displayName="Table_113" ref="B1028:F1032" headerRowCount="0">
  <tableColumns count="5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  <tableColumn id="5" xr3:uid="{00000000-0010-0000-6B00-000005000000}" name="Column5"/>
  </tableColumns>
  <tableStyleInfo name="CMJ Readiness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C000000}" name="Table_114" displayName="Table_114" ref="B1044:F1399" headerRowCount="0">
  <tableColumns count="5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  <tableColumn id="5" xr3:uid="{00000000-0010-0000-6C00-000005000000}" name="Column5"/>
  </tableColumns>
  <tableStyleInfo name="CMJ Readiness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6D000000}" name="Table_115" displayName="Table_115" ref="B1400:F1928" headerRowCount="0">
  <tableColumns count="5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  <tableColumn id="5" xr3:uid="{00000000-0010-0000-6D00-000005000000}" name="Column5"/>
  </tableColumns>
  <tableStyleInfo name="CMJ Readiness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6E000000}" name="Table_1" displayName="Table_1" ref="A1:C6" headerRowCount="0">
  <tableColumns count="3">
    <tableColumn id="1" xr3:uid="{00000000-0010-0000-6E00-000001000000}" name="Column1"/>
    <tableColumn id="2" xr3:uid="{00000000-0010-0000-6E00-000002000000}" name="Column2"/>
    <tableColumn id="3" xr3:uid="{00000000-0010-0000-6E00-000003000000}" name="Column3"/>
  </tableColumns>
  <tableStyleInfo name="Roster Formatting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6F000000}" name="Table_2" displayName="Table_2" ref="A12:A17" headerRowCount="0">
  <tableColumns count="1">
    <tableColumn id="1" xr3:uid="{00000000-0010-0000-6F00-000001000000}" name="Column1"/>
  </tableColumns>
  <tableStyleInfo name="Roster Formatting-style 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70000000}" name="Table_3" displayName="Table_3" ref="B12:C18" headerRowCount="0">
  <tableColumns count="2">
    <tableColumn id="1" xr3:uid="{00000000-0010-0000-7000-000001000000}" name="Column1"/>
    <tableColumn id="2" xr3:uid="{00000000-0010-0000-7000-000002000000}" name="Column2"/>
  </tableColumns>
  <tableStyleInfo name="Roster Formatting-style 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71000000}" name="Table_4" displayName="Table_4" ref="A23:A28" headerRowCount="0">
  <tableColumns count="1">
    <tableColumn id="1" xr3:uid="{00000000-0010-0000-7100-000001000000}" name="Column1"/>
  </tableColumns>
  <tableStyleInfo name="Roster Formatting-style 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72000000}" name="Table_5" displayName="Table_5" ref="B24:C29" headerRowCount="0">
  <tableColumns count="2">
    <tableColumn id="1" xr3:uid="{00000000-0010-0000-7200-000001000000}" name="Column1"/>
    <tableColumn id="2" xr3:uid="{00000000-0010-0000-7200-000002000000}" name="Column2"/>
  </tableColumns>
  <tableStyleInfo name="Roster Formatting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63" Type="http://schemas.openxmlformats.org/officeDocument/2006/relationships/table" Target="../tables/table63.xml"/><Relationship Id="rId68" Type="http://schemas.openxmlformats.org/officeDocument/2006/relationships/table" Target="../tables/table68.xml"/><Relationship Id="rId84" Type="http://schemas.openxmlformats.org/officeDocument/2006/relationships/table" Target="../tables/table84.xml"/><Relationship Id="rId89" Type="http://schemas.openxmlformats.org/officeDocument/2006/relationships/table" Target="../tables/table89.xml"/><Relationship Id="rId16" Type="http://schemas.openxmlformats.org/officeDocument/2006/relationships/table" Target="../tables/table16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3" Type="http://schemas.openxmlformats.org/officeDocument/2006/relationships/table" Target="../tables/table53.xml"/><Relationship Id="rId58" Type="http://schemas.openxmlformats.org/officeDocument/2006/relationships/table" Target="../tables/table58.xml"/><Relationship Id="rId74" Type="http://schemas.openxmlformats.org/officeDocument/2006/relationships/table" Target="../tables/table74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5" Type="http://schemas.openxmlformats.org/officeDocument/2006/relationships/table" Target="../tables/table5.xml"/><Relationship Id="rId90" Type="http://schemas.openxmlformats.org/officeDocument/2006/relationships/table" Target="../tables/table90.xml"/><Relationship Id="rId95" Type="http://schemas.openxmlformats.org/officeDocument/2006/relationships/table" Target="../tables/table95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43" Type="http://schemas.openxmlformats.org/officeDocument/2006/relationships/table" Target="../tables/table43.xml"/><Relationship Id="rId48" Type="http://schemas.openxmlformats.org/officeDocument/2006/relationships/table" Target="../tables/table48.xml"/><Relationship Id="rId64" Type="http://schemas.openxmlformats.org/officeDocument/2006/relationships/table" Target="../tables/table64.xml"/><Relationship Id="rId69" Type="http://schemas.openxmlformats.org/officeDocument/2006/relationships/table" Target="../tables/table69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08" Type="http://schemas.openxmlformats.org/officeDocument/2006/relationships/table" Target="../tables/table108.xml"/><Relationship Id="rId54" Type="http://schemas.openxmlformats.org/officeDocument/2006/relationships/table" Target="../tables/table54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49" Type="http://schemas.openxmlformats.org/officeDocument/2006/relationships/table" Target="../tables/table49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52" Type="http://schemas.openxmlformats.org/officeDocument/2006/relationships/table" Target="../tables/table52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04" Type="http://schemas.openxmlformats.org/officeDocument/2006/relationships/table" Target="../tables/table104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105" Type="http://schemas.openxmlformats.org/officeDocument/2006/relationships/table" Target="../tables/table105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3" Type="http://schemas.openxmlformats.org/officeDocument/2006/relationships/table" Target="../tables/table3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3.xml"/><Relationship Id="rId2" Type="http://schemas.openxmlformats.org/officeDocument/2006/relationships/table" Target="../tables/table112.xml"/><Relationship Id="rId1" Type="http://schemas.openxmlformats.org/officeDocument/2006/relationships/table" Target="../tables/table111.xml"/><Relationship Id="rId5" Type="http://schemas.openxmlformats.org/officeDocument/2006/relationships/table" Target="../tables/table115.xml"/><Relationship Id="rId4" Type="http://schemas.openxmlformats.org/officeDocument/2006/relationships/table" Target="../tables/table1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88"/>
  <sheetViews>
    <sheetView tabSelected="1" workbookViewId="0">
      <pane ySplit="1" topLeftCell="A2" activePane="bottomLeft" state="frozen"/>
      <selection pane="bottomLeft" activeCell="O3" sqref="O3"/>
    </sheetView>
  </sheetViews>
  <sheetFormatPr defaultColWidth="12.5703125" defaultRowHeight="15.75" customHeight="1" x14ac:dyDescent="0.2"/>
  <cols>
    <col min="3" max="3" width="22" customWidth="1"/>
    <col min="10" max="10" width="17" customWidth="1"/>
  </cols>
  <sheetData>
    <row r="1" spans="1:14" x14ac:dyDescent="0.2">
      <c r="A1" s="8" t="s">
        <v>86</v>
      </c>
      <c r="B1" s="9" t="s">
        <v>87</v>
      </c>
      <c r="C1" s="10" t="s">
        <v>88</v>
      </c>
      <c r="D1" s="11" t="s">
        <v>89</v>
      </c>
      <c r="E1" s="11" t="s">
        <v>90</v>
      </c>
      <c r="F1" s="11" t="s">
        <v>91</v>
      </c>
      <c r="G1" s="11" t="s">
        <v>92</v>
      </c>
      <c r="H1" s="10" t="s">
        <v>93</v>
      </c>
      <c r="I1" s="11" t="s">
        <v>94</v>
      </c>
      <c r="J1" s="11" t="s">
        <v>95</v>
      </c>
      <c r="K1" s="10" t="s">
        <v>96</v>
      </c>
      <c r="L1" s="11" t="s">
        <v>97</v>
      </c>
      <c r="M1" s="10" t="s">
        <v>98</v>
      </c>
      <c r="N1" s="12" t="s">
        <v>100</v>
      </c>
    </row>
    <row r="2" spans="1:14" x14ac:dyDescent="0.2">
      <c r="A2" s="13">
        <v>46254</v>
      </c>
      <c r="B2" s="2" t="b">
        <v>0</v>
      </c>
      <c r="C2" s="3" t="s">
        <v>0</v>
      </c>
      <c r="D2" s="14"/>
      <c r="E2" s="14"/>
      <c r="F2" s="14"/>
      <c r="G2" s="14" t="e">
        <f t="shared" ref="G2:G256" si="0">AVERAGE(D2:F2)</f>
        <v>#DIV/0!</v>
      </c>
      <c r="H2" s="15" t="str">
        <f ca="1">IFERROR(__xludf.DUMMYFUNCTION("IF(COUNTIFS($C$2:C2, C2, #REF!, ""&lt;="" &amp; #REF!) &lt; 30, AVERAGEIF($C$2:C2, C2, $G$2:G2), AVERAGE(FILTER($G$2:G2, $C$2:C2 = C2, #REF! &gt;= #REF! - 30)))
"),"#DIV/0!")</f>
        <v>#DIV/0!</v>
      </c>
      <c r="I2" s="15" t="e">
        <f t="shared" ref="I2:I256" ca="1" si="1">IF(L2 &gt;= 1, 3, IF(L2 &lt;= -1, 1, 2))</f>
        <v>#DIV/0!</v>
      </c>
      <c r="J2" s="15" t="str">
        <f ca="1">IFERROR(__xludf.DUMMYFUNCTION("IF(OR($I2=2, $I2=3), 0, IFERROR(COUNTIFS($C$2:C2, $C2, $A$2:A2, ""&gt;""&amp;IFERROR(MAX(FILTER($A$2:A2, $C$2:C2=$C2, $I$2:I2&lt;&gt;1)), 0), $I$2:I2, 1),1))
"),"#DIV/0!")</f>
        <v>#DIV/0!</v>
      </c>
      <c r="K2" s="15" t="e">
        <f t="shared" ref="K2:K256" ca="1" si="2">G2-H2</f>
        <v>#DIV/0!</v>
      </c>
      <c r="L2" s="15" t="e">
        <f t="shared" ref="L2:L256" ca="1" si="3">(G2 - H2) / N2</f>
        <v>#DIV/0!</v>
      </c>
      <c r="M2" s="16" t="e">
        <f t="shared" ref="M2:M256" ca="1" si="4">IF(H2&lt;&gt;0, ((G2-H2)/H2), 0)</f>
        <v>#DIV/0!</v>
      </c>
      <c r="N2" s="17" t="str">
        <f ca="1">IFERROR(__xludf.DUMMYFUNCTION("IF(COUNTIFS($C$2:C2, C2, #REF!, ""&lt;="" &amp; #REF!) &lt; 30, STDEV.P(FILTER($G$2:G2, $C$2:C2 = C2)), STDEV.P(FILTER($G$2:G2, $C$2:C2 = C2, #REF! &gt;= #REF! - 30)))
"),"#DIV/0!")</f>
        <v>#DIV/0!</v>
      </c>
    </row>
    <row r="3" spans="1:14" x14ac:dyDescent="0.2">
      <c r="A3" s="18">
        <v>46254</v>
      </c>
      <c r="B3" s="5" t="b">
        <v>0</v>
      </c>
      <c r="C3" s="3" t="s">
        <v>3</v>
      </c>
      <c r="D3" s="19"/>
      <c r="E3" s="19"/>
      <c r="F3" s="19"/>
      <c r="G3" s="19" t="e">
        <f t="shared" si="0"/>
        <v>#DIV/0!</v>
      </c>
      <c r="H3" s="20" t="str">
        <f ca="1">IFERROR(__xludf.DUMMYFUNCTION("IF(COUNTIFS($C$2:C3, C3, $A$2:A3, ""&lt;="" &amp; A3) &lt; 30, AVERAGEIF($C$2:C3, C3, $G$2:G3), AVERAGE(FILTER($G$2:G3, $C$2:C3 = C3, $A$2:A3 &gt;= A3 - 30)))
"),"#DIV/0!")</f>
        <v>#DIV/0!</v>
      </c>
      <c r="I3" s="20" t="e">
        <f t="shared" ca="1" si="1"/>
        <v>#DIV/0!</v>
      </c>
      <c r="J3" s="20" t="str">
        <f ca="1">IFERROR(__xludf.DUMMYFUNCTION("IF(OR($I3=2, $I3=3), 0, IFERROR(COUNTIFS($C$2:C3, $C3, $A$2:A4, ""&gt;""&amp;IFERROR(MAX(FILTER($A$2:A4, $C$2:C3=$C3, $I$2:I3&lt;&gt;1)), 0), $I$2:I3, 1),1))
"),"#DIV/0!")</f>
        <v>#DIV/0!</v>
      </c>
      <c r="K3" s="20" t="e">
        <f t="shared" ca="1" si="2"/>
        <v>#DIV/0!</v>
      </c>
      <c r="L3" s="20" t="e">
        <f t="shared" ca="1" si="3"/>
        <v>#DIV/0!</v>
      </c>
      <c r="M3" s="21" t="e">
        <f t="shared" ca="1" si="4"/>
        <v>#DIV/0!</v>
      </c>
      <c r="N3" s="22" t="str">
        <f ca="1">IFERROR(__xludf.DUMMYFUNCTION("IF(COUNTIFS($C$2:C3, C3, $A$2:A3, ""&lt;="" &amp; A3) &lt; 30, STDEV.P(FILTER($G$2:G3, $C$2:C3 = C3)), STDEV.P(FILTER($G$2:G3, $C$2:C3 = C3, $A$2:A3 &gt;= A3 - 30)))
"),"#DIV/0!")</f>
        <v>#DIV/0!</v>
      </c>
    </row>
    <row r="4" spans="1:14" x14ac:dyDescent="0.2">
      <c r="A4" s="18">
        <v>46254</v>
      </c>
      <c r="B4" s="5" t="b">
        <v>0</v>
      </c>
      <c r="C4" s="3" t="s">
        <v>6</v>
      </c>
      <c r="D4" s="19"/>
      <c r="E4" s="19"/>
      <c r="F4" s="19"/>
      <c r="G4" s="19" t="e">
        <f t="shared" si="0"/>
        <v>#DIV/0!</v>
      </c>
      <c r="H4" s="20" t="str">
        <f ca="1">IFERROR(__xludf.DUMMYFUNCTION("IF(COUNTIFS($C$2:C4, C4, $A$2:A4, ""&lt;="" &amp; A4) &lt; 30, AVERAGEIF($C$2:C4, C4, $G$2:G4), AVERAGE(FILTER($G$2:G4, $C$2:C4 = C4, $A$2:A4 &gt;= A4 - 30)))
"),"#DIV/0!")</f>
        <v>#DIV/0!</v>
      </c>
      <c r="I4" s="20" t="e">
        <f t="shared" ca="1" si="1"/>
        <v>#DIV/0!</v>
      </c>
      <c r="J4" s="20" t="str">
        <f ca="1">IFERROR(__xludf.DUMMYFUNCTION("IF(OR($I4=2, $I4=3), 0, IFERROR(COUNTIFS($C$2:C4, $C4, $A$2:A4, ""&gt;""&amp;IFERROR(MAX(FILTER($A$2:A4, $C$2:C4=$C4, $I$2:I4&lt;&gt;1)), 0), $I$2:I4, 1),1))
"),"#DIV/0!")</f>
        <v>#DIV/0!</v>
      </c>
      <c r="K4" s="20" t="e">
        <f t="shared" ca="1" si="2"/>
        <v>#DIV/0!</v>
      </c>
      <c r="L4" s="20" t="e">
        <f t="shared" ca="1" si="3"/>
        <v>#DIV/0!</v>
      </c>
      <c r="M4" s="21" t="e">
        <f t="shared" ca="1" si="4"/>
        <v>#DIV/0!</v>
      </c>
      <c r="N4" s="22" t="str">
        <f ca="1">IFERROR(__xludf.DUMMYFUNCTION("IF(COUNTIFS($C$2:C4, C4, $A$2:A4, ""&lt;="" &amp; A4) &lt; 30, STDEV.P(FILTER($G$2:G4, $C$2:C4 = C4)), STDEV.P(FILTER($G$2:G4, $C$2:C4 = C4, $A$2:A4 &gt;= A4 - 30)))
"),"#DIV/0!")</f>
        <v>#DIV/0!</v>
      </c>
    </row>
    <row r="5" spans="1:14" x14ac:dyDescent="0.2">
      <c r="A5" s="18">
        <v>46254</v>
      </c>
      <c r="B5" s="5" t="b">
        <v>0</v>
      </c>
      <c r="C5" s="3" t="s">
        <v>9</v>
      </c>
      <c r="D5" s="19"/>
      <c r="E5" s="19"/>
      <c r="F5" s="19"/>
      <c r="G5" s="19" t="e">
        <f t="shared" si="0"/>
        <v>#DIV/0!</v>
      </c>
      <c r="H5" s="20" t="str">
        <f ca="1">IFERROR(__xludf.DUMMYFUNCTION("IF(COUNTIFS($C$2:C5, C5, $A$2:A5, ""&lt;="" &amp; A5) &lt; 30, AVERAGEIF($C$2:C5, C5, $G$2:G5), AVERAGE(FILTER($G$2:G5, $C$2:C5 = C5, $A$2:A5 &gt;= A5 - 30)))
"),"#DIV/0!")</f>
        <v>#DIV/0!</v>
      </c>
      <c r="I5" s="20" t="e">
        <f t="shared" ca="1" si="1"/>
        <v>#DIV/0!</v>
      </c>
      <c r="J5" s="20" t="str">
        <f ca="1">IFERROR(__xludf.DUMMYFUNCTION("IF(OR($I5=2, $I5=3), 0, IFERROR(COUNTIFS($C$2:C5, $C5, $A$2:A6, ""&gt;""&amp;IFERROR(MAX(FILTER($A$2:A6, $C$2:C5=$C5, $I$2:I5&lt;&gt;1)), 0), $I$2:I5, 1),1))
"),"#DIV/0!")</f>
        <v>#DIV/0!</v>
      </c>
      <c r="K5" s="20" t="e">
        <f t="shared" ca="1" si="2"/>
        <v>#DIV/0!</v>
      </c>
      <c r="L5" s="20" t="e">
        <f t="shared" ca="1" si="3"/>
        <v>#DIV/0!</v>
      </c>
      <c r="M5" s="21" t="e">
        <f t="shared" ca="1" si="4"/>
        <v>#DIV/0!</v>
      </c>
      <c r="N5" s="22" t="str">
        <f ca="1">IFERROR(__xludf.DUMMYFUNCTION("IF(COUNTIFS($C$2:C5, C5, $A$2:A5, ""&lt;="" &amp; A5) &lt; 30, STDEV.P(FILTER($G$2:G5, $C$2:C5 = C5)), STDEV.P(FILTER($G$2:G5, $C$2:C5 = C5, $A$2:A5 &gt;= A5 - 30)))
"),"#DIV/0!")</f>
        <v>#DIV/0!</v>
      </c>
    </row>
    <row r="6" spans="1:14" x14ac:dyDescent="0.2">
      <c r="A6" s="18">
        <v>46254</v>
      </c>
      <c r="B6" s="5" t="b">
        <v>0</v>
      </c>
      <c r="C6" s="3" t="s">
        <v>12</v>
      </c>
      <c r="D6" s="19"/>
      <c r="E6" s="19"/>
      <c r="F6" s="19"/>
      <c r="G6" s="19" t="e">
        <f t="shared" si="0"/>
        <v>#DIV/0!</v>
      </c>
      <c r="H6" s="20" t="str">
        <f ca="1">IFERROR(__xludf.DUMMYFUNCTION("IF(COUNTIFS($C$2:C6, C6, $A$2:A6, ""&lt;="" &amp; A6) &lt; 30, AVERAGEIF($C$2:C6, C6, $G$2:G6), AVERAGE(FILTER($G$2:G6, $C$2:C6 = C6, $A$2:A6 &gt;= A6 - 30)))
"),"#DIV/0!")</f>
        <v>#DIV/0!</v>
      </c>
      <c r="I6" s="20" t="e">
        <f t="shared" ca="1" si="1"/>
        <v>#DIV/0!</v>
      </c>
      <c r="J6" s="20" t="str">
        <f ca="1">IFERROR(__xludf.DUMMYFUNCTION("IF(OR($I6=2, $I6=3), 0, IFERROR(COUNTIFS($C$2:C6, $C6, $A$2:A7, ""&gt;""&amp;IFERROR(MAX(FILTER($A$2:A7, $C$2:C6=$C6, $I$2:I6&lt;&gt;1)), 0), $I$2:I6, 1),1))
"),"#DIV/0!")</f>
        <v>#DIV/0!</v>
      </c>
      <c r="K6" s="20" t="e">
        <f t="shared" ca="1" si="2"/>
        <v>#DIV/0!</v>
      </c>
      <c r="L6" s="20" t="e">
        <f t="shared" ca="1" si="3"/>
        <v>#DIV/0!</v>
      </c>
      <c r="M6" s="21" t="e">
        <f t="shared" ca="1" si="4"/>
        <v>#DIV/0!</v>
      </c>
      <c r="N6" s="22" t="str">
        <f ca="1">IFERROR(__xludf.DUMMYFUNCTION("IF(COUNTIFS($C$2:C6, C6, $A$2:A6, ""&lt;="" &amp; A6) &lt; 30, STDEV.P(FILTER($G$2:G6, $C$2:C6 = C6)), STDEV.P(FILTER($G$2:G6, $C$2:C6 = C6, $A$2:A6 &gt;= A6 - 30)))
"),"#DIV/0!")</f>
        <v>#DIV/0!</v>
      </c>
    </row>
    <row r="7" spans="1:14" x14ac:dyDescent="0.2">
      <c r="A7" s="18">
        <v>46254</v>
      </c>
      <c r="B7" s="5" t="b">
        <v>0</v>
      </c>
      <c r="C7" s="3" t="s">
        <v>15</v>
      </c>
      <c r="D7" s="19"/>
      <c r="E7" s="19"/>
      <c r="F7" s="19"/>
      <c r="G7" s="19" t="e">
        <f t="shared" si="0"/>
        <v>#DIV/0!</v>
      </c>
      <c r="H7" s="20" t="str">
        <f ca="1">IFERROR(__xludf.DUMMYFUNCTION("IF(COUNTIFS($C$2:C7, C7, $A$2:A7, ""&lt;="" &amp; A7) &lt; 30, AVERAGEIF($C$2:C7, C7, $G$2:G7), AVERAGE(FILTER($G$2:G7, $C$2:C7 = C7, $A$2:A7 &gt;= A7 - 30)))
"),"#DIV/0!")</f>
        <v>#DIV/0!</v>
      </c>
      <c r="I7" s="20" t="e">
        <f t="shared" ca="1" si="1"/>
        <v>#DIV/0!</v>
      </c>
      <c r="J7" s="20" t="str">
        <f ca="1">IFERROR(__xludf.DUMMYFUNCTION("IF(OR($I7=2, $I7=3), 0, IFERROR(COUNTIFS($C$2:C7, $C7, $A$2:A8, ""&gt;""&amp;IFERROR(MAX(FILTER($A$2:A8, $C$2:C7=$C7, $I$2:I7&lt;&gt;1)), 0), $I$2:I7, 1),1))
"),"#DIV/0!")</f>
        <v>#DIV/0!</v>
      </c>
      <c r="K7" s="20" t="e">
        <f t="shared" ca="1" si="2"/>
        <v>#DIV/0!</v>
      </c>
      <c r="L7" s="20" t="e">
        <f t="shared" ca="1" si="3"/>
        <v>#DIV/0!</v>
      </c>
      <c r="M7" s="21" t="e">
        <f t="shared" ca="1" si="4"/>
        <v>#DIV/0!</v>
      </c>
      <c r="N7" s="22" t="str">
        <f ca="1">IFERROR(__xludf.DUMMYFUNCTION("IF(COUNTIFS($C$2:C7, C7, $A$2:A7, ""&lt;="" &amp; A7) &lt; 30, STDEV.P(FILTER($G$2:G7, $C$2:C7 = C7)), STDEV.P(FILTER($G$2:G7, $C$2:C7 = C7, $A$2:A7 &gt;= A7 - 30)))
"),"#DIV/0!")</f>
        <v>#DIV/0!</v>
      </c>
    </row>
    <row r="8" spans="1:14" x14ac:dyDescent="0.2">
      <c r="A8" s="18">
        <v>46254</v>
      </c>
      <c r="B8" s="7" t="b">
        <v>0</v>
      </c>
      <c r="C8" s="3" t="s">
        <v>18</v>
      </c>
      <c r="D8" s="19"/>
      <c r="E8" s="19"/>
      <c r="F8" s="19"/>
      <c r="G8" s="19" t="e">
        <f t="shared" si="0"/>
        <v>#DIV/0!</v>
      </c>
      <c r="H8" s="20" t="str">
        <f ca="1">IFERROR(__xludf.DUMMYFUNCTION("IF(COUNTIFS($C$2:C8, C8, $A$2:A8, ""&lt;="" &amp; A8) &lt; 30, AVERAGEIF($C$2:C8, C8, $G$2:G8), AVERAGE(FILTER($G$2:G8, $C$2:C8 = C8, $A$2:A8 &gt;= A8 - 30)))
"),"#DIV/0!")</f>
        <v>#DIV/0!</v>
      </c>
      <c r="I8" s="20" t="e">
        <f t="shared" ca="1" si="1"/>
        <v>#DIV/0!</v>
      </c>
      <c r="J8" s="20" t="str">
        <f ca="1">IFERROR(__xludf.DUMMYFUNCTION("IF(OR($I8=2, $I8=3), 0, IFERROR(COUNTIFS($C$2:C8, $C8, $A$2:A9, ""&gt;""&amp;IFERROR(MAX(FILTER($A$2:A9, $C$2:C8=$C8, $I$2:I8&lt;&gt;1)), 0), $I$2:I8, 1),1))
"),"#DIV/0!")</f>
        <v>#DIV/0!</v>
      </c>
      <c r="K8" s="20" t="e">
        <f t="shared" ca="1" si="2"/>
        <v>#DIV/0!</v>
      </c>
      <c r="L8" s="20" t="e">
        <f t="shared" ca="1" si="3"/>
        <v>#DIV/0!</v>
      </c>
      <c r="M8" s="21" t="e">
        <f t="shared" ca="1" si="4"/>
        <v>#DIV/0!</v>
      </c>
      <c r="N8" s="22" t="str">
        <f ca="1">IFERROR(__xludf.DUMMYFUNCTION("IF(COUNTIFS($C$2:C8, C8, $A$2:A8, ""&lt;="" &amp; A8) &lt; 30, STDEV.P(FILTER($G$2:G8, $C$2:C8 = C8)), STDEV.P(FILTER($G$2:G8, $C$2:C8 = C8, $A$2:A8 &gt;= A8 - 30)))
"),"#DIV/0!")</f>
        <v>#DIV/0!</v>
      </c>
    </row>
    <row r="9" spans="1:14" x14ac:dyDescent="0.2">
      <c r="A9" s="18">
        <v>46254</v>
      </c>
      <c r="B9" s="7" t="b">
        <v>0</v>
      </c>
      <c r="C9" s="3" t="s">
        <v>21</v>
      </c>
      <c r="D9" s="19"/>
      <c r="E9" s="19"/>
      <c r="F9" s="19"/>
      <c r="G9" s="19" t="e">
        <f t="shared" si="0"/>
        <v>#DIV/0!</v>
      </c>
      <c r="H9" s="20" t="str">
        <f ca="1">IFERROR(__xludf.DUMMYFUNCTION("IF(COUNTIFS($C$2:C9, C9, $A$2:A9, ""&lt;="" &amp; A9) &lt; 30, AVERAGEIF($C$2:C9, C9, $G$2:G9), AVERAGE(FILTER($G$2:G9, $C$2:C9 = C9, $A$2:A9 &gt;= A9 - 30)))
"),"#DIV/0!")</f>
        <v>#DIV/0!</v>
      </c>
      <c r="I9" s="20" t="e">
        <f t="shared" ca="1" si="1"/>
        <v>#DIV/0!</v>
      </c>
      <c r="J9" s="20" t="str">
        <f ca="1">IFERROR(__xludf.DUMMYFUNCTION("IF(OR($I9=2, $I9=3), 0, IFERROR(COUNTIFS($C$2:C9, $C9, $A$2:A10, ""&gt;""&amp;IFERROR(MAX(FILTER($A$2:A10, $C$2:C9=$C9, $I$2:I9&lt;&gt;1)), 0), $I$2:I9, 1),1))
"),"#DIV/0!")</f>
        <v>#DIV/0!</v>
      </c>
      <c r="K9" s="20" t="e">
        <f t="shared" ca="1" si="2"/>
        <v>#DIV/0!</v>
      </c>
      <c r="L9" s="20" t="e">
        <f t="shared" ca="1" si="3"/>
        <v>#DIV/0!</v>
      </c>
      <c r="M9" s="21" t="e">
        <f t="shared" ca="1" si="4"/>
        <v>#DIV/0!</v>
      </c>
      <c r="N9" s="22" t="str">
        <f ca="1">IFERROR(__xludf.DUMMYFUNCTION("IF(COUNTIFS($C$2:C9, C9, $A$2:A9, ""&lt;="" &amp; A9) &lt; 30, STDEV.P(FILTER($G$2:G9, $C$2:C9 = C9)), STDEV.P(FILTER($G$2:G9, $C$2:C9 = C9, $A$2:A9 &gt;= A9 - 30)))
"),"#DIV/0!")</f>
        <v>#DIV/0!</v>
      </c>
    </row>
    <row r="10" spans="1:14" x14ac:dyDescent="0.2">
      <c r="A10" s="18">
        <v>46254</v>
      </c>
      <c r="B10" s="7" t="b">
        <v>0</v>
      </c>
      <c r="C10" s="3" t="s">
        <v>24</v>
      </c>
      <c r="D10" s="19"/>
      <c r="E10" s="19"/>
      <c r="F10" s="19"/>
      <c r="G10" s="19" t="e">
        <f t="shared" si="0"/>
        <v>#DIV/0!</v>
      </c>
      <c r="H10" s="20" t="str">
        <f ca="1">IFERROR(__xludf.DUMMYFUNCTION("IF(COUNTIFS($C$2:C10, C10, $A$2:A10, ""&lt;="" &amp; A10) &lt; 30, AVERAGEIF($C$2:C10, C10, $G$2:G10), AVERAGE(FILTER($G$2:G10, $C$2:C10 = C10, $A$2:A10 &gt;= A10 - 30)))
"),"#DIV/0!")</f>
        <v>#DIV/0!</v>
      </c>
      <c r="I10" s="20" t="e">
        <f t="shared" ca="1" si="1"/>
        <v>#DIV/0!</v>
      </c>
      <c r="J10" s="20" t="str">
        <f ca="1">IFERROR(__xludf.DUMMYFUNCTION("IF(OR($I10=2, $I10=3), 0, IFERROR(COUNTIFS($C$2:C10, $C10, $A$2:A11, ""&gt;""&amp;IFERROR(MAX(FILTER($A$2:A11, $C$2:C10=$C10, $I$2:I10&lt;&gt;1)), 0), $I$2:I10, 1),1))
"),"#DIV/0!")</f>
        <v>#DIV/0!</v>
      </c>
      <c r="K10" s="20" t="e">
        <f t="shared" ca="1" si="2"/>
        <v>#DIV/0!</v>
      </c>
      <c r="L10" s="20" t="e">
        <f t="shared" ca="1" si="3"/>
        <v>#DIV/0!</v>
      </c>
      <c r="M10" s="21" t="e">
        <f t="shared" ca="1" si="4"/>
        <v>#DIV/0!</v>
      </c>
      <c r="N10" s="22" t="str">
        <f ca="1">IFERROR(__xludf.DUMMYFUNCTION("IF(COUNTIFS($C$2:C10, C10, $A$2:A10, ""&lt;="" &amp; A10) &lt; 30, STDEV.P(FILTER($G$2:G10, $C$2:C10 = C10)), STDEV.P(FILTER($G$2:G10, $C$2:C10 = C10, $A$2:A10 &gt;= A10 - 30)))
"),"#DIV/0!")</f>
        <v>#DIV/0!</v>
      </c>
    </row>
    <row r="11" spans="1:14" x14ac:dyDescent="0.2">
      <c r="A11" s="18">
        <v>46254</v>
      </c>
      <c r="B11" s="7" t="b">
        <v>0</v>
      </c>
      <c r="C11" s="3" t="s">
        <v>27</v>
      </c>
      <c r="D11" s="19"/>
      <c r="E11" s="19"/>
      <c r="F11" s="19"/>
      <c r="G11" s="19" t="e">
        <f t="shared" si="0"/>
        <v>#DIV/0!</v>
      </c>
      <c r="H11" s="20" t="str">
        <f ca="1">IFERROR(__xludf.DUMMYFUNCTION("IF(COUNTIFS($C$2:C11, C11, $A$2:A11, ""&lt;="" &amp; A11) &lt; 30, AVERAGEIF($C$2:C11, C11, $G$2:G11), AVERAGE(FILTER($G$2:G11, $C$2:C11 = C11, $A$2:A11 &gt;= A11 - 30)))
"),"#DIV/0!")</f>
        <v>#DIV/0!</v>
      </c>
      <c r="I11" s="20" t="e">
        <f t="shared" ca="1" si="1"/>
        <v>#DIV/0!</v>
      </c>
      <c r="J11" s="20" t="str">
        <f ca="1">IFERROR(__xludf.DUMMYFUNCTION("IF(OR($I11=2, $I11=3), 0, IFERROR(COUNTIFS($C$2:C11, $C11, $A$2:A12, ""&gt;""&amp;IFERROR(MAX(FILTER($A$2:A12, $C$2:C11=$C11, $I$2:I11&lt;&gt;1)), 0), $I$2:I11, 1),1))
"),"#DIV/0!")</f>
        <v>#DIV/0!</v>
      </c>
      <c r="K11" s="20" t="e">
        <f t="shared" ca="1" si="2"/>
        <v>#DIV/0!</v>
      </c>
      <c r="L11" s="20" t="e">
        <f t="shared" ca="1" si="3"/>
        <v>#DIV/0!</v>
      </c>
      <c r="M11" s="21" t="e">
        <f t="shared" ca="1" si="4"/>
        <v>#DIV/0!</v>
      </c>
      <c r="N11" s="22" t="str">
        <f ca="1">IFERROR(__xludf.DUMMYFUNCTION("IF(COUNTIFS($C$2:C11, C11, $A$2:A11, ""&lt;="" &amp; A11) &lt; 30, STDEV.P(FILTER($G$2:G11, $C$2:C11 = C11)), STDEV.P(FILTER($G$2:G11, $C$2:C11 = C11, $A$2:A11 &gt;= A11 - 30)))
"),"#DIV/0!")</f>
        <v>#DIV/0!</v>
      </c>
    </row>
    <row r="12" spans="1:14" x14ac:dyDescent="0.2">
      <c r="A12" s="18">
        <v>46254</v>
      </c>
      <c r="B12" s="7" t="b">
        <v>0</v>
      </c>
      <c r="C12" s="3" t="s">
        <v>30</v>
      </c>
      <c r="D12" s="19"/>
      <c r="E12" s="19"/>
      <c r="F12" s="19"/>
      <c r="G12" s="19" t="e">
        <f t="shared" si="0"/>
        <v>#DIV/0!</v>
      </c>
      <c r="H12" s="20" t="str">
        <f ca="1">IFERROR(__xludf.DUMMYFUNCTION("IF(COUNTIFS($C$2:C12, C12, $A$2:A12, ""&lt;="" &amp; A12) &lt; 30, AVERAGEIF($C$2:C12, C12, $G$2:G12), AVERAGE(FILTER($G$2:G12, $C$2:C12 = C12, $A$2:A12 &gt;= A12 - 30)))
"),"#DIV/0!")</f>
        <v>#DIV/0!</v>
      </c>
      <c r="I12" s="20" t="e">
        <f t="shared" ca="1" si="1"/>
        <v>#DIV/0!</v>
      </c>
      <c r="J12" s="20" t="str">
        <f ca="1">IFERROR(__xludf.DUMMYFUNCTION("IF(OR($I12=2, $I12=3), 0, IFERROR(COUNTIFS($C$2:C12, $C12, $A$2:A12, ""&gt;""&amp;IFERROR(MAX(FILTER($A$2:A12, $C$2:C12=$C12, $I$2:I12&lt;&gt;1)), 0), $I$2:I12, 1),1))
"),"#DIV/0!")</f>
        <v>#DIV/0!</v>
      </c>
      <c r="K12" s="20" t="e">
        <f t="shared" ca="1" si="2"/>
        <v>#DIV/0!</v>
      </c>
      <c r="L12" s="20" t="e">
        <f t="shared" ca="1" si="3"/>
        <v>#DIV/0!</v>
      </c>
      <c r="M12" s="21" t="e">
        <f t="shared" ca="1" si="4"/>
        <v>#DIV/0!</v>
      </c>
      <c r="N12" s="22" t="str">
        <f ca="1">IFERROR(__xludf.DUMMYFUNCTION("IF(COUNTIFS($C$2:C12, C12, $A$2:A12, ""&lt;="" &amp; A12) &lt; 30, STDEV.P(FILTER($G$2:G12, $C$2:C12 = C12)), STDEV.P(FILTER($G$2:G12, $C$2:C12 = C12, $A$2:A12 &gt;= A12 - 30)))
"),"#DIV/0!")</f>
        <v>#DIV/0!</v>
      </c>
    </row>
    <row r="13" spans="1:14" x14ac:dyDescent="0.2">
      <c r="A13" s="18">
        <v>46254</v>
      </c>
      <c r="B13" s="5" t="b">
        <v>0</v>
      </c>
      <c r="C13" s="3" t="s">
        <v>33</v>
      </c>
      <c r="D13" s="19"/>
      <c r="E13" s="19"/>
      <c r="F13" s="19"/>
      <c r="G13" s="19" t="e">
        <f t="shared" si="0"/>
        <v>#DIV/0!</v>
      </c>
      <c r="H13" s="20" t="str">
        <f ca="1">IFERROR(__xludf.DUMMYFUNCTION("IF(COUNTIFS($C$2:C13, C13, $A$2:A13, ""&lt;="" &amp; A13) &lt; 30, AVERAGEIF($C$2:C13, C13, $G$2:G13), AVERAGE(FILTER($G$2:G13, $C$2:C13 = C13, $A$2:A13 &gt;= A13 - 30)))
"),"#DIV/0!")</f>
        <v>#DIV/0!</v>
      </c>
      <c r="I13" s="20" t="e">
        <f t="shared" ca="1" si="1"/>
        <v>#DIV/0!</v>
      </c>
      <c r="J13" s="20" t="str">
        <f ca="1">IFERROR(__xludf.DUMMYFUNCTION("IF(OR($I13=2, $I13=3), 0, IFERROR(COUNTIFS($C$2:C13, $C13, $A$2:A14, ""&gt;""&amp;IFERROR(MAX(FILTER($A$2:A14, $C$2:C13=$C13, $I$2:I13&lt;&gt;1)), 0), $I$2:I13, 1),1))
"),"#DIV/0!")</f>
        <v>#DIV/0!</v>
      </c>
      <c r="K13" s="20" t="e">
        <f t="shared" ca="1" si="2"/>
        <v>#DIV/0!</v>
      </c>
      <c r="L13" s="20" t="e">
        <f t="shared" ca="1" si="3"/>
        <v>#DIV/0!</v>
      </c>
      <c r="M13" s="21" t="e">
        <f t="shared" ca="1" si="4"/>
        <v>#DIV/0!</v>
      </c>
      <c r="N13" s="22" t="str">
        <f ca="1">IFERROR(__xludf.DUMMYFUNCTION("IF(COUNTIFS($C$2:C13, C13, $A$2:A13, ""&lt;="" &amp; A13) &lt; 30, STDEV.P(FILTER($G$2:G13, $C$2:C13 = C13)), STDEV.P(FILTER($G$2:G13, $C$2:C13 = C13, $A$2:A13 &gt;= A13 - 30)))
"),"#DIV/0!")</f>
        <v>#DIV/0!</v>
      </c>
    </row>
    <row r="14" spans="1:14" x14ac:dyDescent="0.2">
      <c r="A14" s="18">
        <v>46254</v>
      </c>
      <c r="B14" s="5" t="b">
        <v>0</v>
      </c>
      <c r="C14" s="3" t="s">
        <v>36</v>
      </c>
      <c r="D14" s="19"/>
      <c r="E14" s="19"/>
      <c r="F14" s="19"/>
      <c r="G14" s="19" t="e">
        <f t="shared" si="0"/>
        <v>#DIV/0!</v>
      </c>
      <c r="H14" s="20" t="str">
        <f ca="1">IFERROR(__xludf.DUMMYFUNCTION("IF(COUNTIFS($C$2:C14, C14, $A$2:A14, ""&lt;="" &amp; A14) &lt; 30, AVERAGEIF($C$2:C14, C14, $G$2:G14), AVERAGE(FILTER($G$2:G14, $C$2:C14 = C14, $A$2:A14 &gt;= A14 - 30)))
"),"#DIV/0!")</f>
        <v>#DIV/0!</v>
      </c>
      <c r="I14" s="20" t="e">
        <f t="shared" ca="1" si="1"/>
        <v>#DIV/0!</v>
      </c>
      <c r="J14" s="20" t="str">
        <f ca="1">IFERROR(__xludf.DUMMYFUNCTION("IF(OR($I14=2, $I14=3), 0, IFERROR(COUNTIFS($C$2:C14, $C14, $A$2:A15, ""&gt;""&amp;IFERROR(MAX(FILTER($A$2:A15, $C$2:C14=$C14, $I$2:I14&lt;&gt;1)), 0), $I$2:I14, 1),1))
"),"#DIV/0!")</f>
        <v>#DIV/0!</v>
      </c>
      <c r="K14" s="20" t="e">
        <f t="shared" ca="1" si="2"/>
        <v>#DIV/0!</v>
      </c>
      <c r="L14" s="20" t="e">
        <f t="shared" ca="1" si="3"/>
        <v>#DIV/0!</v>
      </c>
      <c r="M14" s="21" t="e">
        <f t="shared" ca="1" si="4"/>
        <v>#DIV/0!</v>
      </c>
      <c r="N14" s="22" t="str">
        <f ca="1">IFERROR(__xludf.DUMMYFUNCTION("IF(COUNTIFS($C$2:C14, C14, $A$2:A14, ""&lt;="" &amp; A14) &lt; 30, STDEV.P(FILTER($G$2:G14, $C$2:C14 = C14)), STDEV.P(FILTER($G$2:G14, $C$2:C14 = C14, $A$2:A14 &gt;= A14 - 30)))
"),"#DIV/0!")</f>
        <v>#DIV/0!</v>
      </c>
    </row>
    <row r="15" spans="1:14" x14ac:dyDescent="0.2">
      <c r="A15" s="18">
        <v>46254</v>
      </c>
      <c r="B15" s="5" t="b">
        <v>0</v>
      </c>
      <c r="C15" s="3" t="s">
        <v>39</v>
      </c>
      <c r="D15" s="19"/>
      <c r="E15" s="19"/>
      <c r="F15" s="19"/>
      <c r="G15" s="19" t="e">
        <f t="shared" si="0"/>
        <v>#DIV/0!</v>
      </c>
      <c r="H15" s="20" t="str">
        <f ca="1">IFERROR(__xludf.DUMMYFUNCTION("IF(COUNTIFS($C$2:C15, C15, $A$2:A15, ""&lt;="" &amp; A15) &lt; 30, AVERAGEIF($C$2:C15, C15, $G$2:G15), AVERAGE(FILTER($G$2:G15, $C$2:C15 = C15, $A$2:A15 &gt;= A15 - 30)))
"),"#DIV/0!")</f>
        <v>#DIV/0!</v>
      </c>
      <c r="I15" s="20" t="e">
        <f t="shared" ca="1" si="1"/>
        <v>#DIV/0!</v>
      </c>
      <c r="J15" s="20" t="str">
        <f ca="1">IFERROR(__xludf.DUMMYFUNCTION("IF(OR($I15=2, $I15=3), 0, IFERROR(COUNTIFS($C$2:C15, $C15, $A$2:A16, ""&gt;""&amp;IFERROR(MAX(FILTER($A$2:A16, $C$2:C15=$C15, $I$2:I15&lt;&gt;1)), 0), $I$2:I15, 1),1))
"),"#DIV/0!")</f>
        <v>#DIV/0!</v>
      </c>
      <c r="K15" s="20" t="e">
        <f t="shared" ca="1" si="2"/>
        <v>#DIV/0!</v>
      </c>
      <c r="L15" s="20" t="e">
        <f t="shared" ca="1" si="3"/>
        <v>#DIV/0!</v>
      </c>
      <c r="M15" s="21" t="e">
        <f t="shared" ca="1" si="4"/>
        <v>#DIV/0!</v>
      </c>
      <c r="N15" s="22" t="str">
        <f ca="1">IFERROR(__xludf.DUMMYFUNCTION("IF(COUNTIFS($C$2:C15, C15, $A$2:A15, ""&lt;="" &amp; A15) &lt; 30, STDEV.P(FILTER($G$2:G15, $C$2:C15 = C15)), STDEV.P(FILTER($G$2:G15, $C$2:C15 = C15, $A$2:A15 &gt;= A15 - 30)))
"),"#DIV/0!")</f>
        <v>#DIV/0!</v>
      </c>
    </row>
    <row r="16" spans="1:14" x14ac:dyDescent="0.2">
      <c r="A16" s="18">
        <v>46254</v>
      </c>
      <c r="B16" s="5" t="b">
        <v>0</v>
      </c>
      <c r="C16" s="3" t="s">
        <v>42</v>
      </c>
      <c r="D16" s="19"/>
      <c r="E16" s="19"/>
      <c r="F16" s="19"/>
      <c r="G16" s="19" t="e">
        <f t="shared" si="0"/>
        <v>#DIV/0!</v>
      </c>
      <c r="H16" s="20" t="str">
        <f ca="1">IFERROR(__xludf.DUMMYFUNCTION("IF(COUNTIFS($C$2:C16, C16, $A$2:A16, ""&lt;="" &amp; A16) &lt; 30, AVERAGEIF($C$2:C16, C16, $G$2:G16), AVERAGE(FILTER($G$2:G16, $C$2:C16 = C16, $A$2:A16 &gt;= A16 - 30)))
"),"#DIV/0!")</f>
        <v>#DIV/0!</v>
      </c>
      <c r="I16" s="20" t="e">
        <f t="shared" ca="1" si="1"/>
        <v>#DIV/0!</v>
      </c>
      <c r="J16" s="20" t="str">
        <f ca="1">IFERROR(__xludf.DUMMYFUNCTION("IF(OR($I16=2, $I16=3), 0, IFERROR(COUNTIFS($C$2:C16, $C16, $A$2:A17, ""&gt;""&amp;IFERROR(MAX(FILTER($A$2:A17, $C$2:C16=$C16, $I$2:I16&lt;&gt;1)), 0), $I$2:I16, 1),1))
"),"#DIV/0!")</f>
        <v>#DIV/0!</v>
      </c>
      <c r="K16" s="20" t="e">
        <f t="shared" ca="1" si="2"/>
        <v>#DIV/0!</v>
      </c>
      <c r="L16" s="20" t="e">
        <f t="shared" ca="1" si="3"/>
        <v>#DIV/0!</v>
      </c>
      <c r="M16" s="21" t="e">
        <f t="shared" ca="1" si="4"/>
        <v>#DIV/0!</v>
      </c>
      <c r="N16" s="22" t="str">
        <f ca="1">IFERROR(__xludf.DUMMYFUNCTION("IF(COUNTIFS($C$2:C16, C16, $A$2:A16, ""&lt;="" &amp; A16) &lt; 30, STDEV.P(FILTER($G$2:G16, $C$2:C16 = C16)), STDEV.P(FILTER($G$2:G16, $C$2:C16 = C16, $A$2:A16 &gt;= A16 - 30)))
"),"#DIV/0!")</f>
        <v>#DIV/0!</v>
      </c>
    </row>
    <row r="17" spans="1:14" x14ac:dyDescent="0.2">
      <c r="A17" s="18">
        <v>46254</v>
      </c>
      <c r="B17" s="5" t="b">
        <v>0</v>
      </c>
      <c r="C17" s="3" t="s">
        <v>45</v>
      </c>
      <c r="D17" s="19"/>
      <c r="E17" s="19"/>
      <c r="F17" s="19"/>
      <c r="G17" s="19" t="e">
        <f t="shared" si="0"/>
        <v>#DIV/0!</v>
      </c>
      <c r="H17" s="20" t="str">
        <f ca="1">IFERROR(__xludf.DUMMYFUNCTION("IF(COUNTIFS($C$2:C17, C17, $A$2:A17, ""&lt;="" &amp; A17) &lt; 30, AVERAGEIF($C$2:C17, C17, $G$2:G17), AVERAGE(FILTER($G$2:G17, $C$2:C17 = C17, $A$2:A17 &gt;= A17 - 30)))
"),"#DIV/0!")</f>
        <v>#DIV/0!</v>
      </c>
      <c r="I17" s="20" t="e">
        <f t="shared" ca="1" si="1"/>
        <v>#DIV/0!</v>
      </c>
      <c r="J17" s="20" t="str">
        <f ca="1">IFERROR(__xludf.DUMMYFUNCTION("IF(OR($I17=2, $I17=3), 0, IFERROR(COUNTIFS($C$2:C17, $C17, $A$2:A18, ""&gt;""&amp;IFERROR(MAX(FILTER($A$2:A18, $C$2:C17=$C17, $I$2:I17&lt;&gt;1)), 0), $I$2:I17, 1),1))
"),"#DIV/0!")</f>
        <v>#DIV/0!</v>
      </c>
      <c r="K17" s="20" t="e">
        <f t="shared" ca="1" si="2"/>
        <v>#DIV/0!</v>
      </c>
      <c r="L17" s="20" t="e">
        <f t="shared" ca="1" si="3"/>
        <v>#DIV/0!</v>
      </c>
      <c r="M17" s="21" t="e">
        <f t="shared" ca="1" si="4"/>
        <v>#DIV/0!</v>
      </c>
      <c r="N17" s="22" t="str">
        <f ca="1">IFERROR(__xludf.DUMMYFUNCTION("IF(COUNTIFS($C$2:C17, C17, $A$2:A17, ""&lt;="" &amp; A17) &lt; 30, STDEV.P(FILTER($G$2:G17, $C$2:C17 = C17)), STDEV.P(FILTER($G$2:G17, $C$2:C17 = C17, $A$2:A17 &gt;= A17 - 30)))
"),"#DIV/0!")</f>
        <v>#DIV/0!</v>
      </c>
    </row>
    <row r="18" spans="1:14" x14ac:dyDescent="0.2">
      <c r="A18" s="18">
        <v>46254</v>
      </c>
      <c r="B18" s="5" t="b">
        <v>0</v>
      </c>
      <c r="C18" s="3" t="s">
        <v>48</v>
      </c>
      <c r="D18" s="19"/>
      <c r="E18" s="19"/>
      <c r="F18" s="19"/>
      <c r="G18" s="19" t="e">
        <f t="shared" si="0"/>
        <v>#DIV/0!</v>
      </c>
      <c r="H18" s="20" t="str">
        <f ca="1">IFERROR(__xludf.DUMMYFUNCTION("IF(COUNTIFS($C$2:C18, C18, $A$2:A18, ""&lt;="" &amp; A18) &lt; 30, AVERAGEIF($C$2:C18, C18, $G$2:G18), AVERAGE(FILTER($G$2:G18, $C$2:C18 = C18, $A$2:A18 &gt;= A18 - 30)))
"),"#DIV/0!")</f>
        <v>#DIV/0!</v>
      </c>
      <c r="I18" s="20" t="e">
        <f t="shared" ca="1" si="1"/>
        <v>#DIV/0!</v>
      </c>
      <c r="J18" s="20" t="str">
        <f ca="1">IFERROR(__xludf.DUMMYFUNCTION("IF(OR($I18=2, $I18=3), 0, IFERROR(COUNTIFS($C$2:C18, $C18, $A$2:A19, ""&gt;""&amp;IFERROR(MAX(FILTER($A$2:A19, $C$2:C18=$C18, $I$2:I18&lt;&gt;1)), 0), $I$2:I18, 1),1))
"),"#DIV/0!")</f>
        <v>#DIV/0!</v>
      </c>
      <c r="K18" s="20" t="e">
        <f t="shared" ca="1" si="2"/>
        <v>#DIV/0!</v>
      </c>
      <c r="L18" s="20" t="e">
        <f t="shared" ca="1" si="3"/>
        <v>#DIV/0!</v>
      </c>
      <c r="M18" s="21" t="e">
        <f t="shared" ca="1" si="4"/>
        <v>#DIV/0!</v>
      </c>
      <c r="N18" s="22" t="str">
        <f ca="1">IFERROR(__xludf.DUMMYFUNCTION("IF(COUNTIFS($C$2:C18, C18, $A$2:A18, ""&lt;="" &amp; A18) &lt; 30, STDEV.P(FILTER($G$2:G18, $C$2:C18 = C18)), STDEV.P(FILTER($G$2:G18, $C$2:C18 = C18, $A$2:A18 &gt;= A18 - 30)))
"),"#DIV/0!")</f>
        <v>#DIV/0!</v>
      </c>
    </row>
    <row r="19" spans="1:14" x14ac:dyDescent="0.2">
      <c r="A19" s="18">
        <v>46254</v>
      </c>
      <c r="B19" s="5" t="b">
        <v>0</v>
      </c>
      <c r="C19" s="3" t="s">
        <v>51</v>
      </c>
      <c r="D19" s="19"/>
      <c r="E19" s="19"/>
      <c r="F19" s="19"/>
      <c r="G19" s="19" t="e">
        <f t="shared" si="0"/>
        <v>#DIV/0!</v>
      </c>
      <c r="H19" s="20" t="str">
        <f ca="1">IFERROR(__xludf.DUMMYFUNCTION("IF(COUNTIFS($C$2:C19, C19, $A$2:A19, ""&lt;="" &amp; A19) &lt; 30, AVERAGEIF($C$2:C19, C19, $G$2:G19), AVERAGE(FILTER($G$2:G19, $C$2:C19 = C19, $A$2:A19 &gt;= A19 - 30)))
"),"#DIV/0!")</f>
        <v>#DIV/0!</v>
      </c>
      <c r="I19" s="20" t="e">
        <f t="shared" ca="1" si="1"/>
        <v>#DIV/0!</v>
      </c>
      <c r="J19" s="20" t="str">
        <f ca="1">IFERROR(__xludf.DUMMYFUNCTION("IF(OR($I19=2, $I19=3), 0, IFERROR(COUNTIFS($C$2:C19, $C19, $A$2:A20, ""&gt;""&amp;IFERROR(MAX(FILTER($A$2:A20, $C$2:C19=$C19, $I$2:I19&lt;&gt;1)), 0), $I$2:I19, 1),1))
"),"#DIV/0!")</f>
        <v>#DIV/0!</v>
      </c>
      <c r="K19" s="20" t="e">
        <f t="shared" ca="1" si="2"/>
        <v>#DIV/0!</v>
      </c>
      <c r="L19" s="20" t="e">
        <f t="shared" ca="1" si="3"/>
        <v>#DIV/0!</v>
      </c>
      <c r="M19" s="21" t="e">
        <f t="shared" ca="1" si="4"/>
        <v>#DIV/0!</v>
      </c>
      <c r="N19" s="22" t="str">
        <f ca="1">IFERROR(__xludf.DUMMYFUNCTION("IF(COUNTIFS($C$2:C19, C19, $A$2:A19, ""&lt;="" &amp; A19) &lt; 30, STDEV.P(FILTER($G$2:G19, $C$2:C19 = C19)), STDEV.P(FILTER($G$2:G19, $C$2:C19 = C19, $A$2:A19 &gt;= A19 - 30)))
"),"#DIV/0!")</f>
        <v>#DIV/0!</v>
      </c>
    </row>
    <row r="20" spans="1:14" x14ac:dyDescent="0.2">
      <c r="A20" s="18">
        <v>46254</v>
      </c>
      <c r="B20" s="7" t="b">
        <v>0</v>
      </c>
      <c r="C20" s="3" t="s">
        <v>54</v>
      </c>
      <c r="D20" s="19"/>
      <c r="E20" s="19"/>
      <c r="F20" s="19"/>
      <c r="G20" s="19" t="e">
        <f t="shared" si="0"/>
        <v>#DIV/0!</v>
      </c>
      <c r="H20" s="20" t="str">
        <f ca="1">IFERROR(__xludf.DUMMYFUNCTION("IF(COUNTIFS($C$2:C20, C20, $A$2:A20, ""&lt;="" &amp; A20) &lt; 30, AVERAGEIF($C$2:C20, C20, $G$2:G20), AVERAGE(FILTER($G$2:G20, $C$2:C20 = C20, $A$2:A20 &gt;= A20 - 30)))
"),"#DIV/0!")</f>
        <v>#DIV/0!</v>
      </c>
      <c r="I20" s="20" t="e">
        <f t="shared" ca="1" si="1"/>
        <v>#DIV/0!</v>
      </c>
      <c r="J20" s="20" t="str">
        <f ca="1">IFERROR(__xludf.DUMMYFUNCTION("IF(OR($I20=2, $I20=3), 0, IFERROR(COUNTIFS($C$2:C20, $C20, $A$2:A21, ""&gt;""&amp;IFERROR(MAX(FILTER($A$2:A21, $C$2:C20=$C20, $I$2:I20&lt;&gt;1)), 0), $I$2:I20, 1),1))
"),"#DIV/0!")</f>
        <v>#DIV/0!</v>
      </c>
      <c r="K20" s="20" t="e">
        <f t="shared" ca="1" si="2"/>
        <v>#DIV/0!</v>
      </c>
      <c r="L20" s="20" t="e">
        <f t="shared" ca="1" si="3"/>
        <v>#DIV/0!</v>
      </c>
      <c r="M20" s="21" t="e">
        <f t="shared" ca="1" si="4"/>
        <v>#DIV/0!</v>
      </c>
      <c r="N20" s="22" t="str">
        <f ca="1">IFERROR(__xludf.DUMMYFUNCTION("IF(COUNTIFS($C$2:C20, C20, $A$2:A20, ""&lt;="" &amp; A20) &lt; 30, STDEV.P(FILTER($G$2:G20, $C$2:C20 = C20)), STDEV.P(FILTER($G$2:G20, $C$2:C20 = C20, $A$2:A20 &gt;= A20 - 30)))
"),"#DIV/0!")</f>
        <v>#DIV/0!</v>
      </c>
    </row>
    <row r="21" spans="1:14" x14ac:dyDescent="0.2">
      <c r="A21" s="18">
        <v>46254</v>
      </c>
      <c r="B21" s="7" t="b">
        <v>0</v>
      </c>
      <c r="C21" s="3" t="s">
        <v>56</v>
      </c>
      <c r="D21" s="19"/>
      <c r="E21" s="19"/>
      <c r="F21" s="19"/>
      <c r="G21" s="19" t="e">
        <f t="shared" si="0"/>
        <v>#DIV/0!</v>
      </c>
      <c r="H21" s="20" t="str">
        <f ca="1">IFERROR(__xludf.DUMMYFUNCTION("IF(COUNTIFS($C$2:C21, C21, $A$2:A21, ""&lt;="" &amp; A21) &lt; 30, AVERAGEIF($C$2:C21, C21, $G$2:G21), AVERAGE(FILTER($G$2:G21, $C$2:C21 = C21, $A$2:A21 &gt;= A21 - 30)))
"),"#DIV/0!")</f>
        <v>#DIV/0!</v>
      </c>
      <c r="I21" s="20" t="e">
        <f t="shared" ca="1" si="1"/>
        <v>#DIV/0!</v>
      </c>
      <c r="J21" s="20" t="str">
        <f ca="1">IFERROR(__xludf.DUMMYFUNCTION("IF(OR($I21=2, $I21=3), 0, IFERROR(COUNTIFS($C$2:C21, $C21, $A$2:A22, ""&gt;""&amp;IFERROR(MAX(FILTER($A$2:A22, $C$2:C21=$C21, $I$2:I21&lt;&gt;1)), 0), $I$2:I21, 1),1))
"),"#DIV/0!")</f>
        <v>#DIV/0!</v>
      </c>
      <c r="K21" s="20" t="e">
        <f t="shared" ca="1" si="2"/>
        <v>#DIV/0!</v>
      </c>
      <c r="L21" s="20" t="e">
        <f t="shared" ca="1" si="3"/>
        <v>#DIV/0!</v>
      </c>
      <c r="M21" s="21" t="e">
        <f t="shared" ca="1" si="4"/>
        <v>#DIV/0!</v>
      </c>
      <c r="N21" s="22" t="str">
        <f ca="1">IFERROR(__xludf.DUMMYFUNCTION("IF(COUNTIFS($C$2:C21, C21, $A$2:A21, ""&lt;="" &amp; A21) &lt; 30, STDEV.P(FILTER($G$2:G21, $C$2:C21 = C21)), STDEV.P(FILTER($G$2:G21, $C$2:C21 = C21, $A$2:A21 &gt;= A21 - 30)))
"),"#DIV/0!")</f>
        <v>#DIV/0!</v>
      </c>
    </row>
    <row r="22" spans="1:14" x14ac:dyDescent="0.2">
      <c r="A22" s="18">
        <v>46254</v>
      </c>
      <c r="B22" s="7" t="b">
        <v>0</v>
      </c>
      <c r="C22" s="3" t="s">
        <v>59</v>
      </c>
      <c r="D22" s="19"/>
      <c r="E22" s="19"/>
      <c r="F22" s="19"/>
      <c r="G22" s="19" t="e">
        <f t="shared" si="0"/>
        <v>#DIV/0!</v>
      </c>
      <c r="H22" s="20" t="str">
        <f ca="1">IFERROR(__xludf.DUMMYFUNCTION("IF(COUNTIFS($C$2:C22, C22, $A$2:A22, ""&lt;="" &amp; A22) &lt; 30, AVERAGEIF($C$2:C22, C22, $G$2:G22), AVERAGE(FILTER($G$2:G22, $C$2:C22 = C22, $A$2:A22 &gt;= A22 - 30)))
"),"#DIV/0!")</f>
        <v>#DIV/0!</v>
      </c>
      <c r="I22" s="20" t="e">
        <f t="shared" ca="1" si="1"/>
        <v>#DIV/0!</v>
      </c>
      <c r="J22" s="20" t="str">
        <f ca="1">IFERROR(__xludf.DUMMYFUNCTION("IF(OR($I22=2, $I22=3), 0, IFERROR(COUNTIFS($C$2:C22, $C22, $A$2:A22, ""&gt;""&amp;IFERROR(MAX(FILTER($A$2:A22, $C$2:C22=$C22, $I$2:I22&lt;&gt;1)), 0), $I$2:I22, 1),1))
"),"#DIV/0!")</f>
        <v>#DIV/0!</v>
      </c>
      <c r="K22" s="20" t="e">
        <f t="shared" ca="1" si="2"/>
        <v>#DIV/0!</v>
      </c>
      <c r="L22" s="20" t="e">
        <f t="shared" ca="1" si="3"/>
        <v>#DIV/0!</v>
      </c>
      <c r="M22" s="21" t="e">
        <f t="shared" ca="1" si="4"/>
        <v>#DIV/0!</v>
      </c>
      <c r="N22" s="22" t="str">
        <f ca="1">IFERROR(__xludf.DUMMYFUNCTION("IF(COUNTIFS($C$2:C22, C22, $A$2:A22, ""&lt;="" &amp; A22) &lt; 30, STDEV.P(FILTER($G$2:G22, $C$2:C22 = C22)), STDEV.P(FILTER($G$2:G22, $C$2:C22 = C22, $A$2:A22 &gt;= A22 - 30)))
"),"#DIV/0!")</f>
        <v>#DIV/0!</v>
      </c>
    </row>
    <row r="23" spans="1:14" x14ac:dyDescent="0.2">
      <c r="A23" s="18">
        <v>46254</v>
      </c>
      <c r="B23" s="7" t="b">
        <v>0</v>
      </c>
      <c r="C23" s="3" t="s">
        <v>62</v>
      </c>
      <c r="D23" s="19"/>
      <c r="E23" s="19"/>
      <c r="F23" s="19"/>
      <c r="G23" s="19" t="e">
        <f t="shared" si="0"/>
        <v>#DIV/0!</v>
      </c>
      <c r="H23" s="20" t="str">
        <f ca="1">IFERROR(__xludf.DUMMYFUNCTION("IF(COUNTIFS($C$2:C23, C23, $A$2:A23, ""&lt;="" &amp; A23) &lt; 30, AVERAGEIF($C$2:C23, C23, $G$2:G23), AVERAGE(FILTER($G$2:G23, $C$2:C23 = C23, $A$2:A23 &gt;= A23 - 30)))
"),"#DIV/0!")</f>
        <v>#DIV/0!</v>
      </c>
      <c r="I23" s="20" t="e">
        <f t="shared" ca="1" si="1"/>
        <v>#DIV/0!</v>
      </c>
      <c r="J23" s="20" t="str">
        <f ca="1">IFERROR(__xludf.DUMMYFUNCTION("IF(OR($I23=2, $I23=3), 0, IFERROR(COUNTIFS($C$2:C23, $C23, $A$2:A24, ""&gt;""&amp;IFERROR(MAX(FILTER($A$2:A24, $C$2:C23=$C23, $I$2:I23&lt;&gt;1)), 0), $I$2:I23, 1),1))
"),"#DIV/0!")</f>
        <v>#DIV/0!</v>
      </c>
      <c r="K23" s="20" t="e">
        <f t="shared" ca="1" si="2"/>
        <v>#DIV/0!</v>
      </c>
      <c r="L23" s="20" t="e">
        <f t="shared" ca="1" si="3"/>
        <v>#DIV/0!</v>
      </c>
      <c r="M23" s="21" t="e">
        <f t="shared" ca="1" si="4"/>
        <v>#DIV/0!</v>
      </c>
      <c r="N23" s="22" t="str">
        <f ca="1">IFERROR(__xludf.DUMMYFUNCTION("IF(COUNTIFS($C$2:C23, C23, $A$2:A23, ""&lt;="" &amp; A23) &lt; 30, STDEV.P(FILTER($G$2:G23, $C$2:C23 = C23)), STDEV.P(FILTER($G$2:G23, $C$2:C23 = C23, $A$2:A23 &gt;= A23 - 30)))
"),"#DIV/0!")</f>
        <v>#DIV/0!</v>
      </c>
    </row>
    <row r="24" spans="1:14" x14ac:dyDescent="0.2">
      <c r="A24" s="18">
        <v>46254</v>
      </c>
      <c r="B24" s="7" t="b">
        <v>0</v>
      </c>
      <c r="C24" s="3" t="s">
        <v>65</v>
      </c>
      <c r="D24" s="19"/>
      <c r="E24" s="19"/>
      <c r="F24" s="19"/>
      <c r="G24" s="19" t="e">
        <f t="shared" si="0"/>
        <v>#DIV/0!</v>
      </c>
      <c r="H24" s="20" t="str">
        <f ca="1">IFERROR(__xludf.DUMMYFUNCTION("IF(COUNTIFS($C$2:C24, C24, $A$2:A24, ""&lt;="" &amp; A24) &lt; 30, AVERAGEIF($C$2:C24, C24, $G$2:G24), AVERAGE(FILTER($G$2:G24, $C$2:C24 = C24, $A$2:A24 &gt;= A24 - 30)))
"),"#DIV/0!")</f>
        <v>#DIV/0!</v>
      </c>
      <c r="I24" s="20" t="e">
        <f t="shared" ca="1" si="1"/>
        <v>#DIV/0!</v>
      </c>
      <c r="J24" s="20" t="str">
        <f ca="1">IFERROR(__xludf.DUMMYFUNCTION("IF(OR($I24=2, $I24=3), 0, IFERROR(COUNTIFS($C$2:C24, $C24, $A$2:A25, ""&gt;""&amp;IFERROR(MAX(FILTER($A$2:A25, $C$2:C24=$C24, $I$2:I24&lt;&gt;1)), 0), $I$2:I24, 1),1))
"),"#DIV/0!")</f>
        <v>#DIV/0!</v>
      </c>
      <c r="K24" s="20" t="e">
        <f t="shared" ca="1" si="2"/>
        <v>#DIV/0!</v>
      </c>
      <c r="L24" s="20" t="e">
        <f t="shared" ca="1" si="3"/>
        <v>#DIV/0!</v>
      </c>
      <c r="M24" s="21" t="e">
        <f t="shared" ca="1" si="4"/>
        <v>#DIV/0!</v>
      </c>
      <c r="N24" s="22" t="str">
        <f ca="1">IFERROR(__xludf.DUMMYFUNCTION("IF(COUNTIFS($C$2:C24, C24, $A$2:A24, ""&lt;="" &amp; A24) &lt; 30, STDEV.P(FILTER($G$2:G24, $C$2:C24 = C24)), STDEV.P(FILTER($G$2:G24, $C$2:C24 = C24, $A$2:A24 &gt;= A24 - 30)))
"),"#DIV/0!")</f>
        <v>#DIV/0!</v>
      </c>
    </row>
    <row r="25" spans="1:14" x14ac:dyDescent="0.2">
      <c r="A25" s="18">
        <v>46254</v>
      </c>
      <c r="B25" s="5" t="b">
        <v>0</v>
      </c>
      <c r="C25" s="3" t="s">
        <v>68</v>
      </c>
      <c r="D25" s="19"/>
      <c r="E25" s="19"/>
      <c r="F25" s="19"/>
      <c r="G25" s="19" t="e">
        <f t="shared" si="0"/>
        <v>#DIV/0!</v>
      </c>
      <c r="H25" s="20" t="str">
        <f ca="1">IFERROR(__xludf.DUMMYFUNCTION("IF(COUNTIFS($C$2:C25, C25, $A$2:A25, ""&lt;="" &amp; A25) &lt; 30, AVERAGEIF($C$2:C25, C25, $G$2:G25), AVERAGE(FILTER($G$2:G25, $C$2:C25 = C25, $A$2:A25 &gt;= A25 - 30)))
"),"#DIV/0!")</f>
        <v>#DIV/0!</v>
      </c>
      <c r="I25" s="20" t="e">
        <f t="shared" ca="1" si="1"/>
        <v>#DIV/0!</v>
      </c>
      <c r="J25" s="20" t="str">
        <f ca="1">IFERROR(__xludf.DUMMYFUNCTION("IF(OR($I25=2, $I25=3), 0, IFERROR(COUNTIFS($C$2:C25, $C25, $A$2:A26, ""&gt;""&amp;IFERROR(MAX(FILTER($A$2:A26, $C$2:C25=$C25, $I$2:I25&lt;&gt;1)), 0), $I$2:I25, 1),1))
"),"#DIV/0!")</f>
        <v>#DIV/0!</v>
      </c>
      <c r="K25" s="20" t="e">
        <f t="shared" ca="1" si="2"/>
        <v>#DIV/0!</v>
      </c>
      <c r="L25" s="20" t="e">
        <f t="shared" ca="1" si="3"/>
        <v>#DIV/0!</v>
      </c>
      <c r="M25" s="21" t="e">
        <f t="shared" ca="1" si="4"/>
        <v>#DIV/0!</v>
      </c>
      <c r="N25" s="22" t="str">
        <f ca="1">IFERROR(__xludf.DUMMYFUNCTION("IF(COUNTIFS($C$2:C25, C25, $A$2:A25, ""&lt;="" &amp; A25) &lt; 30, STDEV.P(FILTER($G$2:G25, $C$2:C25 = C25)), STDEV.P(FILTER($G$2:G25, $C$2:C25 = C25, $A$2:A25 &gt;= A25 - 30)))
"),"#DIV/0!")</f>
        <v>#DIV/0!</v>
      </c>
    </row>
    <row r="26" spans="1:14" x14ac:dyDescent="0.2">
      <c r="A26" s="18">
        <v>46254</v>
      </c>
      <c r="B26" s="5" t="b">
        <v>0</v>
      </c>
      <c r="C26" s="3" t="s">
        <v>71</v>
      </c>
      <c r="D26" s="19"/>
      <c r="E26" s="19"/>
      <c r="F26" s="19"/>
      <c r="G26" s="19" t="e">
        <f t="shared" si="0"/>
        <v>#DIV/0!</v>
      </c>
      <c r="H26" s="20" t="str">
        <f ca="1">IFERROR(__xludf.DUMMYFUNCTION("IF(COUNTIFS($C$2:C26, C26, $A$2:A26, ""&lt;="" &amp; A26) &lt; 30, AVERAGEIF($C$2:C26, C26, $G$2:G26), AVERAGE(FILTER($G$2:G26, $C$2:C26 = C26, $A$2:A26 &gt;= A26 - 30)))
"),"#DIV/0!")</f>
        <v>#DIV/0!</v>
      </c>
      <c r="I26" s="20" t="e">
        <f t="shared" ca="1" si="1"/>
        <v>#DIV/0!</v>
      </c>
      <c r="J26" s="20" t="str">
        <f ca="1">IFERROR(__xludf.DUMMYFUNCTION("IF(OR($I26=2, $I26=3), 0, IFERROR(COUNTIFS($C$2:C26, $C26, $A$2:A27, ""&gt;""&amp;IFERROR(MAX(FILTER($A$2:A27, $C$2:C26=$C26, $I$2:I26&lt;&gt;1)), 0), $I$2:I26, 1),1))
"),"#DIV/0!")</f>
        <v>#DIV/0!</v>
      </c>
      <c r="K26" s="20" t="e">
        <f t="shared" ca="1" si="2"/>
        <v>#DIV/0!</v>
      </c>
      <c r="L26" s="20" t="e">
        <f t="shared" ca="1" si="3"/>
        <v>#DIV/0!</v>
      </c>
      <c r="M26" s="21" t="e">
        <f t="shared" ca="1" si="4"/>
        <v>#DIV/0!</v>
      </c>
      <c r="N26" s="22" t="str">
        <f ca="1">IFERROR(__xludf.DUMMYFUNCTION("IF(COUNTIFS($C$2:C26, C26, $A$2:A26, ""&lt;="" &amp; A26) &lt; 30, STDEV.P(FILTER($G$2:G26, $C$2:C26 = C26)), STDEV.P(FILTER($G$2:G26, $C$2:C26 = C26, $A$2:A26 &gt;= A26 - 30)))
"),"#DIV/0!")</f>
        <v>#DIV/0!</v>
      </c>
    </row>
    <row r="27" spans="1:14" x14ac:dyDescent="0.2">
      <c r="A27" s="18">
        <v>46254</v>
      </c>
      <c r="B27" s="5" t="b">
        <v>0</v>
      </c>
      <c r="C27" s="3" t="s">
        <v>74</v>
      </c>
      <c r="D27" s="19"/>
      <c r="E27" s="19"/>
      <c r="F27" s="19"/>
      <c r="G27" s="19" t="e">
        <f t="shared" si="0"/>
        <v>#DIV/0!</v>
      </c>
      <c r="H27" s="20" t="str">
        <f ca="1">IFERROR(__xludf.DUMMYFUNCTION("IF(COUNTIFS($C$2:C27, C27, $A$2:A27, ""&lt;="" &amp; A27) &lt; 30, AVERAGEIF($C$2:C27, C27, $G$2:G27), AVERAGE(FILTER($G$2:G27, $C$2:C27 = C27, $A$2:A27 &gt;= A27 - 30)))
"),"#DIV/0!")</f>
        <v>#DIV/0!</v>
      </c>
      <c r="I27" s="20" t="e">
        <f t="shared" ca="1" si="1"/>
        <v>#DIV/0!</v>
      </c>
      <c r="J27" s="20" t="str">
        <f ca="1">IFERROR(__xludf.DUMMYFUNCTION("IF(OR($I27=2, $I27=3), 0, IFERROR(COUNTIFS($C$2:C27, $C27, $A$2:A28, ""&gt;""&amp;IFERROR(MAX(FILTER($A$2:A28, $C$2:C27=$C27, $I$2:I27&lt;&gt;1)), 0), $I$2:I27, 1),1))
"),"#DIV/0!")</f>
        <v>#DIV/0!</v>
      </c>
      <c r="K27" s="20" t="e">
        <f t="shared" ca="1" si="2"/>
        <v>#DIV/0!</v>
      </c>
      <c r="L27" s="20" t="e">
        <f t="shared" ca="1" si="3"/>
        <v>#DIV/0!</v>
      </c>
      <c r="M27" s="21" t="e">
        <f t="shared" ca="1" si="4"/>
        <v>#DIV/0!</v>
      </c>
      <c r="N27" s="22" t="str">
        <f ca="1">IFERROR(__xludf.DUMMYFUNCTION("IF(COUNTIFS($C$2:C27, C27, $A$2:A27, ""&lt;="" &amp; A27) &lt; 30, STDEV.P(FILTER($G$2:G27, $C$2:C27 = C27)), STDEV.P(FILTER($G$2:G27, $C$2:C27 = C27, $A$2:A27 &gt;= A27 - 30)))
"),"#DIV/0!")</f>
        <v>#DIV/0!</v>
      </c>
    </row>
    <row r="28" spans="1:14" x14ac:dyDescent="0.2">
      <c r="A28" s="18">
        <v>46254</v>
      </c>
      <c r="B28" s="5" t="b">
        <v>0</v>
      </c>
      <c r="C28" s="3" t="s">
        <v>77</v>
      </c>
      <c r="D28" s="19"/>
      <c r="E28" s="19"/>
      <c r="F28" s="19"/>
      <c r="G28" s="19" t="e">
        <f t="shared" si="0"/>
        <v>#DIV/0!</v>
      </c>
      <c r="H28" s="20" t="str">
        <f ca="1">IFERROR(__xludf.DUMMYFUNCTION("IF(COUNTIFS($C$2:C28, C28, $A$2:A28, ""&lt;="" &amp; A28) &lt; 30, AVERAGEIF($C$2:C28, C28, $G$2:G28), AVERAGE(FILTER($G$2:G28, $C$2:C28 = C28, $A$2:A28 &gt;= A28 - 30)))
"),"#DIV/0!")</f>
        <v>#DIV/0!</v>
      </c>
      <c r="I28" s="20" t="e">
        <f t="shared" ca="1" si="1"/>
        <v>#DIV/0!</v>
      </c>
      <c r="J28" s="20" t="str">
        <f ca="1">IFERROR(__xludf.DUMMYFUNCTION("IF(OR($I28=2, $I28=3), 0, IFERROR(COUNTIFS($C$2:C28, $C28, $A$2:A29, ""&gt;""&amp;IFERROR(MAX(FILTER($A$2:A29, $C$2:C28=$C28, $I$2:I28&lt;&gt;1)), 0), $I$2:I28, 1),1))
"),"#DIV/0!")</f>
        <v>#DIV/0!</v>
      </c>
      <c r="K28" s="20" t="e">
        <f t="shared" ca="1" si="2"/>
        <v>#DIV/0!</v>
      </c>
      <c r="L28" s="20" t="e">
        <f t="shared" ca="1" si="3"/>
        <v>#DIV/0!</v>
      </c>
      <c r="M28" s="21" t="e">
        <f t="shared" ca="1" si="4"/>
        <v>#DIV/0!</v>
      </c>
      <c r="N28" s="22" t="str">
        <f ca="1">IFERROR(__xludf.DUMMYFUNCTION("IF(COUNTIFS($C$2:C28, C28, $A$2:A28, ""&lt;="" &amp; A28) &lt; 30, STDEV.P(FILTER($G$2:G28, $C$2:C28 = C28)), STDEV.P(FILTER($G$2:G28, $C$2:C28 = C28, $A$2:A28 &gt;= A28 - 30)))
"),"#DIV/0!")</f>
        <v>#DIV/0!</v>
      </c>
    </row>
    <row r="29" spans="1:14" x14ac:dyDescent="0.2">
      <c r="A29" s="18">
        <v>46254</v>
      </c>
      <c r="B29" s="5" t="b">
        <v>0</v>
      </c>
      <c r="C29" s="3" t="s">
        <v>79</v>
      </c>
      <c r="D29" s="19"/>
      <c r="E29" s="19"/>
      <c r="F29" s="19"/>
      <c r="G29" s="19" t="e">
        <f t="shared" si="0"/>
        <v>#DIV/0!</v>
      </c>
      <c r="H29" s="20" t="str">
        <f ca="1">IFERROR(__xludf.DUMMYFUNCTION("IF(COUNTIFS($C$2:C29, C29, $A$2:A29, ""&lt;="" &amp; A29) &lt; 30, AVERAGEIF($C$2:C29, C29, $G$2:G29), AVERAGE(FILTER($G$2:G29, $C$2:C29 = C29, $A$2:A29 &gt;= A29 - 30)))
"),"#DIV/0!")</f>
        <v>#DIV/0!</v>
      </c>
      <c r="I29" s="20" t="e">
        <f t="shared" ca="1" si="1"/>
        <v>#DIV/0!</v>
      </c>
      <c r="J29" s="20" t="str">
        <f ca="1">IFERROR(__xludf.DUMMYFUNCTION("IF(OR($I29=2, $I29=3), 0, IFERROR(COUNTIFS($C$2:C29, $C29, $A$2:A30, ""&gt;""&amp;IFERROR(MAX(FILTER($A$2:A30, $C$2:C29=$C29, $I$2:I29&lt;&gt;1)), 0), $I$2:I29, 1),1))
"),"#DIV/0!")</f>
        <v>#DIV/0!</v>
      </c>
      <c r="K29" s="20" t="e">
        <f t="shared" ca="1" si="2"/>
        <v>#DIV/0!</v>
      </c>
      <c r="L29" s="20" t="e">
        <f t="shared" ca="1" si="3"/>
        <v>#DIV/0!</v>
      </c>
      <c r="M29" s="21" t="e">
        <f t="shared" ca="1" si="4"/>
        <v>#DIV/0!</v>
      </c>
      <c r="N29" s="22" t="str">
        <f ca="1">IFERROR(__xludf.DUMMYFUNCTION("IF(COUNTIFS($C$2:C29, C29, $A$2:A29, ""&lt;="" &amp; A29) &lt; 30, STDEV.P(FILTER($G$2:G29, $C$2:C29 = C29)), STDEV.P(FILTER($G$2:G29, $C$2:C29 = C29, $A$2:A29 &gt;= A29 - 30)))
"),"#DIV/0!")</f>
        <v>#DIV/0!</v>
      </c>
    </row>
    <row r="30" spans="1:14" x14ac:dyDescent="0.2">
      <c r="A30" s="6"/>
      <c r="B30" s="7"/>
      <c r="D30" s="19"/>
      <c r="E30" s="19"/>
      <c r="F30" s="19"/>
      <c r="G30" s="19" t="e">
        <f t="shared" si="0"/>
        <v>#DIV/0!</v>
      </c>
      <c r="H30" s="20" t="str">
        <f ca="1">IFERROR(__xludf.DUMMYFUNCTION("IF(COUNTIFS($C$2:C30, C30, $A$2:A30, ""&lt;="" &amp; A30) &lt; 30, AVERAGEIF($C$2:C30, C30, $G$2:G30), AVERAGE(FILTER($G$2:G30, $C$2:C30 = C30, $A$2:A30 &gt;= A30 - 30)))
"),"#DIV/0!")</f>
        <v>#DIV/0!</v>
      </c>
      <c r="I30" s="20" t="e">
        <f t="shared" ca="1" si="1"/>
        <v>#DIV/0!</v>
      </c>
      <c r="J30" s="20" t="str">
        <f ca="1">IFERROR(__xludf.DUMMYFUNCTION("IF(OR($I30=2, $I30=3), 0, IFERROR(COUNTIFS($C$2:C30, $C30, $A$2:A31, ""&gt;""&amp;IFERROR(MAX(FILTER($A$2:A31, $C$2:C30=$C30, $I$2:I30&lt;&gt;1)), 0), $I$2:I30, 1),1))
"),"#DIV/0!")</f>
        <v>#DIV/0!</v>
      </c>
      <c r="K30" s="20" t="e">
        <f t="shared" ca="1" si="2"/>
        <v>#DIV/0!</v>
      </c>
      <c r="L30" s="20" t="e">
        <f t="shared" ca="1" si="3"/>
        <v>#DIV/0!</v>
      </c>
      <c r="M30" s="21" t="e">
        <f t="shared" ca="1" si="4"/>
        <v>#DIV/0!</v>
      </c>
      <c r="N30" s="22" t="str">
        <f ca="1">IFERROR(__xludf.DUMMYFUNCTION("IF(COUNTIFS($C$2:C30, C30, $A$2:A30, ""&lt;="" &amp; A30) &lt; 30, STDEV.P(FILTER($G$2:G30, $C$2:C30 = C30)), STDEV.P(FILTER($G$2:G30, $C$2:C30 = C30, $A$2:A30 &gt;= A30 - 30)))
"),"#DIV/0!")</f>
        <v>#DIV/0!</v>
      </c>
    </row>
    <row r="31" spans="1:14" x14ac:dyDescent="0.2">
      <c r="A31" s="6"/>
      <c r="B31" s="7"/>
      <c r="D31" s="19"/>
      <c r="E31" s="19"/>
      <c r="F31" s="19"/>
      <c r="G31" s="19" t="e">
        <f t="shared" si="0"/>
        <v>#DIV/0!</v>
      </c>
      <c r="H31" s="20" t="str">
        <f ca="1">IFERROR(__xludf.DUMMYFUNCTION("IF(COUNTIFS($C$2:C31, C31, $A$2:A31, ""&lt;="" &amp; A31) &lt; 30, AVERAGEIF($C$2:C31, C31, $G$2:G31), AVERAGE(FILTER($G$2:G31, $C$2:C31 = C31, $A$2:A31 &gt;= A31 - 30)))
"),"#DIV/0!")</f>
        <v>#DIV/0!</v>
      </c>
      <c r="I31" s="20" t="e">
        <f t="shared" ca="1" si="1"/>
        <v>#DIV/0!</v>
      </c>
      <c r="J31" s="20" t="str">
        <f ca="1">IFERROR(__xludf.DUMMYFUNCTION("IF(OR($I31=2, $I31=3), 0, IFERROR(COUNTIFS($C$2:C31, $C31, $A$2:A32, ""&gt;""&amp;IFERROR(MAX(FILTER($A$2:A32, $C$2:C31=$C31, $I$2:I31&lt;&gt;1)), 0), $I$2:I31, 1),1))
"),"#DIV/0!")</f>
        <v>#DIV/0!</v>
      </c>
      <c r="K31" s="20" t="e">
        <f t="shared" ca="1" si="2"/>
        <v>#DIV/0!</v>
      </c>
      <c r="L31" s="20" t="e">
        <f t="shared" ca="1" si="3"/>
        <v>#DIV/0!</v>
      </c>
      <c r="M31" s="21" t="e">
        <f t="shared" ca="1" si="4"/>
        <v>#DIV/0!</v>
      </c>
      <c r="N31" s="22" t="str">
        <f ca="1">IFERROR(__xludf.DUMMYFUNCTION("IF(COUNTIFS($C$2:C31, C31, $A$2:A31, ""&lt;="" &amp; A31) &lt; 30, STDEV.P(FILTER($G$2:G31, $C$2:C31 = C31)), STDEV.P(FILTER($G$2:G31, $C$2:C31 = C31, $A$2:A31 &gt;= A31 - 30)))
"),"#DIV/0!")</f>
        <v>#DIV/0!</v>
      </c>
    </row>
    <row r="32" spans="1:14" x14ac:dyDescent="0.2">
      <c r="A32" s="23"/>
      <c r="B32" s="24"/>
      <c r="C32" s="25"/>
      <c r="D32" s="26"/>
      <c r="E32" s="26"/>
      <c r="F32" s="26"/>
      <c r="G32" s="26" t="e">
        <f t="shared" si="0"/>
        <v>#DIV/0!</v>
      </c>
      <c r="H32" s="27" t="str">
        <f ca="1">IFERROR(__xludf.DUMMYFUNCTION("IF(COUNTIFS($C$2:C32, C32, $A$2:A32, ""&lt;="" &amp; A32) &lt; 30, AVERAGEIF($C$2:C32, C32, $G$2:G32), AVERAGE(FILTER($G$2:G32, $C$2:C32 = C32, $A$2:A32 &gt;= A32 - 30)))
"),"#DIV/0!")</f>
        <v>#DIV/0!</v>
      </c>
      <c r="I32" s="27" t="e">
        <f t="shared" ca="1" si="1"/>
        <v>#DIV/0!</v>
      </c>
      <c r="J32" s="27" t="str">
        <f ca="1">IFERROR(__xludf.DUMMYFUNCTION("IF(OR($I32=2, $I32=3), 0, IFERROR(COUNTIFS($C$2:C32, $C32, $A$2:A32, ""&gt;""&amp;IFERROR(MAX(FILTER($A$2:A32, $C$2:C32=$C32, $I$2:I32&lt;&gt;1)), 0), $I$2:I32, 1),1))
"),"#DIV/0!")</f>
        <v>#DIV/0!</v>
      </c>
      <c r="K32" s="27" t="e">
        <f t="shared" ca="1" si="2"/>
        <v>#DIV/0!</v>
      </c>
      <c r="L32" s="27" t="e">
        <f t="shared" ca="1" si="3"/>
        <v>#DIV/0!</v>
      </c>
      <c r="M32" s="28" t="e">
        <f t="shared" ca="1" si="4"/>
        <v>#DIV/0!</v>
      </c>
      <c r="N32" s="29" t="str">
        <f ca="1">IFERROR(__xludf.DUMMYFUNCTION("IF(COUNTIFS($C$2:C32, C32, $A$2:A32, ""&lt;="" &amp; A32) &lt; 30, STDEV.P(FILTER($G$2:G32, $C$2:C32 = C32)), STDEV.P(FILTER($G$2:G32, $C$2:C32 = C32, $A$2:A32 &gt;= A32 - 30)))
"),"#DIV/0!")</f>
        <v>#DIV/0!</v>
      </c>
    </row>
    <row r="33" spans="1:26" x14ac:dyDescent="0.2">
      <c r="A33" s="13"/>
      <c r="B33" s="2"/>
      <c r="C33" s="30"/>
      <c r="D33" s="14"/>
      <c r="E33" s="14"/>
      <c r="F33" s="14"/>
      <c r="G33" s="14" t="e">
        <f t="shared" si="0"/>
        <v>#DIV/0!</v>
      </c>
      <c r="H33" s="15" t="str">
        <f ca="1">IFERROR(__xludf.DUMMYFUNCTION("IF(COUNTIFS($C$2:C33, C33, $A$2:A33, ""&lt;="" &amp; A33) &lt; 30, AVERAGEIF($C$2:C33, C33, $G$2:G33), AVERAGE(FILTER($G$2:G33, $C$2:C33 = C33, $A$2:A33 &gt;= A33 - 30)))
"),"#DIV/0!")</f>
        <v>#DIV/0!</v>
      </c>
      <c r="I33" s="15" t="e">
        <f t="shared" ca="1" si="1"/>
        <v>#DIV/0!</v>
      </c>
      <c r="J33" s="15" t="str">
        <f ca="1">IFERROR(__xludf.DUMMYFUNCTION("IF(OR($I33=2, $I33=3), 0, IFERROR(COUNTIFS($C$2:C33, $C33, $A$2:A33, ""&gt;""&amp;IFERROR(MAX(FILTER($A$2:A33, $C$2:C33=$C33, $I$2:I33&lt;&gt;1)), 0), $I$2:I33, 1),1))
"),"#DIV/0!")</f>
        <v>#DIV/0!</v>
      </c>
      <c r="K33" s="15" t="e">
        <f t="shared" ca="1" si="2"/>
        <v>#DIV/0!</v>
      </c>
      <c r="L33" s="15" t="e">
        <f t="shared" ca="1" si="3"/>
        <v>#DIV/0!</v>
      </c>
      <c r="M33" s="16" t="e">
        <f t="shared" ca="1" si="4"/>
        <v>#DIV/0!</v>
      </c>
      <c r="N33" s="17" t="str">
        <f ca="1">IFERROR(__xludf.DUMMYFUNCTION("IF(COUNTIFS($C$2:C33, C33, $A$2:A33, ""&lt;="" &amp; A33) &lt; 30, STDEV.P(FILTER($G$2:G33, $C$2:C33 = C33)), STDEV.P(FILTER($G$2:G33, $C$2:C33 = C33, $A$2:A33 &gt;= A33 - 30)))
"),"#DIV/0!")</f>
        <v>#DIV/0!</v>
      </c>
    </row>
    <row r="34" spans="1:26" x14ac:dyDescent="0.2">
      <c r="A34" s="6"/>
      <c r="B34" s="5"/>
      <c r="D34" s="19"/>
      <c r="E34" s="19"/>
      <c r="F34" s="31"/>
      <c r="G34" s="19" t="e">
        <f t="shared" si="0"/>
        <v>#DIV/0!</v>
      </c>
      <c r="H34" s="20" t="str">
        <f ca="1">IFERROR(__xludf.DUMMYFUNCTION("IF(COUNTIFS($C$2:C34, C34, $A$2:A34, ""&lt;="" &amp; A34) &lt; 30, AVERAGEIF($C$2:C34, C34, $G$2:G34), AVERAGE(FILTER($G$2:G34, $C$2:C34 = C34, $A$2:A34 &gt;= A34 - 30)))
"),"#DIV/0!")</f>
        <v>#DIV/0!</v>
      </c>
      <c r="I34" s="20" t="e">
        <f t="shared" ca="1" si="1"/>
        <v>#DIV/0!</v>
      </c>
      <c r="J34" s="20" t="str">
        <f ca="1">IFERROR(__xludf.DUMMYFUNCTION("IF(OR($I34=2, $I34=3), 0, IFERROR(COUNTIFS($C$2:C34, $C34, $A$2:A35, ""&gt;""&amp;IFERROR(MAX(FILTER($A$2:A35, $C$2:C34=$C34, $I$2:I34&lt;&gt;1)), 0), $I$2:I34, 1),1))
"),"#DIV/0!")</f>
        <v>#DIV/0!</v>
      </c>
      <c r="K34" s="20" t="e">
        <f t="shared" ca="1" si="2"/>
        <v>#DIV/0!</v>
      </c>
      <c r="L34" s="20" t="e">
        <f t="shared" ca="1" si="3"/>
        <v>#DIV/0!</v>
      </c>
      <c r="M34" s="21" t="e">
        <f t="shared" ca="1" si="4"/>
        <v>#DIV/0!</v>
      </c>
      <c r="N34" s="22" t="str">
        <f ca="1">IFERROR(__xludf.DUMMYFUNCTION("IF(COUNTIFS($C$2:C34, C34, $A$2:A34, ""&lt;="" &amp; A34) &lt; 30, STDEV.P(FILTER($G$2:G34, $C$2:C34 = C34)), STDEV.P(FILTER($G$2:G34, $C$2:C34 = C34, $A$2:A34 &gt;= A34 - 30)))
"),"#DIV/0!")</f>
        <v>#DIV/0!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x14ac:dyDescent="0.2">
      <c r="A35" s="6"/>
      <c r="B35" s="5"/>
      <c r="D35" s="19"/>
      <c r="E35" s="19"/>
      <c r="F35" s="19"/>
      <c r="G35" s="19" t="e">
        <f t="shared" si="0"/>
        <v>#DIV/0!</v>
      </c>
      <c r="H35" s="20" t="str">
        <f ca="1">IFERROR(__xludf.DUMMYFUNCTION("IF(COUNTIFS($C$2:C35, C35, $A$2:A35, ""&lt;="" &amp; A35) &lt; 30, AVERAGEIF($C$2:C35, C35, $G$2:G35), AVERAGE(FILTER($G$2:G35, $C$2:C35 = C35, $A$2:A35 &gt;= A35 - 30)))
"),"#DIV/0!")</f>
        <v>#DIV/0!</v>
      </c>
      <c r="I35" s="20" t="e">
        <f t="shared" ca="1" si="1"/>
        <v>#DIV/0!</v>
      </c>
      <c r="J35" s="20" t="str">
        <f ca="1">IFERROR(__xludf.DUMMYFUNCTION("IF(OR($I35=2, $I35=3), 0, IFERROR(COUNTIFS($C$2:C35, $C35, $A$2:A36, ""&gt;""&amp;IFERROR(MAX(FILTER($A$2:A36, $C$2:C35=$C35, $I$2:I35&lt;&gt;1)), 0), $I$2:I35, 1),1))
"),"#DIV/0!")</f>
        <v>#DIV/0!</v>
      </c>
      <c r="K35" s="20" t="e">
        <f t="shared" ca="1" si="2"/>
        <v>#DIV/0!</v>
      </c>
      <c r="L35" s="20" t="e">
        <f t="shared" ca="1" si="3"/>
        <v>#DIV/0!</v>
      </c>
      <c r="M35" s="21" t="e">
        <f t="shared" ca="1" si="4"/>
        <v>#DIV/0!</v>
      </c>
      <c r="N35" s="22" t="str">
        <f ca="1">IFERROR(__xludf.DUMMYFUNCTION("IF(COUNTIFS($C$2:C35, C35, $A$2:A35, ""&lt;="" &amp; A35) &lt; 30, STDEV.P(FILTER($G$2:G35, $C$2:C35 = C35)), STDEV.P(FILTER($G$2:G35, $C$2:C35 = C35, $A$2:A35 &gt;= A35 - 30)))
"),"#DIV/0!")</f>
        <v>#DIV/0!</v>
      </c>
    </row>
    <row r="36" spans="1:26" x14ac:dyDescent="0.2">
      <c r="A36" s="6"/>
      <c r="B36" s="5"/>
      <c r="D36" s="19"/>
      <c r="E36" s="19"/>
      <c r="F36" s="19"/>
      <c r="G36" s="19" t="e">
        <f t="shared" si="0"/>
        <v>#DIV/0!</v>
      </c>
      <c r="H36" s="20" t="str">
        <f ca="1">IFERROR(__xludf.DUMMYFUNCTION("IF(COUNTIFS($C$2:C36, C36, $A$2:A36, ""&lt;="" &amp; A36) &lt; 30, AVERAGEIF($C$2:C36, C36, $G$2:G36), AVERAGE(FILTER($G$2:G36, $C$2:C36 = C36, $A$2:A36 &gt;= A36 - 30)))
"),"#DIV/0!")</f>
        <v>#DIV/0!</v>
      </c>
      <c r="I36" s="20" t="e">
        <f t="shared" ca="1" si="1"/>
        <v>#DIV/0!</v>
      </c>
      <c r="J36" s="20" t="str">
        <f ca="1">IFERROR(__xludf.DUMMYFUNCTION("IF(OR($I36=2, $I36=3), 0, IFERROR(COUNTIFS($C$2:C36, $C36, $A$2:A37, ""&gt;""&amp;IFERROR(MAX(FILTER($A$2:A37, $C$2:C36=$C36, $I$2:I36&lt;&gt;1)), 0), $I$2:I36, 1),1))
"),"#DIV/0!")</f>
        <v>#DIV/0!</v>
      </c>
      <c r="K36" s="20" t="e">
        <f t="shared" ca="1" si="2"/>
        <v>#DIV/0!</v>
      </c>
      <c r="L36" s="20" t="e">
        <f t="shared" ca="1" si="3"/>
        <v>#DIV/0!</v>
      </c>
      <c r="M36" s="21" t="e">
        <f t="shared" ca="1" si="4"/>
        <v>#DIV/0!</v>
      </c>
      <c r="N36" s="22" t="str">
        <f ca="1">IFERROR(__xludf.DUMMYFUNCTION("IF(COUNTIFS($C$2:C36, C36, $A$2:A36, ""&lt;="" &amp; A36) &lt; 30, STDEV.P(FILTER($G$2:G36, $C$2:C36 = C36)), STDEV.P(FILTER($G$2:G36, $C$2:C36 = C36, $A$2:A36 &gt;= A36 - 30)))
"),"#DIV/0!")</f>
        <v>#DIV/0!</v>
      </c>
    </row>
    <row r="37" spans="1:26" x14ac:dyDescent="0.2">
      <c r="A37" s="6"/>
      <c r="B37" s="5"/>
      <c r="D37" s="19"/>
      <c r="E37" s="19"/>
      <c r="F37" s="19"/>
      <c r="G37" s="19" t="e">
        <f t="shared" si="0"/>
        <v>#DIV/0!</v>
      </c>
      <c r="H37" s="20" t="str">
        <f ca="1">IFERROR(__xludf.DUMMYFUNCTION("IF(COUNTIFS($C$2:C37, C37, $A$2:A37, ""&lt;="" &amp; A37) &lt; 30, AVERAGEIF($C$2:C37, C37, $G$2:G37), AVERAGE(FILTER($G$2:G37, $C$2:C37 = C37, $A$2:A37 &gt;= A37 - 30)))
"),"#DIV/0!")</f>
        <v>#DIV/0!</v>
      </c>
      <c r="I37" s="20" t="e">
        <f t="shared" ca="1" si="1"/>
        <v>#DIV/0!</v>
      </c>
      <c r="J37" s="20" t="str">
        <f ca="1">IFERROR(__xludf.DUMMYFUNCTION("IF(OR($I37=2, $I37=3), 0, IFERROR(COUNTIFS($C$2:C37, $C37, $A$2:A38, ""&gt;""&amp;IFERROR(MAX(FILTER($A$2:A38, $C$2:C37=$C37, $I$2:I37&lt;&gt;1)), 0), $I$2:I37, 1),1))
"),"#DIV/0!")</f>
        <v>#DIV/0!</v>
      </c>
      <c r="K37" s="20" t="e">
        <f t="shared" ca="1" si="2"/>
        <v>#DIV/0!</v>
      </c>
      <c r="L37" s="20" t="e">
        <f t="shared" ca="1" si="3"/>
        <v>#DIV/0!</v>
      </c>
      <c r="M37" s="21" t="e">
        <f t="shared" ca="1" si="4"/>
        <v>#DIV/0!</v>
      </c>
      <c r="N37" s="22" t="str">
        <f ca="1">IFERROR(__xludf.DUMMYFUNCTION("IF(COUNTIFS($C$2:C37, C37, $A$2:A37, ""&lt;="" &amp; A37) &lt; 30, STDEV.P(FILTER($G$2:G37, $C$2:C37 = C37)), STDEV.P(FILTER($G$2:G37, $C$2:C37 = C37, $A$2:A37 &gt;= A37 - 30)))
"),"#DIV/0!")</f>
        <v>#DIV/0!</v>
      </c>
    </row>
    <row r="38" spans="1:26" x14ac:dyDescent="0.2">
      <c r="A38" s="6"/>
      <c r="B38" s="5"/>
      <c r="D38" s="19"/>
      <c r="E38" s="19"/>
      <c r="F38" s="19"/>
      <c r="G38" s="19" t="e">
        <f t="shared" si="0"/>
        <v>#DIV/0!</v>
      </c>
      <c r="H38" s="20" t="str">
        <f ca="1">IFERROR(__xludf.DUMMYFUNCTION("IF(COUNTIFS($C$2:C38, C38, $A$2:A38, ""&lt;="" &amp; A38) &lt; 30, AVERAGEIF($C$2:C38, C38, $G$2:G38), AVERAGE(FILTER($G$2:G38, $C$2:C38 = C38, $A$2:A38 &gt;= A38 - 30)))
"),"#DIV/0!")</f>
        <v>#DIV/0!</v>
      </c>
      <c r="I38" s="20" t="e">
        <f t="shared" ca="1" si="1"/>
        <v>#DIV/0!</v>
      </c>
      <c r="J38" s="20" t="str">
        <f ca="1">IFERROR(__xludf.DUMMYFUNCTION("IF(OR($I38=2, $I38=3), 0, IFERROR(COUNTIFS($C$2:C38, $C38, $A$2:A39, ""&gt;""&amp;IFERROR(MAX(FILTER($A$2:A39, $C$2:C38=$C38, $I$2:I38&lt;&gt;1)), 0), $I$2:I38, 1),1))
"),"#DIV/0!")</f>
        <v>#DIV/0!</v>
      </c>
      <c r="K38" s="20" t="e">
        <f t="shared" ca="1" si="2"/>
        <v>#DIV/0!</v>
      </c>
      <c r="L38" s="20" t="e">
        <f t="shared" ca="1" si="3"/>
        <v>#DIV/0!</v>
      </c>
      <c r="M38" s="21" t="e">
        <f t="shared" ca="1" si="4"/>
        <v>#DIV/0!</v>
      </c>
      <c r="N38" s="22" t="str">
        <f ca="1">IFERROR(__xludf.DUMMYFUNCTION("IF(COUNTIFS($C$2:C38, C38, $A$2:A38, ""&lt;="" &amp; A38) &lt; 30, STDEV.P(FILTER($G$2:G38, $C$2:C38 = C38)), STDEV.P(FILTER($G$2:G38, $C$2:C38 = C38, $A$2:A38 &gt;= A38 - 30)))
"),"#DIV/0!")</f>
        <v>#DIV/0!</v>
      </c>
    </row>
    <row r="39" spans="1:26" x14ac:dyDescent="0.2">
      <c r="A39" s="6"/>
      <c r="B39" s="7"/>
      <c r="D39" s="19"/>
      <c r="E39" s="19"/>
      <c r="F39" s="19"/>
      <c r="G39" s="19" t="e">
        <f t="shared" si="0"/>
        <v>#DIV/0!</v>
      </c>
      <c r="H39" s="20" t="str">
        <f ca="1">IFERROR(__xludf.DUMMYFUNCTION("IF(COUNTIFS($C$2:C39, C39, $A$2:A39, ""&lt;="" &amp; A39) &lt; 30, AVERAGEIF($C$2:C39, C39, $G$2:G39), AVERAGE(FILTER($G$2:G39, $C$2:C39 = C39, $A$2:A39 &gt;= A39 - 30)))
"),"#DIV/0!")</f>
        <v>#DIV/0!</v>
      </c>
      <c r="I39" s="20" t="e">
        <f t="shared" ca="1" si="1"/>
        <v>#DIV/0!</v>
      </c>
      <c r="J39" s="20" t="str">
        <f ca="1">IFERROR(__xludf.DUMMYFUNCTION("IF(OR($I39=2, $I39=3), 0, IFERROR(COUNTIFS($C$2:C39, $C39, $A$2:A40, ""&gt;""&amp;IFERROR(MAX(FILTER($A$2:A40, $C$2:C39=$C39, $I$2:I39&lt;&gt;1)), 0), $I$2:I39, 1),1))
"),"#DIV/0!")</f>
        <v>#DIV/0!</v>
      </c>
      <c r="K39" s="20" t="e">
        <f t="shared" ca="1" si="2"/>
        <v>#DIV/0!</v>
      </c>
      <c r="L39" s="20" t="e">
        <f t="shared" ca="1" si="3"/>
        <v>#DIV/0!</v>
      </c>
      <c r="M39" s="21" t="e">
        <f t="shared" ca="1" si="4"/>
        <v>#DIV/0!</v>
      </c>
      <c r="N39" s="22" t="str">
        <f ca="1">IFERROR(__xludf.DUMMYFUNCTION("IF(COUNTIFS($C$2:C39, C39, $A$2:A39, ""&lt;="" &amp; A39) &lt; 30, STDEV.P(FILTER($G$2:G39, $C$2:C39 = C39)), STDEV.P(FILTER($G$2:G39, $C$2:C39 = C39, $A$2:A39 &gt;= A39 - 30)))
"),"#DIV/0!")</f>
        <v>#DIV/0!</v>
      </c>
    </row>
    <row r="40" spans="1:26" x14ac:dyDescent="0.2">
      <c r="A40" s="6"/>
      <c r="B40" s="7"/>
      <c r="D40" s="19"/>
      <c r="E40" s="19"/>
      <c r="F40" s="19"/>
      <c r="G40" s="19" t="e">
        <f t="shared" si="0"/>
        <v>#DIV/0!</v>
      </c>
      <c r="H40" s="20" t="str">
        <f ca="1">IFERROR(__xludf.DUMMYFUNCTION("IF(COUNTIFS($C$2:C40, C40, $A$2:A40, ""&lt;="" &amp; A40) &lt; 30, AVERAGEIF($C$2:C40, C40, $G$2:G40), AVERAGE(FILTER($G$2:G40, $C$2:C40 = C40, $A$2:A40 &gt;= A40 - 30)))
"),"#DIV/0!")</f>
        <v>#DIV/0!</v>
      </c>
      <c r="I40" s="20" t="e">
        <f t="shared" ca="1" si="1"/>
        <v>#DIV/0!</v>
      </c>
      <c r="J40" s="20" t="str">
        <f ca="1">IFERROR(__xludf.DUMMYFUNCTION("IF(OR($I40=2, $I40=3), 0, IFERROR(COUNTIFS($C$2:C40, $C40, $A$2:A41, ""&gt;""&amp;IFERROR(MAX(FILTER($A$2:A41, $C$2:C40=$C40, $I$2:I40&lt;&gt;1)), 0), $I$2:I40, 1),1))
"),"#DIV/0!")</f>
        <v>#DIV/0!</v>
      </c>
      <c r="K40" s="20" t="e">
        <f t="shared" ca="1" si="2"/>
        <v>#DIV/0!</v>
      </c>
      <c r="L40" s="20" t="e">
        <f t="shared" ca="1" si="3"/>
        <v>#DIV/0!</v>
      </c>
      <c r="M40" s="21" t="e">
        <f t="shared" ca="1" si="4"/>
        <v>#DIV/0!</v>
      </c>
      <c r="N40" s="22" t="str">
        <f ca="1">IFERROR(__xludf.DUMMYFUNCTION("IF(COUNTIFS($C$2:C40, C40, $A$2:A40, ""&lt;="" &amp; A40) &lt; 30, STDEV.P(FILTER($G$2:G40, $C$2:C40 = C40)), STDEV.P(FILTER($G$2:G40, $C$2:C40 = C40, $A$2:A40 &gt;= A40 - 30)))
"),"#DIV/0!")</f>
        <v>#DIV/0!</v>
      </c>
    </row>
    <row r="41" spans="1:26" x14ac:dyDescent="0.2">
      <c r="A41" s="6"/>
      <c r="B41" s="7"/>
      <c r="D41" s="19"/>
      <c r="E41" s="19"/>
      <c r="F41" s="19"/>
      <c r="G41" s="19" t="e">
        <f t="shared" si="0"/>
        <v>#DIV/0!</v>
      </c>
      <c r="H41" s="20" t="str">
        <f ca="1">IFERROR(__xludf.DUMMYFUNCTION("IF(COUNTIFS($C$2:C41, C41, $A$2:A41, ""&lt;="" &amp; A41) &lt; 30, AVERAGEIF($C$2:C41, C41, $G$2:G41), AVERAGE(FILTER($G$2:G41, $C$2:C41 = C41, $A$2:A41 &gt;= A41 - 30)))
"),"#DIV/0!")</f>
        <v>#DIV/0!</v>
      </c>
      <c r="I41" s="20" t="e">
        <f t="shared" ca="1" si="1"/>
        <v>#DIV/0!</v>
      </c>
      <c r="J41" s="20" t="str">
        <f ca="1">IFERROR(__xludf.DUMMYFUNCTION("IF(OR($I41=2, $I41=3), 0, IFERROR(COUNTIFS($C$2:C41, $C41, $A$2:A42, ""&gt;""&amp;IFERROR(MAX(FILTER($A$2:A42, $C$2:C41=$C41, $I$2:I41&lt;&gt;1)), 0), $I$2:I41, 1),1))
"),"#DIV/0!")</f>
        <v>#DIV/0!</v>
      </c>
      <c r="K41" s="20" t="e">
        <f t="shared" ca="1" si="2"/>
        <v>#DIV/0!</v>
      </c>
      <c r="L41" s="20" t="e">
        <f t="shared" ca="1" si="3"/>
        <v>#DIV/0!</v>
      </c>
      <c r="M41" s="21" t="e">
        <f t="shared" ca="1" si="4"/>
        <v>#DIV/0!</v>
      </c>
      <c r="N41" s="22" t="str">
        <f ca="1">IFERROR(__xludf.DUMMYFUNCTION("IF(COUNTIFS($C$2:C41, C41, $A$2:A41, ""&lt;="" &amp; A41) &lt; 30, STDEV.P(FILTER($G$2:G41, $C$2:C41 = C41)), STDEV.P(FILTER($G$2:G41, $C$2:C41 = C41, $A$2:A41 &gt;= A41 - 30)))
"),"#DIV/0!")</f>
        <v>#DIV/0!</v>
      </c>
    </row>
    <row r="42" spans="1:26" x14ac:dyDescent="0.2">
      <c r="A42" s="6"/>
      <c r="B42" s="7"/>
      <c r="D42" s="19"/>
      <c r="E42" s="19"/>
      <c r="F42" s="19"/>
      <c r="G42" s="19" t="e">
        <f t="shared" si="0"/>
        <v>#DIV/0!</v>
      </c>
      <c r="H42" s="20" t="str">
        <f ca="1">IFERROR(__xludf.DUMMYFUNCTION("IF(COUNTIFS($C$2:C42, C42, $A$2:A42, ""&lt;="" &amp; A42) &lt; 30, AVERAGEIF($C$2:C42, C42, $G$2:G42), AVERAGE(FILTER($G$2:G42, $C$2:C42 = C42, $A$2:A42 &gt;= A42 - 30)))
"),"#DIV/0!")</f>
        <v>#DIV/0!</v>
      </c>
      <c r="I42" s="20" t="e">
        <f t="shared" ca="1" si="1"/>
        <v>#DIV/0!</v>
      </c>
      <c r="J42" s="20" t="str">
        <f ca="1">IFERROR(__xludf.DUMMYFUNCTION("IF(OR($I42=2, $I42=3), 0, IFERROR(COUNTIFS($C$2:C42, $C42, $A$2:A43, ""&gt;""&amp;IFERROR(MAX(FILTER($A$2:A43, $C$2:C42=$C42, $I$2:I42&lt;&gt;1)), 0), $I$2:I42, 1),1))
"),"#DIV/0!")</f>
        <v>#DIV/0!</v>
      </c>
      <c r="K42" s="20" t="e">
        <f t="shared" ca="1" si="2"/>
        <v>#DIV/0!</v>
      </c>
      <c r="L42" s="20" t="e">
        <f t="shared" ca="1" si="3"/>
        <v>#DIV/0!</v>
      </c>
      <c r="M42" s="21" t="e">
        <f t="shared" ca="1" si="4"/>
        <v>#DIV/0!</v>
      </c>
      <c r="N42" s="22" t="str">
        <f ca="1">IFERROR(__xludf.DUMMYFUNCTION("IF(COUNTIFS($C$2:C42, C42, $A$2:A42, ""&lt;="" &amp; A42) &lt; 30, STDEV.P(FILTER($G$2:G42, $C$2:C42 = C42)), STDEV.P(FILTER($G$2:G42, $C$2:C42 = C42, $A$2:A42 &gt;= A42 - 30)))
"),"#DIV/0!")</f>
        <v>#DIV/0!</v>
      </c>
    </row>
    <row r="43" spans="1:26" x14ac:dyDescent="0.2">
      <c r="A43" s="6"/>
      <c r="B43" s="7"/>
      <c r="D43" s="19"/>
      <c r="E43" s="19"/>
      <c r="F43" s="19"/>
      <c r="G43" s="19" t="e">
        <f t="shared" si="0"/>
        <v>#DIV/0!</v>
      </c>
      <c r="H43" s="20" t="str">
        <f ca="1">IFERROR(__xludf.DUMMYFUNCTION("IF(COUNTIFS($C$2:C43, C43, $A$2:A43, ""&lt;="" &amp; A43) &lt; 30, AVERAGEIF($C$2:C43, C43, $G$2:G43), AVERAGE(FILTER($G$2:G43, $C$2:C43 = C43, $A$2:A43 &gt;= A43 - 30)))
"),"#DIV/0!")</f>
        <v>#DIV/0!</v>
      </c>
      <c r="I43" s="20" t="e">
        <f t="shared" ca="1" si="1"/>
        <v>#DIV/0!</v>
      </c>
      <c r="J43" s="20" t="str">
        <f ca="1">IFERROR(__xludf.DUMMYFUNCTION("IF(OR($I43=2, $I43=3), 0, IFERROR(COUNTIFS($C$2:C43, $C43, $A$2:A43, ""&gt;""&amp;IFERROR(MAX(FILTER($A$2:A43, $C$2:C43=$C43, $I$2:I43&lt;&gt;1)), 0), $I$2:I43, 1),1))
"),"#DIV/0!")</f>
        <v>#DIV/0!</v>
      </c>
      <c r="K43" s="20" t="e">
        <f t="shared" ca="1" si="2"/>
        <v>#DIV/0!</v>
      </c>
      <c r="L43" s="20" t="e">
        <f t="shared" ca="1" si="3"/>
        <v>#DIV/0!</v>
      </c>
      <c r="M43" s="21" t="e">
        <f t="shared" ca="1" si="4"/>
        <v>#DIV/0!</v>
      </c>
      <c r="N43" s="22" t="str">
        <f ca="1">IFERROR(__xludf.DUMMYFUNCTION("IF(COUNTIFS($C$2:C43, C43, $A$2:A43, ""&lt;="" &amp; A43) &lt; 30, STDEV.P(FILTER($G$2:G43, $C$2:C43 = C43)), STDEV.P(FILTER($G$2:G43, $C$2:C43 = C43, $A$2:A43 &gt;= A43 - 30)))
"),"#DIV/0!")</f>
        <v>#DIV/0!</v>
      </c>
    </row>
    <row r="44" spans="1:26" x14ac:dyDescent="0.2">
      <c r="A44" s="6"/>
      <c r="B44" s="5"/>
      <c r="D44" s="19"/>
      <c r="E44" s="19"/>
      <c r="F44" s="19"/>
      <c r="G44" s="19" t="e">
        <f t="shared" si="0"/>
        <v>#DIV/0!</v>
      </c>
      <c r="H44" s="20" t="str">
        <f ca="1">IFERROR(__xludf.DUMMYFUNCTION("IF(COUNTIFS($C$2:C44, C44, $A$2:A44, ""&lt;="" &amp; A44) &lt; 30, AVERAGEIF($C$2:C44, C44, $G$2:G44), AVERAGE(FILTER($G$2:G44, $C$2:C44 = C44, $A$2:A44 &gt;= A44 - 30)))
"),"#DIV/0!")</f>
        <v>#DIV/0!</v>
      </c>
      <c r="I44" s="20" t="e">
        <f t="shared" ca="1" si="1"/>
        <v>#DIV/0!</v>
      </c>
      <c r="J44" s="20" t="str">
        <f ca="1">IFERROR(__xludf.DUMMYFUNCTION("IF(OR($I44=2, $I44=3), 0, IFERROR(COUNTIFS($C$2:C44, $C44, $A$2:A45, ""&gt;""&amp;IFERROR(MAX(FILTER($A$2:A45, $C$2:C44=$C44, $I$2:I44&lt;&gt;1)), 0), $I$2:I44, 1),1))
"),"#DIV/0!")</f>
        <v>#DIV/0!</v>
      </c>
      <c r="K44" s="20" t="e">
        <f t="shared" ca="1" si="2"/>
        <v>#DIV/0!</v>
      </c>
      <c r="L44" s="20" t="e">
        <f t="shared" ca="1" si="3"/>
        <v>#DIV/0!</v>
      </c>
      <c r="M44" s="21" t="e">
        <f t="shared" ca="1" si="4"/>
        <v>#DIV/0!</v>
      </c>
      <c r="N44" s="22" t="str">
        <f ca="1">IFERROR(__xludf.DUMMYFUNCTION("IF(COUNTIFS($C$2:C44, C44, $A$2:A44, ""&lt;="" &amp; A44) &lt; 30, STDEV.P(FILTER($G$2:G44, $C$2:C44 = C44)), STDEV.P(FILTER($G$2:G44, $C$2:C44 = C44, $A$2:A44 &gt;= A44 - 30)))
"),"#DIV/0!")</f>
        <v>#DIV/0!</v>
      </c>
    </row>
    <row r="45" spans="1:26" x14ac:dyDescent="0.2">
      <c r="A45" s="6"/>
      <c r="B45" s="5"/>
      <c r="D45" s="19"/>
      <c r="E45" s="19"/>
      <c r="F45" s="19"/>
      <c r="G45" s="19" t="e">
        <f t="shared" si="0"/>
        <v>#DIV/0!</v>
      </c>
      <c r="H45" s="20" t="str">
        <f ca="1">IFERROR(__xludf.DUMMYFUNCTION("IF(COUNTIFS($C$2:C45, C45, $A$2:A45, ""&lt;="" &amp; A45) &lt; 30, AVERAGEIF($C$2:C45, C45, $G$2:G45), AVERAGE(FILTER($G$2:G45, $C$2:C45 = C45, $A$2:A45 &gt;= A45 - 30)))
"),"#DIV/0!")</f>
        <v>#DIV/0!</v>
      </c>
      <c r="I45" s="20" t="e">
        <f t="shared" ca="1" si="1"/>
        <v>#DIV/0!</v>
      </c>
      <c r="J45" s="20" t="str">
        <f ca="1">IFERROR(__xludf.DUMMYFUNCTION("IF(OR($I45=2, $I45=3), 0, IFERROR(COUNTIFS($C$2:C45, $C45, $A$2:A46, ""&gt;""&amp;IFERROR(MAX(FILTER($A$2:A46, $C$2:C45=$C45, $I$2:I45&lt;&gt;1)), 0), $I$2:I45, 1),1))
"),"#DIV/0!")</f>
        <v>#DIV/0!</v>
      </c>
      <c r="K45" s="20" t="e">
        <f t="shared" ca="1" si="2"/>
        <v>#DIV/0!</v>
      </c>
      <c r="L45" s="20" t="e">
        <f t="shared" ca="1" si="3"/>
        <v>#DIV/0!</v>
      </c>
      <c r="M45" s="21" t="e">
        <f t="shared" ca="1" si="4"/>
        <v>#DIV/0!</v>
      </c>
      <c r="N45" s="22" t="str">
        <f ca="1">IFERROR(__xludf.DUMMYFUNCTION("IF(COUNTIFS($C$2:C45, C45, $A$2:A45, ""&lt;="" &amp; A45) &lt; 30, STDEV.P(FILTER($G$2:G45, $C$2:C45 = C45)), STDEV.P(FILTER($G$2:G45, $C$2:C45 = C45, $A$2:A45 &gt;= A45 - 30)))
"),"#DIV/0!")</f>
        <v>#DIV/0!</v>
      </c>
    </row>
    <row r="46" spans="1:26" x14ac:dyDescent="0.2">
      <c r="A46" s="6"/>
      <c r="B46" s="5"/>
      <c r="D46" s="19"/>
      <c r="E46" s="19"/>
      <c r="F46" s="19"/>
      <c r="G46" s="19" t="e">
        <f t="shared" si="0"/>
        <v>#DIV/0!</v>
      </c>
      <c r="H46" s="20" t="str">
        <f ca="1">IFERROR(__xludf.DUMMYFUNCTION("IF(COUNTIFS($C$2:C46, C46, $A$2:A46, ""&lt;="" &amp; A46) &lt; 30, AVERAGEIF($C$2:C46, C46, $G$2:G46), AVERAGE(FILTER($G$2:G46, $C$2:C46 = C46, $A$2:A46 &gt;= A46 - 30)))
"),"#DIV/0!")</f>
        <v>#DIV/0!</v>
      </c>
      <c r="I46" s="20" t="e">
        <f t="shared" ca="1" si="1"/>
        <v>#DIV/0!</v>
      </c>
      <c r="J46" s="20" t="str">
        <f ca="1">IFERROR(__xludf.DUMMYFUNCTION("IF(OR($I46=2, $I46=3), 0, IFERROR(COUNTIFS($C$2:C46, $C46, $A$2:A47, ""&gt;""&amp;IFERROR(MAX(FILTER($A$2:A47, $C$2:C46=$C46, $I$2:I46&lt;&gt;1)), 0), $I$2:I46, 1),1))
"),"#DIV/0!")</f>
        <v>#DIV/0!</v>
      </c>
      <c r="K46" s="20" t="e">
        <f t="shared" ca="1" si="2"/>
        <v>#DIV/0!</v>
      </c>
      <c r="L46" s="20" t="e">
        <f t="shared" ca="1" si="3"/>
        <v>#DIV/0!</v>
      </c>
      <c r="M46" s="21" t="e">
        <f t="shared" ca="1" si="4"/>
        <v>#DIV/0!</v>
      </c>
      <c r="N46" s="22" t="str">
        <f ca="1">IFERROR(__xludf.DUMMYFUNCTION("IF(COUNTIFS($C$2:C46, C46, $A$2:A46, ""&lt;="" &amp; A46) &lt; 30, STDEV.P(FILTER($G$2:G46, $C$2:C46 = C46)), STDEV.P(FILTER($G$2:G46, $C$2:C46 = C46, $A$2:A46 &gt;= A46 - 30)))
"),"#DIV/0!")</f>
        <v>#DIV/0!</v>
      </c>
    </row>
    <row r="47" spans="1:26" x14ac:dyDescent="0.2">
      <c r="A47" s="6"/>
      <c r="B47" s="5"/>
      <c r="D47" s="19"/>
      <c r="E47" s="19"/>
      <c r="F47" s="19"/>
      <c r="G47" s="19" t="e">
        <f t="shared" si="0"/>
        <v>#DIV/0!</v>
      </c>
      <c r="H47" s="20" t="str">
        <f ca="1">IFERROR(__xludf.DUMMYFUNCTION("IF(COUNTIFS($C$2:C47, C47, $A$2:A47, ""&lt;="" &amp; A47) &lt; 30, AVERAGEIF($C$2:C47, C47, $G$2:G47), AVERAGE(FILTER($G$2:G47, $C$2:C47 = C47, $A$2:A47 &gt;= A47 - 30)))
"),"#DIV/0!")</f>
        <v>#DIV/0!</v>
      </c>
      <c r="I47" s="20" t="e">
        <f t="shared" ca="1" si="1"/>
        <v>#DIV/0!</v>
      </c>
      <c r="J47" s="20" t="str">
        <f ca="1">IFERROR(__xludf.DUMMYFUNCTION("IF(OR($I47=2, $I47=3), 0, IFERROR(COUNTIFS($C$2:C47, $C47, $A$2:A48, ""&gt;""&amp;IFERROR(MAX(FILTER($A$2:A48, $C$2:C47=$C47, $I$2:I47&lt;&gt;1)), 0), $I$2:I47, 1),1))
"),"#DIV/0!")</f>
        <v>#DIV/0!</v>
      </c>
      <c r="K47" s="20" t="e">
        <f t="shared" ca="1" si="2"/>
        <v>#DIV/0!</v>
      </c>
      <c r="L47" s="20" t="e">
        <f t="shared" ca="1" si="3"/>
        <v>#DIV/0!</v>
      </c>
      <c r="M47" s="21" t="e">
        <f t="shared" ca="1" si="4"/>
        <v>#DIV/0!</v>
      </c>
      <c r="N47" s="22" t="str">
        <f ca="1">IFERROR(__xludf.DUMMYFUNCTION("IF(COUNTIFS($C$2:C47, C47, $A$2:A47, ""&lt;="" &amp; A47) &lt; 30, STDEV.P(FILTER($G$2:G47, $C$2:C47 = C47)), STDEV.P(FILTER($G$2:G47, $C$2:C47 = C47, $A$2:A47 &gt;= A47 - 30)))
"),"#DIV/0!")</f>
        <v>#DIV/0!</v>
      </c>
    </row>
    <row r="48" spans="1:26" x14ac:dyDescent="0.2">
      <c r="A48" s="6"/>
      <c r="B48" s="5"/>
      <c r="D48" s="19"/>
      <c r="E48" s="19"/>
      <c r="F48" s="19"/>
      <c r="G48" s="19" t="e">
        <f t="shared" si="0"/>
        <v>#DIV/0!</v>
      </c>
      <c r="H48" s="20" t="str">
        <f ca="1">IFERROR(__xludf.DUMMYFUNCTION("IF(COUNTIFS($C$2:C48, C48, $A$2:A48, ""&lt;="" &amp; A48) &lt; 30, AVERAGEIF($C$2:C48, C48, $G$2:G48), AVERAGE(FILTER($G$2:G48, $C$2:C48 = C48, $A$2:A48 &gt;= A48 - 30)))
"),"#DIV/0!")</f>
        <v>#DIV/0!</v>
      </c>
      <c r="I48" s="20" t="e">
        <f t="shared" ca="1" si="1"/>
        <v>#DIV/0!</v>
      </c>
      <c r="J48" s="20" t="str">
        <f ca="1">IFERROR(__xludf.DUMMYFUNCTION("IF(OR($I48=2, $I48=3), 0, IFERROR(COUNTIFS($C$2:C48, $C48, $A$2:A49, ""&gt;""&amp;IFERROR(MAX(FILTER($A$2:A49, $C$2:C48=$C48, $I$2:I48&lt;&gt;1)), 0), $I$2:I48, 1),1))
"),"#DIV/0!")</f>
        <v>#DIV/0!</v>
      </c>
      <c r="K48" s="20" t="e">
        <f t="shared" ca="1" si="2"/>
        <v>#DIV/0!</v>
      </c>
      <c r="L48" s="20" t="e">
        <f t="shared" ca="1" si="3"/>
        <v>#DIV/0!</v>
      </c>
      <c r="M48" s="21" t="e">
        <f t="shared" ca="1" si="4"/>
        <v>#DIV/0!</v>
      </c>
      <c r="N48" s="22" t="str">
        <f ca="1">IFERROR(__xludf.DUMMYFUNCTION("IF(COUNTIFS($C$2:C48, C48, $A$2:A48, ""&lt;="" &amp; A48) &lt; 30, STDEV.P(FILTER($G$2:G48, $C$2:C48 = C48)), STDEV.P(FILTER($G$2:G48, $C$2:C48 = C48, $A$2:A48 &gt;= A48 - 30)))
"),"#DIV/0!")</f>
        <v>#DIV/0!</v>
      </c>
    </row>
    <row r="49" spans="1:14" x14ac:dyDescent="0.2">
      <c r="A49" s="6"/>
      <c r="B49" s="5"/>
      <c r="D49" s="20"/>
      <c r="E49" s="20"/>
      <c r="F49" s="20"/>
      <c r="G49" s="19" t="e">
        <f t="shared" si="0"/>
        <v>#DIV/0!</v>
      </c>
      <c r="H49" s="20" t="str">
        <f ca="1">IFERROR(__xludf.DUMMYFUNCTION("IF(COUNTIFS($C$2:C49, C49, $A$2:A49, ""&lt;="" &amp; A49) &lt; 30, AVERAGEIF($C$2:C49, C49, $G$2:G49), AVERAGE(FILTER($G$2:G49, $C$2:C49 = C49, $A$2:A49 &gt;= A49 - 30)))
"),"#DIV/0!")</f>
        <v>#DIV/0!</v>
      </c>
      <c r="I49" s="20" t="e">
        <f t="shared" ca="1" si="1"/>
        <v>#DIV/0!</v>
      </c>
      <c r="J49" s="20" t="str">
        <f ca="1">IFERROR(__xludf.DUMMYFUNCTION("IF(OR($I49=2, $I49=3), 0, IFERROR(COUNTIFS($C$2:C49, $C49, $A$2:A50, ""&gt;""&amp;IFERROR(MAX(FILTER($A$2:A50, $C$2:C49=$C49, $I$2:I49&lt;&gt;1)), 0), $I$2:I49, 1),1))
"),"#DIV/0!")</f>
        <v>#DIV/0!</v>
      </c>
      <c r="K49" s="20" t="e">
        <f t="shared" ca="1" si="2"/>
        <v>#DIV/0!</v>
      </c>
      <c r="L49" s="20" t="e">
        <f t="shared" ca="1" si="3"/>
        <v>#DIV/0!</v>
      </c>
      <c r="M49" s="21" t="e">
        <f t="shared" ca="1" si="4"/>
        <v>#DIV/0!</v>
      </c>
      <c r="N49" s="22" t="str">
        <f ca="1">IFERROR(__xludf.DUMMYFUNCTION("IF(COUNTIFS($C$2:C49, C49, $A$2:A49, ""&lt;="" &amp; A49) &lt; 30, STDEV.P(FILTER($G$2:G49, $C$2:C49 = C49)), STDEV.P(FILTER($G$2:G49, $C$2:C49 = C49, $A$2:A49 &gt;= A49 - 30)))
"),"#DIV/0!")</f>
        <v>#DIV/0!</v>
      </c>
    </row>
    <row r="50" spans="1:14" x14ac:dyDescent="0.2">
      <c r="A50" s="6"/>
      <c r="B50" s="7"/>
      <c r="D50" s="20"/>
      <c r="E50" s="20"/>
      <c r="F50" s="20"/>
      <c r="G50" s="19" t="e">
        <f t="shared" si="0"/>
        <v>#DIV/0!</v>
      </c>
      <c r="H50" s="20" t="str">
        <f ca="1">IFERROR(__xludf.DUMMYFUNCTION("IF(COUNTIFS($C$2:C50, C50, $A$2:A50, ""&lt;="" &amp; A50) &lt; 30, AVERAGEIF($C$2:C50, C50, $G$2:G50), AVERAGE(FILTER($G$2:G50, $C$2:C50 = C50, $A$2:A50 &gt;= A50 - 30)))
"),"#DIV/0!")</f>
        <v>#DIV/0!</v>
      </c>
      <c r="I50" s="20" t="e">
        <f t="shared" ca="1" si="1"/>
        <v>#DIV/0!</v>
      </c>
      <c r="J50" s="20" t="str">
        <f ca="1">IFERROR(__xludf.DUMMYFUNCTION("IF(OR($I50=2, $I50=3), 0, IFERROR(COUNTIFS($C$2:C50, $C50, $A$2:A51, ""&gt;""&amp;IFERROR(MAX(FILTER($A$2:A51, $C$2:C50=$C50, $I$2:I50&lt;&gt;1)), 0), $I$2:I50, 1),1))
"),"#DIV/0!")</f>
        <v>#DIV/0!</v>
      </c>
      <c r="K50" s="20" t="e">
        <f t="shared" ca="1" si="2"/>
        <v>#DIV/0!</v>
      </c>
      <c r="L50" s="20" t="e">
        <f t="shared" ca="1" si="3"/>
        <v>#DIV/0!</v>
      </c>
      <c r="M50" s="21" t="e">
        <f t="shared" ca="1" si="4"/>
        <v>#DIV/0!</v>
      </c>
      <c r="N50" s="22" t="str">
        <f ca="1">IFERROR(__xludf.DUMMYFUNCTION("IF(COUNTIFS($C$2:C50, C50, $A$2:A50, ""&lt;="" &amp; A50) &lt; 30, STDEV.P(FILTER($G$2:G50, $C$2:C50 = C50)), STDEV.P(FILTER($G$2:G50, $C$2:C50 = C50, $A$2:A50 &gt;= A50 - 30)))
"),"#DIV/0!")</f>
        <v>#DIV/0!</v>
      </c>
    </row>
    <row r="51" spans="1:14" x14ac:dyDescent="0.2">
      <c r="A51" s="6"/>
      <c r="B51" s="7"/>
      <c r="D51" s="20"/>
      <c r="E51" s="20"/>
      <c r="F51" s="20"/>
      <c r="G51" s="19" t="e">
        <f t="shared" si="0"/>
        <v>#DIV/0!</v>
      </c>
      <c r="H51" s="20" t="str">
        <f ca="1">IFERROR(__xludf.DUMMYFUNCTION("IF(COUNTIFS($C$2:C51, C51, $A$2:A51, ""&lt;="" &amp; A51) &lt; 30, AVERAGEIF($C$2:C51, C51, $G$2:G51), AVERAGE(FILTER($G$2:G51, $C$2:C51 = C51, $A$2:A51 &gt;= A51 - 30)))
"),"#DIV/0!")</f>
        <v>#DIV/0!</v>
      </c>
      <c r="I51" s="20" t="e">
        <f t="shared" ca="1" si="1"/>
        <v>#DIV/0!</v>
      </c>
      <c r="J51" s="20" t="str">
        <f ca="1">IFERROR(__xludf.DUMMYFUNCTION("IF(OR($I51=2, $I51=3), 0, IFERROR(COUNTIFS($C$2:C51, $C51, $A$2:A52, ""&gt;""&amp;IFERROR(MAX(FILTER($A$2:A52, $C$2:C51=$C51, $I$2:I51&lt;&gt;1)), 0), $I$2:I51, 1),1))
"),"#DIV/0!")</f>
        <v>#DIV/0!</v>
      </c>
      <c r="K51" s="20" t="e">
        <f t="shared" ca="1" si="2"/>
        <v>#DIV/0!</v>
      </c>
      <c r="L51" s="20" t="e">
        <f t="shared" ca="1" si="3"/>
        <v>#DIV/0!</v>
      </c>
      <c r="M51" s="21" t="e">
        <f t="shared" ca="1" si="4"/>
        <v>#DIV/0!</v>
      </c>
      <c r="N51" s="22" t="str">
        <f ca="1">IFERROR(__xludf.DUMMYFUNCTION("IF(COUNTIFS($C$2:C51, C51, $A$2:A51, ""&lt;="" &amp; A51) &lt; 30, STDEV.P(FILTER($G$2:G51, $C$2:C51 = C51)), STDEV.P(FILTER($G$2:G51, $C$2:C51 = C51, $A$2:A51 &gt;= A51 - 30)))
"),"#DIV/0!")</f>
        <v>#DIV/0!</v>
      </c>
    </row>
    <row r="52" spans="1:14" x14ac:dyDescent="0.2">
      <c r="A52" s="6"/>
      <c r="B52" s="7"/>
      <c r="D52" s="20"/>
      <c r="E52" s="20"/>
      <c r="F52" s="20"/>
      <c r="G52" s="19" t="e">
        <f t="shared" si="0"/>
        <v>#DIV/0!</v>
      </c>
      <c r="H52" s="20" t="str">
        <f ca="1">IFERROR(__xludf.DUMMYFUNCTION("IF(COUNTIFS($C$2:C52, C52, $A$2:A52, ""&lt;="" &amp; A52) &lt; 30, AVERAGEIF($C$2:C52, C52, $G$2:G52), AVERAGE(FILTER($G$2:G52, $C$2:C52 = C52, $A$2:A52 &gt;= A52 - 30)))
"),"#DIV/0!")</f>
        <v>#DIV/0!</v>
      </c>
      <c r="I52" s="20" t="e">
        <f t="shared" ca="1" si="1"/>
        <v>#DIV/0!</v>
      </c>
      <c r="J52" s="20" t="str">
        <f ca="1">IFERROR(__xludf.DUMMYFUNCTION("IF(OR($I52=2, $I52=3), 0, IFERROR(COUNTIFS($C$2:C52, $C52, $A$2:A53, ""&gt;""&amp;IFERROR(MAX(FILTER($A$2:A53, $C$2:C52=$C52, $I$2:I52&lt;&gt;1)), 0), $I$2:I52, 1),1))
"),"#DIV/0!")</f>
        <v>#DIV/0!</v>
      </c>
      <c r="K52" s="20" t="e">
        <f t="shared" ca="1" si="2"/>
        <v>#DIV/0!</v>
      </c>
      <c r="L52" s="20" t="e">
        <f t="shared" ca="1" si="3"/>
        <v>#DIV/0!</v>
      </c>
      <c r="M52" s="21" t="e">
        <f t="shared" ca="1" si="4"/>
        <v>#DIV/0!</v>
      </c>
      <c r="N52" s="22" t="str">
        <f ca="1">IFERROR(__xludf.DUMMYFUNCTION("IF(COUNTIFS($C$2:C52, C52, $A$2:A52, ""&lt;="" &amp; A52) &lt; 30, STDEV.P(FILTER($G$2:G52, $C$2:C52 = C52)), STDEV.P(FILTER($G$2:G52, $C$2:C52 = C52, $A$2:A52 &gt;= A52 - 30)))
"),"#DIV/0!")</f>
        <v>#DIV/0!</v>
      </c>
    </row>
    <row r="53" spans="1:14" x14ac:dyDescent="0.2">
      <c r="A53" s="6"/>
      <c r="B53" s="7"/>
      <c r="D53" s="20"/>
      <c r="E53" s="20"/>
      <c r="F53" s="20"/>
      <c r="G53" s="19" t="e">
        <f t="shared" si="0"/>
        <v>#DIV/0!</v>
      </c>
      <c r="H53" s="20" t="str">
        <f ca="1">IFERROR(__xludf.DUMMYFUNCTION("IF(COUNTIFS($C$2:C53, C53, $A$2:A53, ""&lt;="" &amp; A53) &lt; 30, AVERAGEIF($C$2:C53, C53, $G$2:G53), AVERAGE(FILTER($G$2:G53, $C$2:C53 = C53, $A$2:A53 &gt;= A53 - 30)))
"),"#DIV/0!")</f>
        <v>#DIV/0!</v>
      </c>
      <c r="I53" s="20" t="e">
        <f t="shared" ca="1" si="1"/>
        <v>#DIV/0!</v>
      </c>
      <c r="J53" s="20" t="str">
        <f ca="1">IFERROR(__xludf.DUMMYFUNCTION("IF(OR($I53=2, $I53=3), 0, IFERROR(COUNTIFS($C$2:C53, $C53, $A$2:A54, ""&gt;""&amp;IFERROR(MAX(FILTER($A$2:A54, $C$2:C53=$C53, $I$2:I53&lt;&gt;1)), 0), $I$2:I53, 1),1))
"),"#DIV/0!")</f>
        <v>#DIV/0!</v>
      </c>
      <c r="K53" s="20" t="e">
        <f t="shared" ca="1" si="2"/>
        <v>#DIV/0!</v>
      </c>
      <c r="L53" s="20" t="e">
        <f t="shared" ca="1" si="3"/>
        <v>#DIV/0!</v>
      </c>
      <c r="M53" s="21" t="e">
        <f t="shared" ca="1" si="4"/>
        <v>#DIV/0!</v>
      </c>
      <c r="N53" s="22" t="str">
        <f ca="1">IFERROR(__xludf.DUMMYFUNCTION("IF(COUNTIFS($C$2:C53, C53, $A$2:A53, ""&lt;="" &amp; A53) &lt; 30, STDEV.P(FILTER($G$2:G53, $C$2:C53 = C53)), STDEV.P(FILTER($G$2:G53, $C$2:C53 = C53, $A$2:A53 &gt;= A53 - 30)))
"),"#DIV/0!")</f>
        <v>#DIV/0!</v>
      </c>
    </row>
    <row r="54" spans="1:14" x14ac:dyDescent="0.2">
      <c r="A54" s="6"/>
      <c r="B54" s="7"/>
      <c r="D54" s="20"/>
      <c r="E54" s="20"/>
      <c r="F54" s="20"/>
      <c r="G54" s="19" t="e">
        <f t="shared" si="0"/>
        <v>#DIV/0!</v>
      </c>
      <c r="H54" s="20" t="str">
        <f ca="1">IFERROR(__xludf.DUMMYFUNCTION("IF(COUNTIFS($C$2:C54, C54, $A$2:A54, ""&lt;="" &amp; A54) &lt; 30, AVERAGEIF($C$2:C54, C54, $G$2:G54), AVERAGE(FILTER($G$2:G54, $C$2:C54 = C54, $A$2:A54 &gt;= A54 - 30)))
"),"#DIV/0!")</f>
        <v>#DIV/0!</v>
      </c>
      <c r="I54" s="20" t="e">
        <f t="shared" ca="1" si="1"/>
        <v>#DIV/0!</v>
      </c>
      <c r="J54" s="20" t="str">
        <f ca="1">IFERROR(__xludf.DUMMYFUNCTION("IF(OR($I54=2, $I54=3), 0, IFERROR(COUNTIFS($C$2:C54, $C54, $A$2:A55, ""&gt;""&amp;IFERROR(MAX(FILTER($A$2:A55, $C$2:C54=$C54, $I$2:I54&lt;&gt;1)), 0), $I$2:I54, 1),1))
"),"#DIV/0!")</f>
        <v>#DIV/0!</v>
      </c>
      <c r="K54" s="20" t="e">
        <f t="shared" ca="1" si="2"/>
        <v>#DIV/0!</v>
      </c>
      <c r="L54" s="20" t="e">
        <f t="shared" ca="1" si="3"/>
        <v>#DIV/0!</v>
      </c>
      <c r="M54" s="21" t="e">
        <f t="shared" ca="1" si="4"/>
        <v>#DIV/0!</v>
      </c>
      <c r="N54" s="22" t="str">
        <f ca="1">IFERROR(__xludf.DUMMYFUNCTION("IF(COUNTIFS($C$2:C54, C54, $A$2:A54, ""&lt;="" &amp; A54) &lt; 30, STDEV.P(FILTER($G$2:G54, $C$2:C54 = C54)), STDEV.P(FILTER($G$2:G54, $C$2:C54 = C54, $A$2:A54 &gt;= A54 - 30)))
"),"#DIV/0!")</f>
        <v>#DIV/0!</v>
      </c>
    </row>
    <row r="55" spans="1:14" x14ac:dyDescent="0.2">
      <c r="A55" s="6"/>
      <c r="B55" s="5"/>
      <c r="D55" s="20"/>
      <c r="E55" s="20"/>
      <c r="F55" s="20"/>
      <c r="G55" s="19" t="e">
        <f t="shared" si="0"/>
        <v>#DIV/0!</v>
      </c>
      <c r="H55" s="20" t="str">
        <f ca="1">IFERROR(__xludf.DUMMYFUNCTION("IF(COUNTIFS($C$2:C55, C55, $A$2:A55, ""&lt;="" &amp; A55) &lt; 30, AVERAGEIF($C$2:C55, C55, $G$2:G55), AVERAGE(FILTER($G$2:G55, $C$2:C55 = C55, $A$2:A55 &gt;= A55 - 30)))
"),"#DIV/0!")</f>
        <v>#DIV/0!</v>
      </c>
      <c r="I55" s="20" t="e">
        <f t="shared" ca="1" si="1"/>
        <v>#DIV/0!</v>
      </c>
      <c r="J55" s="20" t="str">
        <f ca="1">IFERROR(__xludf.DUMMYFUNCTION("IF(OR($I55=2, $I55=3), 0, IFERROR(COUNTIFS($C$2:C55, $C55, $A$2:A56, ""&gt;""&amp;IFERROR(MAX(FILTER($A$2:A56, $C$2:C55=$C55, $I$2:I55&lt;&gt;1)), 0), $I$2:I55, 1),1))
"),"#DIV/0!")</f>
        <v>#DIV/0!</v>
      </c>
      <c r="K55" s="20" t="e">
        <f t="shared" ca="1" si="2"/>
        <v>#DIV/0!</v>
      </c>
      <c r="L55" s="20" t="e">
        <f t="shared" ca="1" si="3"/>
        <v>#DIV/0!</v>
      </c>
      <c r="M55" s="21" t="e">
        <f t="shared" ca="1" si="4"/>
        <v>#DIV/0!</v>
      </c>
      <c r="N55" s="22" t="str">
        <f ca="1">IFERROR(__xludf.DUMMYFUNCTION("IF(COUNTIFS($C$2:C55, C55, $A$2:A55, ""&lt;="" &amp; A55) &lt; 30, STDEV.P(FILTER($G$2:G55, $C$2:C55 = C55)), STDEV.P(FILTER($G$2:G55, $C$2:C55 = C55, $A$2:A55 &gt;= A55 - 30)))
"),"#DIV/0!")</f>
        <v>#DIV/0!</v>
      </c>
    </row>
    <row r="56" spans="1:14" x14ac:dyDescent="0.2">
      <c r="A56" s="6"/>
      <c r="B56" s="5"/>
      <c r="D56" s="20"/>
      <c r="E56" s="20"/>
      <c r="F56" s="33"/>
      <c r="G56" s="19" t="e">
        <f t="shared" si="0"/>
        <v>#DIV/0!</v>
      </c>
      <c r="H56" s="20" t="str">
        <f ca="1">IFERROR(__xludf.DUMMYFUNCTION("IF(COUNTIFS($C$2:C56, C56, $A$2:A56, ""&lt;="" &amp; A56) &lt; 30, AVERAGEIF($C$2:C56, C56, $G$2:G56), AVERAGE(FILTER($G$2:G56, $C$2:C56 = C56, $A$2:A56 &gt;= A56 - 30)))
"),"#DIV/0!")</f>
        <v>#DIV/0!</v>
      </c>
      <c r="I56" s="20" t="e">
        <f t="shared" ca="1" si="1"/>
        <v>#DIV/0!</v>
      </c>
      <c r="J56" s="20" t="str">
        <f ca="1">IFERROR(__xludf.DUMMYFUNCTION("IF(OR($I56=2, $I56=3), 0, IFERROR(COUNTIFS($C$2:C56, $C56, $A$2:A57, ""&gt;""&amp;IFERROR(MAX(FILTER($A$2:A57, $C$2:C56=$C56, $I$2:I56&lt;&gt;1)), 0), $I$2:I56, 1),1))
"),"#DIV/0!")</f>
        <v>#DIV/0!</v>
      </c>
      <c r="K56" s="20" t="e">
        <f t="shared" ca="1" si="2"/>
        <v>#DIV/0!</v>
      </c>
      <c r="L56" s="20" t="e">
        <f t="shared" ca="1" si="3"/>
        <v>#DIV/0!</v>
      </c>
      <c r="M56" s="21" t="e">
        <f t="shared" ca="1" si="4"/>
        <v>#DIV/0!</v>
      </c>
      <c r="N56" s="22" t="str">
        <f ca="1">IFERROR(__xludf.DUMMYFUNCTION("IF(COUNTIFS($C$2:C56, C56, $A$2:A56, ""&lt;="" &amp; A56) &lt; 30, STDEV.P(FILTER($G$2:G56, $C$2:C56 = C56)), STDEV.P(FILTER($G$2:G56, $C$2:C56 = C56, $A$2:A56 &gt;= A56 - 30)))
"),"#DIV/0!")</f>
        <v>#DIV/0!</v>
      </c>
    </row>
    <row r="57" spans="1:14" x14ac:dyDescent="0.2">
      <c r="A57" s="6"/>
      <c r="B57" s="5"/>
      <c r="D57" s="20"/>
      <c r="E57" s="20"/>
      <c r="F57" s="20"/>
      <c r="G57" s="19" t="e">
        <f t="shared" si="0"/>
        <v>#DIV/0!</v>
      </c>
      <c r="H57" s="20" t="str">
        <f ca="1">IFERROR(__xludf.DUMMYFUNCTION("IF(COUNTIFS($C$2:C57, C57, $A$2:A57, ""&lt;="" &amp; A57) &lt; 30, AVERAGEIF($C$2:C57, C57, $G$2:G57), AVERAGE(FILTER($G$2:G57, $C$2:C57 = C57, $A$2:A57 &gt;= A57 - 30)))
"),"#DIV/0!")</f>
        <v>#DIV/0!</v>
      </c>
      <c r="I57" s="20" t="e">
        <f t="shared" ca="1" si="1"/>
        <v>#DIV/0!</v>
      </c>
      <c r="J57" s="20" t="str">
        <f ca="1">IFERROR(__xludf.DUMMYFUNCTION("IF(OR($I57=2, $I57=3), 0, IFERROR(COUNTIFS($C$2:C57, $C57, $A$2:A58, ""&gt;""&amp;IFERROR(MAX(FILTER($A$2:A58, $C$2:C57=$C57, $I$2:I57&lt;&gt;1)), 0), $I$2:I57, 1),1))
"),"#DIV/0!")</f>
        <v>#DIV/0!</v>
      </c>
      <c r="K57" s="20" t="e">
        <f t="shared" ca="1" si="2"/>
        <v>#DIV/0!</v>
      </c>
      <c r="L57" s="20" t="e">
        <f t="shared" ca="1" si="3"/>
        <v>#DIV/0!</v>
      </c>
      <c r="M57" s="21" t="e">
        <f t="shared" ca="1" si="4"/>
        <v>#DIV/0!</v>
      </c>
      <c r="N57" s="22" t="str">
        <f ca="1">IFERROR(__xludf.DUMMYFUNCTION("IF(COUNTIFS($C$2:C57, C57, $A$2:A57, ""&lt;="" &amp; A57) &lt; 30, STDEV.P(FILTER($G$2:G57, $C$2:C57 = C57)), STDEV.P(FILTER($G$2:G57, $C$2:C57 = C57, $A$2:A57 &gt;= A57 - 30)))
"),"#DIV/0!")</f>
        <v>#DIV/0!</v>
      </c>
    </row>
    <row r="58" spans="1:14" x14ac:dyDescent="0.2">
      <c r="A58" s="6"/>
      <c r="B58" s="5"/>
      <c r="D58" s="20"/>
      <c r="E58" s="20"/>
      <c r="F58" s="20"/>
      <c r="G58" s="19" t="e">
        <f t="shared" si="0"/>
        <v>#DIV/0!</v>
      </c>
      <c r="H58" s="20" t="str">
        <f ca="1">IFERROR(__xludf.DUMMYFUNCTION("IF(COUNTIFS($C$2:C58, C58, $A$2:A58, ""&lt;="" &amp; A58) &lt; 30, AVERAGEIF($C$2:C58, C58, $G$2:G58), AVERAGE(FILTER($G$2:G58, $C$2:C58 = C58, $A$2:A58 &gt;= A58 - 30)))
"),"#DIV/0!")</f>
        <v>#DIV/0!</v>
      </c>
      <c r="I58" s="20" t="e">
        <f t="shared" ca="1" si="1"/>
        <v>#DIV/0!</v>
      </c>
      <c r="J58" s="20" t="str">
        <f ca="1">IFERROR(__xludf.DUMMYFUNCTION("IF(OR($I58=2, $I58=3), 0, IFERROR(COUNTIFS($C$2:C58, $C58, $A$2:A59, ""&gt;""&amp;IFERROR(MAX(FILTER($A$2:A59, $C$2:C58=$C58, $I$2:I58&lt;&gt;1)), 0), $I$2:I58, 1),1))
"),"#DIV/0!")</f>
        <v>#DIV/0!</v>
      </c>
      <c r="K58" s="20" t="e">
        <f t="shared" ca="1" si="2"/>
        <v>#DIV/0!</v>
      </c>
      <c r="L58" s="20" t="e">
        <f t="shared" ca="1" si="3"/>
        <v>#DIV/0!</v>
      </c>
      <c r="M58" s="21" t="e">
        <f t="shared" ca="1" si="4"/>
        <v>#DIV/0!</v>
      </c>
      <c r="N58" s="22" t="str">
        <f ca="1">IFERROR(__xludf.DUMMYFUNCTION("IF(COUNTIFS($C$2:C58, C58, $A$2:A58, ""&lt;="" &amp; A58) &lt; 30, STDEV.P(FILTER($G$2:G58, $C$2:C58 = C58)), STDEV.P(FILTER($G$2:G58, $C$2:C58 = C58, $A$2:A58 &gt;= A58 - 30)))
"),"#DIV/0!")</f>
        <v>#DIV/0!</v>
      </c>
    </row>
    <row r="59" spans="1:14" x14ac:dyDescent="0.2">
      <c r="A59" s="6"/>
      <c r="B59" s="5"/>
      <c r="D59" s="20"/>
      <c r="E59" s="20"/>
      <c r="F59" s="20"/>
      <c r="G59" s="19" t="e">
        <f t="shared" si="0"/>
        <v>#DIV/0!</v>
      </c>
      <c r="H59" s="20" t="str">
        <f ca="1">IFERROR(__xludf.DUMMYFUNCTION("IF(COUNTIFS($C$2:C59, C59, $A$2:A59, ""&lt;="" &amp; A59) &lt; 30, AVERAGEIF($C$2:C59, C59, $G$2:G59), AVERAGE(FILTER($G$2:G59, $C$2:C59 = C59, $A$2:A59 &gt;= A59 - 30)))
"),"#DIV/0!")</f>
        <v>#DIV/0!</v>
      </c>
      <c r="I59" s="20" t="e">
        <f t="shared" ca="1" si="1"/>
        <v>#DIV/0!</v>
      </c>
      <c r="J59" s="20" t="str">
        <f ca="1">IFERROR(__xludf.DUMMYFUNCTION("IF(OR($I59=2, $I59=3), 0, IFERROR(COUNTIFS($C$2:C59, $C59, $A$2:A60, ""&gt;""&amp;IFERROR(MAX(FILTER($A$2:A60, $C$2:C59=$C59, $I$2:I59&lt;&gt;1)), 0), $I$2:I59, 1),1))
"),"#DIV/0!")</f>
        <v>#DIV/0!</v>
      </c>
      <c r="K59" s="20" t="e">
        <f t="shared" ca="1" si="2"/>
        <v>#DIV/0!</v>
      </c>
      <c r="L59" s="20" t="e">
        <f t="shared" ca="1" si="3"/>
        <v>#DIV/0!</v>
      </c>
      <c r="M59" s="21" t="e">
        <f t="shared" ca="1" si="4"/>
        <v>#DIV/0!</v>
      </c>
      <c r="N59" s="22" t="str">
        <f ca="1">IFERROR(__xludf.DUMMYFUNCTION("IF(COUNTIFS($C$2:C59, C59, $A$2:A59, ""&lt;="" &amp; A59) &lt; 30, STDEV.P(FILTER($G$2:G59, $C$2:C59 = C59)), STDEV.P(FILTER($G$2:G59, $C$2:C59 = C59, $A$2:A59 &gt;= A59 - 30)))
"),"#DIV/0!")</f>
        <v>#DIV/0!</v>
      </c>
    </row>
    <row r="60" spans="1:14" x14ac:dyDescent="0.2">
      <c r="A60" s="6"/>
      <c r="B60" s="5"/>
      <c r="D60" s="20"/>
      <c r="E60" s="20"/>
      <c r="F60" s="20"/>
      <c r="G60" s="19" t="e">
        <f t="shared" si="0"/>
        <v>#DIV/0!</v>
      </c>
      <c r="H60" s="20" t="str">
        <f ca="1">IFERROR(__xludf.DUMMYFUNCTION("IF(COUNTIFS($C$2:C60, C60, $A$2:A60, ""&lt;="" &amp; A60) &lt; 30, AVERAGEIF($C$2:C60, C60, $G$2:G60), AVERAGE(FILTER($G$2:G60, $C$2:C60 = C60, $A$2:A60 &gt;= A60 - 30)))
"),"#DIV/0!")</f>
        <v>#DIV/0!</v>
      </c>
      <c r="I60" s="20" t="e">
        <f t="shared" ca="1" si="1"/>
        <v>#DIV/0!</v>
      </c>
      <c r="J60" s="20" t="str">
        <f ca="1">IFERROR(__xludf.DUMMYFUNCTION("IF(OR($I60=2, $I60=3), 0, IFERROR(COUNTIFS($C$2:C60, $C60, $A$2:A61, ""&gt;""&amp;IFERROR(MAX(FILTER($A$2:A61, $C$2:C60=$C60, $I$2:I60&lt;&gt;1)), 0), $I$2:I60, 1),1))
"),"#DIV/0!")</f>
        <v>#DIV/0!</v>
      </c>
      <c r="K60" s="20" t="e">
        <f t="shared" ca="1" si="2"/>
        <v>#DIV/0!</v>
      </c>
      <c r="L60" s="20" t="e">
        <f t="shared" ca="1" si="3"/>
        <v>#DIV/0!</v>
      </c>
      <c r="M60" s="21" t="e">
        <f t="shared" ca="1" si="4"/>
        <v>#DIV/0!</v>
      </c>
      <c r="N60" s="22" t="str">
        <f ca="1">IFERROR(__xludf.DUMMYFUNCTION("IF(COUNTIFS($C$2:C60, C60, $A$2:A60, ""&lt;="" &amp; A60) &lt; 30, STDEV.P(FILTER($G$2:G60, $C$2:C60 = C60)), STDEV.P(FILTER($G$2:G60, $C$2:C60 = C60, $A$2:A60 &gt;= A60 - 30)))
"),"#DIV/0!")</f>
        <v>#DIV/0!</v>
      </c>
    </row>
    <row r="61" spans="1:14" x14ac:dyDescent="0.2">
      <c r="A61" s="6"/>
      <c r="B61" s="7"/>
      <c r="D61" s="20"/>
      <c r="E61" s="20"/>
      <c r="F61" s="20"/>
      <c r="G61" s="19" t="e">
        <f t="shared" si="0"/>
        <v>#DIV/0!</v>
      </c>
      <c r="H61" s="20" t="str">
        <f ca="1">IFERROR(__xludf.DUMMYFUNCTION("IF(COUNTIFS($C$2:C61, C61, $A$2:A61, ""&lt;="" &amp; A61) &lt; 30, AVERAGEIF($C$2:C61, C61, $G$2:G61), AVERAGE(FILTER($G$2:G61, $C$2:C61 = C61, $A$2:A61 &gt;= A61 - 30)))
"),"#DIV/0!")</f>
        <v>#DIV/0!</v>
      </c>
      <c r="I61" s="20" t="e">
        <f t="shared" ca="1" si="1"/>
        <v>#DIV/0!</v>
      </c>
      <c r="J61" s="20" t="str">
        <f ca="1">IFERROR(__xludf.DUMMYFUNCTION("IF(OR($I61=2, $I61=3), 0, IFERROR(COUNTIFS($C$2:C61, $C61, $A$2:A62, ""&gt;""&amp;IFERROR(MAX(FILTER($A$2:A62, $C$2:C61=$C61, $I$2:I61&lt;&gt;1)), 0), $I$2:I61, 1),1))
"),"#DIV/0!")</f>
        <v>#DIV/0!</v>
      </c>
      <c r="K61" s="20" t="e">
        <f t="shared" ca="1" si="2"/>
        <v>#DIV/0!</v>
      </c>
      <c r="L61" s="20" t="e">
        <f t="shared" ca="1" si="3"/>
        <v>#DIV/0!</v>
      </c>
      <c r="M61" s="21" t="e">
        <f t="shared" ca="1" si="4"/>
        <v>#DIV/0!</v>
      </c>
      <c r="N61" s="22" t="str">
        <f ca="1">IFERROR(__xludf.DUMMYFUNCTION("IF(COUNTIFS($C$2:C61, C61, $A$2:A61, ""&lt;="" &amp; A61) &lt; 30, STDEV.P(FILTER($G$2:G61, $C$2:C61 = C61)), STDEV.P(FILTER($G$2:G61, $C$2:C61 = C61, $A$2:A61 &gt;= A61 - 30)))
"),"#DIV/0!")</f>
        <v>#DIV/0!</v>
      </c>
    </row>
    <row r="62" spans="1:14" x14ac:dyDescent="0.2">
      <c r="A62" s="6"/>
      <c r="B62" s="7"/>
      <c r="D62" s="19"/>
      <c r="E62" s="19"/>
      <c r="F62" s="19"/>
      <c r="G62" s="19" t="e">
        <f t="shared" si="0"/>
        <v>#DIV/0!</v>
      </c>
      <c r="H62" s="20" t="str">
        <f ca="1">IFERROR(__xludf.DUMMYFUNCTION("IF(COUNTIFS($C$2:C62, C62, $A$2:A62, ""&lt;="" &amp; A62) &lt; 30, AVERAGEIF($C$2:C62, C62, $G$2:G62), AVERAGE(FILTER($G$2:G62, $C$2:C62 = C62, $A$2:A62 &gt;= A62 - 30)))
"),"#DIV/0!")</f>
        <v>#DIV/0!</v>
      </c>
      <c r="I62" s="20" t="e">
        <f t="shared" ca="1" si="1"/>
        <v>#DIV/0!</v>
      </c>
      <c r="J62" s="20" t="str">
        <f ca="1">IFERROR(__xludf.DUMMYFUNCTION("IF(OR($I62=2, $I62=3), 0, IFERROR(COUNTIFS($C$2:C62, $C62, $A$2:A63, ""&gt;""&amp;IFERROR(MAX(FILTER($A$2:A63, $C$2:C62=$C62, $I$2:I62&lt;&gt;1)), 0), $I$2:I62, 1),1))
"),"#DIV/0!")</f>
        <v>#DIV/0!</v>
      </c>
      <c r="K62" s="20" t="e">
        <f t="shared" ca="1" si="2"/>
        <v>#DIV/0!</v>
      </c>
      <c r="L62" s="20" t="e">
        <f t="shared" ca="1" si="3"/>
        <v>#DIV/0!</v>
      </c>
      <c r="M62" s="21" t="e">
        <f t="shared" ca="1" si="4"/>
        <v>#DIV/0!</v>
      </c>
      <c r="N62" s="22" t="str">
        <f ca="1">IFERROR(__xludf.DUMMYFUNCTION("IF(COUNTIFS($C$2:C62, C62, $A$2:A62, ""&lt;="" &amp; A62) &lt; 30, STDEV.P(FILTER($G$2:G62, $C$2:C62 = C62)), STDEV.P(FILTER($G$2:G62, $C$2:C62 = C62, $A$2:A62 &gt;= A62 - 30)))
"),"#DIV/0!")</f>
        <v>#DIV/0!</v>
      </c>
    </row>
    <row r="63" spans="1:14" x14ac:dyDescent="0.2">
      <c r="A63" s="23"/>
      <c r="B63" s="24"/>
      <c r="C63" s="25"/>
      <c r="D63" s="26"/>
      <c r="E63" s="26"/>
      <c r="F63" s="26"/>
      <c r="G63" s="26" t="e">
        <f t="shared" si="0"/>
        <v>#DIV/0!</v>
      </c>
      <c r="H63" s="27" t="str">
        <f ca="1">IFERROR(__xludf.DUMMYFUNCTION("IF(COUNTIFS($C$2:C63, C63, $A$2:A63, ""&lt;="" &amp; A63) &lt; 30, AVERAGEIF($C$2:C63, C63, $G$2:G63), AVERAGE(FILTER($G$2:G63, $C$2:C63 = C63, $A$2:A63 &gt;= A63 - 30)))
"),"#DIV/0!")</f>
        <v>#DIV/0!</v>
      </c>
      <c r="I63" s="27" t="e">
        <f t="shared" ca="1" si="1"/>
        <v>#DIV/0!</v>
      </c>
      <c r="J63" s="27" t="str">
        <f ca="1">IFERROR(__xludf.DUMMYFUNCTION("IF(OR($I63=2, $I63=3), 0, IFERROR(COUNTIFS($C$2:C63, $C63, $A$2:A64, ""&gt;""&amp;IFERROR(MAX(FILTER($A$2:A64, $C$2:C63=$C63, $I$2:I63&lt;&gt;1)), 0), $I$2:I63, 1),1))
"),"#DIV/0!")</f>
        <v>#DIV/0!</v>
      </c>
      <c r="K63" s="27" t="e">
        <f t="shared" ca="1" si="2"/>
        <v>#DIV/0!</v>
      </c>
      <c r="L63" s="27" t="e">
        <f t="shared" ca="1" si="3"/>
        <v>#DIV/0!</v>
      </c>
      <c r="M63" s="28" t="e">
        <f t="shared" ca="1" si="4"/>
        <v>#DIV/0!</v>
      </c>
      <c r="N63" s="29" t="str">
        <f ca="1">IFERROR(__xludf.DUMMYFUNCTION("IF(COUNTIFS($C$2:C63, C63, $A$2:A63, ""&lt;="" &amp; A63) &lt; 30, STDEV.P(FILTER($G$2:G63, $C$2:C63 = C63)), STDEV.P(FILTER($G$2:G63, $C$2:C63 = C63, $A$2:A63 &gt;= A63 - 30)))
"),"#DIV/0!")</f>
        <v>#DIV/0!</v>
      </c>
    </row>
    <row r="64" spans="1:14" x14ac:dyDescent="0.2">
      <c r="A64" s="34"/>
      <c r="B64" s="7"/>
      <c r="C64" s="35"/>
      <c r="D64" s="19"/>
      <c r="E64" s="19"/>
      <c r="F64" s="19"/>
      <c r="G64" s="19" t="e">
        <f t="shared" si="0"/>
        <v>#DIV/0!</v>
      </c>
      <c r="H64" s="20" t="str">
        <f ca="1">IFERROR(__xludf.DUMMYFUNCTION("IF(COUNTIFS($C$2:C64, C64, $A$2:A64, ""&lt;="" &amp; A64) &lt; 30, AVERAGEIF($C$2:C64, C64, $G$2:G64), AVERAGE(FILTER($G$2:G64, $C$2:C64 = C64, $A$2:A64 &gt;= A64 - 30)))
"),"#DIV/0!")</f>
        <v>#DIV/0!</v>
      </c>
      <c r="I64" s="20" t="e">
        <f t="shared" ca="1" si="1"/>
        <v>#DIV/0!</v>
      </c>
      <c r="J64" s="20" t="str">
        <f ca="1">IFERROR(__xludf.DUMMYFUNCTION("IF(OR($I64=2, $I64=3), 0, IFERROR(COUNTIFS($C$2:C64, $C64, $A$2:A65, ""&gt;""&amp;IFERROR(MAX(FILTER($A$2:A65, $C$2:C64=$C64, $I$2:I64&lt;&gt;1)), 0), $I$2:I64, 1),1))
"),"#DIV/0!")</f>
        <v>#DIV/0!</v>
      </c>
      <c r="K64" s="20" t="e">
        <f t="shared" ca="1" si="2"/>
        <v>#DIV/0!</v>
      </c>
      <c r="L64" s="20" t="e">
        <f t="shared" ca="1" si="3"/>
        <v>#DIV/0!</v>
      </c>
      <c r="M64" s="21" t="e">
        <f t="shared" ca="1" si="4"/>
        <v>#DIV/0!</v>
      </c>
      <c r="N64" s="36" t="str">
        <f ca="1">IFERROR(__xludf.DUMMYFUNCTION("IF(COUNTIFS($C$2:C64, C64, $A$2:A64, ""&lt;="" &amp; A64) &lt; 30, STDEV.P(FILTER($G$2:G64, $C$2:C64 = C64)), STDEV.P(FILTER($G$2:G64, $C$2:C64 = C64, $A$2:A64 &gt;= A64 - 30)))
"),"#DIV/0!")</f>
        <v>#DIV/0!</v>
      </c>
    </row>
    <row r="65" spans="1:14" x14ac:dyDescent="0.2">
      <c r="A65" s="34"/>
      <c r="B65" s="7"/>
      <c r="C65" s="35"/>
      <c r="D65" s="19"/>
      <c r="E65" s="19"/>
      <c r="F65" s="19"/>
      <c r="G65" s="19" t="e">
        <f t="shared" si="0"/>
        <v>#DIV/0!</v>
      </c>
      <c r="H65" s="20" t="str">
        <f ca="1">IFERROR(__xludf.DUMMYFUNCTION("IF(COUNTIFS($C$2:C65, C65, $A$2:A65, ""&lt;="" &amp; A65) &lt; 30, AVERAGEIF($C$2:C65, C65, $G$2:G65), AVERAGE(FILTER($G$2:G65, $C$2:C65 = C65, $A$2:A65 &gt;= A65 - 30)))
"),"#DIV/0!")</f>
        <v>#DIV/0!</v>
      </c>
      <c r="I65" s="20" t="e">
        <f t="shared" ca="1" si="1"/>
        <v>#DIV/0!</v>
      </c>
      <c r="J65" s="20" t="str">
        <f ca="1">IFERROR(__xludf.DUMMYFUNCTION("IF(OR($I65=2, $I65=3), 0, IFERROR(COUNTIFS($C$2:C65, $C65, $A$2:A66, ""&gt;""&amp;IFERROR(MAX(FILTER($A$2:A66, $C$2:C65=$C65, $I$2:I65&lt;&gt;1)), 0), $I$2:I65, 1),1))
"),"#DIV/0!")</f>
        <v>#DIV/0!</v>
      </c>
      <c r="K65" s="20" t="e">
        <f t="shared" ca="1" si="2"/>
        <v>#DIV/0!</v>
      </c>
      <c r="L65" s="20" t="e">
        <f t="shared" ca="1" si="3"/>
        <v>#DIV/0!</v>
      </c>
      <c r="M65" s="21" t="e">
        <f t="shared" ca="1" si="4"/>
        <v>#DIV/0!</v>
      </c>
      <c r="N65" s="36" t="str">
        <f ca="1">IFERROR(__xludf.DUMMYFUNCTION("IF(COUNTIFS($C$2:C65, C65, $A$2:A65, ""&lt;="" &amp; A65) &lt; 30, STDEV.P(FILTER($G$2:G65, $C$2:C65 = C65)), STDEV.P(FILTER($G$2:G65, $C$2:C65 = C65, $A$2:A65 &gt;= A65 - 30)))
"),"#DIV/0!")</f>
        <v>#DIV/0!</v>
      </c>
    </row>
    <row r="66" spans="1:14" x14ac:dyDescent="0.2">
      <c r="A66" s="34"/>
      <c r="B66" s="7"/>
      <c r="C66" s="35"/>
      <c r="D66" s="19"/>
      <c r="E66" s="19"/>
      <c r="F66" s="19"/>
      <c r="G66" s="19" t="e">
        <f t="shared" si="0"/>
        <v>#DIV/0!</v>
      </c>
      <c r="H66" s="20" t="str">
        <f ca="1">IFERROR(__xludf.DUMMYFUNCTION("IF(COUNTIFS($C$2:C66, C66, $A$2:A66, ""&lt;="" &amp; A66) &lt; 30, AVERAGEIF($C$2:C66, C66, $G$2:G66), AVERAGE(FILTER($G$2:G66, $C$2:C66 = C66, $A$2:A66 &gt;= A66 - 30)))
"),"#DIV/0!")</f>
        <v>#DIV/0!</v>
      </c>
      <c r="I66" s="20" t="e">
        <f t="shared" ca="1" si="1"/>
        <v>#DIV/0!</v>
      </c>
      <c r="J66" s="20" t="str">
        <f ca="1">IFERROR(__xludf.DUMMYFUNCTION("IF(OR($I66=2, $I66=3), 0, IFERROR(COUNTIFS($C$2:C66, $C66, $A$2:A67, ""&gt;""&amp;IFERROR(MAX(FILTER($A$2:A67, $C$2:C66=$C66, $I$2:I66&lt;&gt;1)), 0), $I$2:I66, 1),1))
"),"#DIV/0!")</f>
        <v>#DIV/0!</v>
      </c>
      <c r="K66" s="20" t="e">
        <f t="shared" ca="1" si="2"/>
        <v>#DIV/0!</v>
      </c>
      <c r="L66" s="20" t="e">
        <f t="shared" ca="1" si="3"/>
        <v>#DIV/0!</v>
      </c>
      <c r="M66" s="21" t="e">
        <f t="shared" ca="1" si="4"/>
        <v>#DIV/0!</v>
      </c>
      <c r="N66" s="36" t="str">
        <f ca="1">IFERROR(__xludf.DUMMYFUNCTION("IF(COUNTIFS($C$2:C66, C66, $A$2:A66, ""&lt;="" &amp; A66) &lt; 30, STDEV.P(FILTER($G$2:G66, $C$2:C66 = C66)), STDEV.P(FILTER($G$2:G66, $C$2:C66 = C66, $A$2:A66 &gt;= A66 - 30)))
"),"#DIV/0!")</f>
        <v>#DIV/0!</v>
      </c>
    </row>
    <row r="67" spans="1:14" x14ac:dyDescent="0.2">
      <c r="A67" s="34"/>
      <c r="B67" s="7"/>
      <c r="C67" s="35"/>
      <c r="D67" s="19"/>
      <c r="E67" s="19"/>
      <c r="F67" s="19"/>
      <c r="G67" s="19" t="e">
        <f t="shared" si="0"/>
        <v>#DIV/0!</v>
      </c>
      <c r="H67" s="20" t="str">
        <f ca="1">IFERROR(__xludf.DUMMYFUNCTION("IF(COUNTIFS($C$2:C67, C67, $A$2:A67, ""&lt;="" &amp; A67) &lt; 30, AVERAGEIF($C$2:C67, C67, $G$2:G67), AVERAGE(FILTER($G$2:G67, $C$2:C67 = C67, $A$2:A67 &gt;= A67 - 30)))
"),"#DIV/0!")</f>
        <v>#DIV/0!</v>
      </c>
      <c r="I67" s="20" t="e">
        <f t="shared" ca="1" si="1"/>
        <v>#DIV/0!</v>
      </c>
      <c r="J67" s="20" t="str">
        <f ca="1">IFERROR(__xludf.DUMMYFUNCTION("IF(OR($I67=2, $I67=3), 0, IFERROR(COUNTIFS($C$2:C67, $C67, $A$2:A68, ""&gt;""&amp;IFERROR(MAX(FILTER($A$2:A68, $C$2:C67=$C67, $I$2:I67&lt;&gt;1)), 0), $I$2:I67, 1),1))
"),"#DIV/0!")</f>
        <v>#DIV/0!</v>
      </c>
      <c r="K67" s="20" t="e">
        <f t="shared" ca="1" si="2"/>
        <v>#DIV/0!</v>
      </c>
      <c r="L67" s="20" t="e">
        <f t="shared" ca="1" si="3"/>
        <v>#DIV/0!</v>
      </c>
      <c r="M67" s="21" t="e">
        <f t="shared" ca="1" si="4"/>
        <v>#DIV/0!</v>
      </c>
      <c r="N67" s="36" t="str">
        <f ca="1">IFERROR(__xludf.DUMMYFUNCTION("IF(COUNTIFS($C$2:C67, C67, $A$2:A67, ""&lt;="" &amp; A67) &lt; 30, STDEV.P(FILTER($G$2:G67, $C$2:C67 = C67)), STDEV.P(FILTER($G$2:G67, $C$2:C67 = C67, $A$2:A67 &gt;= A67 - 30)))
"),"#DIV/0!")</f>
        <v>#DIV/0!</v>
      </c>
    </row>
    <row r="68" spans="1:14" x14ac:dyDescent="0.2">
      <c r="A68" s="34"/>
      <c r="B68" s="7"/>
      <c r="C68" s="35"/>
      <c r="D68" s="19"/>
      <c r="E68" s="19"/>
      <c r="F68" s="19"/>
      <c r="G68" s="19" t="e">
        <f t="shared" si="0"/>
        <v>#DIV/0!</v>
      </c>
      <c r="H68" s="20" t="str">
        <f ca="1">IFERROR(__xludf.DUMMYFUNCTION("IF(COUNTIFS($C$2:C68, C68, $A$2:A68, ""&lt;="" &amp; A68) &lt; 30, AVERAGEIF($C$2:C68, C68, $G$2:G68), AVERAGE(FILTER($G$2:G68, $C$2:C68 = C68, $A$2:A68 &gt;= A68 - 30)))
"),"#DIV/0!")</f>
        <v>#DIV/0!</v>
      </c>
      <c r="I68" s="20" t="e">
        <f t="shared" ca="1" si="1"/>
        <v>#DIV/0!</v>
      </c>
      <c r="J68" s="20" t="str">
        <f ca="1">IFERROR(__xludf.DUMMYFUNCTION("IF(OR($I68=2, $I68=3), 0, IFERROR(COUNTIFS($C$2:C68, $C68, $A$2:A69, ""&gt;""&amp;IFERROR(MAX(FILTER($A$2:A69, $C$2:C68=$C68, $I$2:I68&lt;&gt;1)), 0), $I$2:I68, 1),1))
"),"#DIV/0!")</f>
        <v>#DIV/0!</v>
      </c>
      <c r="K68" s="20" t="e">
        <f t="shared" ca="1" si="2"/>
        <v>#DIV/0!</v>
      </c>
      <c r="L68" s="20" t="e">
        <f t="shared" ca="1" si="3"/>
        <v>#DIV/0!</v>
      </c>
      <c r="M68" s="21" t="e">
        <f t="shared" ca="1" si="4"/>
        <v>#DIV/0!</v>
      </c>
      <c r="N68" s="36" t="str">
        <f ca="1">IFERROR(__xludf.DUMMYFUNCTION("IF(COUNTIFS($C$2:C68, C68, $A$2:A68, ""&lt;="" &amp; A68) &lt; 30, STDEV.P(FILTER($G$2:G68, $C$2:C68 = C68)), STDEV.P(FILTER($G$2:G68, $C$2:C68 = C68, $A$2:A68 &gt;= A68 - 30)))
"),"#DIV/0!")</f>
        <v>#DIV/0!</v>
      </c>
    </row>
    <row r="69" spans="1:14" x14ac:dyDescent="0.2">
      <c r="A69" s="34"/>
      <c r="B69" s="7"/>
      <c r="C69" s="35"/>
      <c r="D69" s="19"/>
      <c r="E69" s="19"/>
      <c r="F69" s="19"/>
      <c r="G69" s="19" t="e">
        <f t="shared" si="0"/>
        <v>#DIV/0!</v>
      </c>
      <c r="H69" s="20" t="str">
        <f ca="1">IFERROR(__xludf.DUMMYFUNCTION("IF(COUNTIFS($C$2:C69, C69, $A$2:A69, ""&lt;="" &amp; A69) &lt; 30, AVERAGEIF($C$2:C69, C69, $G$2:G69), AVERAGE(FILTER($G$2:G69, $C$2:C69 = C69, $A$2:A69 &gt;= A69 - 30)))
"),"#DIV/0!")</f>
        <v>#DIV/0!</v>
      </c>
      <c r="I69" s="20" t="e">
        <f t="shared" ca="1" si="1"/>
        <v>#DIV/0!</v>
      </c>
      <c r="J69" s="20" t="str">
        <f ca="1">IFERROR(__xludf.DUMMYFUNCTION("IF(OR($I69=2, $I69=3), 0, IFERROR(COUNTIFS($C$2:C69, $C69, $A$2:A70, ""&gt;""&amp;IFERROR(MAX(FILTER($A$2:A70, $C$2:C69=$C69, $I$2:I69&lt;&gt;1)), 0), $I$2:I69, 1),1))
"),"#DIV/0!")</f>
        <v>#DIV/0!</v>
      </c>
      <c r="K69" s="20" t="e">
        <f t="shared" ca="1" si="2"/>
        <v>#DIV/0!</v>
      </c>
      <c r="L69" s="20" t="e">
        <f t="shared" ca="1" si="3"/>
        <v>#DIV/0!</v>
      </c>
      <c r="M69" s="21" t="e">
        <f t="shared" ca="1" si="4"/>
        <v>#DIV/0!</v>
      </c>
      <c r="N69" s="36" t="str">
        <f ca="1">IFERROR(__xludf.DUMMYFUNCTION("IF(COUNTIFS($C$2:C69, C69, $A$2:A69, ""&lt;="" &amp; A69) &lt; 30, STDEV.P(FILTER($G$2:G69, $C$2:C69 = C69)), STDEV.P(FILTER($G$2:G69, $C$2:C69 = C69, $A$2:A69 &gt;= A69 - 30)))
"),"#DIV/0!")</f>
        <v>#DIV/0!</v>
      </c>
    </row>
    <row r="70" spans="1:14" x14ac:dyDescent="0.2">
      <c r="A70" s="34"/>
      <c r="B70" s="7"/>
      <c r="C70" s="35"/>
      <c r="D70" s="19"/>
      <c r="E70" s="19"/>
      <c r="F70" s="19"/>
      <c r="G70" s="19" t="e">
        <f t="shared" si="0"/>
        <v>#DIV/0!</v>
      </c>
      <c r="H70" s="20" t="str">
        <f ca="1">IFERROR(__xludf.DUMMYFUNCTION("IF(COUNTIFS($C$2:C70, C70, $A$2:A70, ""&lt;="" &amp; A70) &lt; 30, AVERAGEIF($C$2:C70, C70, $G$2:G70), AVERAGE(FILTER($G$2:G70, $C$2:C70 = C70, $A$2:A70 &gt;= A70 - 30)))
"),"#DIV/0!")</f>
        <v>#DIV/0!</v>
      </c>
      <c r="I70" s="20" t="e">
        <f t="shared" ca="1" si="1"/>
        <v>#DIV/0!</v>
      </c>
      <c r="J70" s="20" t="str">
        <f ca="1">IFERROR(__xludf.DUMMYFUNCTION("IF(OR($I70=2, $I70=3), 0, IFERROR(COUNTIFS($C$2:C70, $C70, $A$2:A71, ""&gt;""&amp;IFERROR(MAX(FILTER($A$2:A71, $C$2:C70=$C70, $I$2:I70&lt;&gt;1)), 0), $I$2:I70, 1),1))
"),"#DIV/0!")</f>
        <v>#DIV/0!</v>
      </c>
      <c r="K70" s="20" t="e">
        <f t="shared" ca="1" si="2"/>
        <v>#DIV/0!</v>
      </c>
      <c r="L70" s="20" t="e">
        <f t="shared" ca="1" si="3"/>
        <v>#DIV/0!</v>
      </c>
      <c r="M70" s="21" t="e">
        <f t="shared" ca="1" si="4"/>
        <v>#DIV/0!</v>
      </c>
      <c r="N70" s="36" t="str">
        <f ca="1">IFERROR(__xludf.DUMMYFUNCTION("IF(COUNTIFS($C$2:C70, C70, $A$2:A70, ""&lt;="" &amp; A70) &lt; 30, STDEV.P(FILTER($G$2:G70, $C$2:C70 = C70)), STDEV.P(FILTER($G$2:G70, $C$2:C70 = C70, $A$2:A70 &gt;= A70 - 30)))
"),"#DIV/0!")</f>
        <v>#DIV/0!</v>
      </c>
    </row>
    <row r="71" spans="1:14" x14ac:dyDescent="0.2">
      <c r="A71" s="34"/>
      <c r="B71" s="5"/>
      <c r="C71" s="35"/>
      <c r="D71" s="19"/>
      <c r="E71" s="19"/>
      <c r="F71" s="19"/>
      <c r="G71" s="19" t="e">
        <f t="shared" si="0"/>
        <v>#DIV/0!</v>
      </c>
      <c r="H71" s="20" t="str">
        <f ca="1">IFERROR(__xludf.DUMMYFUNCTION("IF(COUNTIFS($C$2:C71, C71, $A$2:A71, ""&lt;="" &amp; A71) &lt; 30, AVERAGEIF($C$2:C71, C71, $G$2:G71), AVERAGE(FILTER($G$2:G71, $C$2:C71 = C71, $A$2:A71 &gt;= A71 - 30)))
"),"#DIV/0!")</f>
        <v>#DIV/0!</v>
      </c>
      <c r="I71" s="20" t="e">
        <f t="shared" ca="1" si="1"/>
        <v>#DIV/0!</v>
      </c>
      <c r="J71" s="20" t="str">
        <f ca="1">IFERROR(__xludf.DUMMYFUNCTION("IF(OR($I71=2, $I71=3), 0, IFERROR(COUNTIFS($C$2:C71, $C71, $A$2:A72, ""&gt;""&amp;IFERROR(MAX(FILTER($A$2:A72, $C$2:C71=$C71, $I$2:I71&lt;&gt;1)), 0), $I$2:I71, 1),1))
"),"#DIV/0!")</f>
        <v>#DIV/0!</v>
      </c>
      <c r="K71" s="20" t="e">
        <f t="shared" ca="1" si="2"/>
        <v>#DIV/0!</v>
      </c>
      <c r="L71" s="20" t="e">
        <f t="shared" ca="1" si="3"/>
        <v>#DIV/0!</v>
      </c>
      <c r="M71" s="21" t="e">
        <f t="shared" ca="1" si="4"/>
        <v>#DIV/0!</v>
      </c>
      <c r="N71" s="36" t="str">
        <f ca="1">IFERROR(__xludf.DUMMYFUNCTION("IF(COUNTIFS($C$2:C71, C71, $A$2:A71, ""&lt;="" &amp; A71) &lt; 30, STDEV.P(FILTER($G$2:G71, $C$2:C71 = C71)), STDEV.P(FILTER($G$2:G71, $C$2:C71 = C71, $A$2:A71 &gt;= A71 - 30)))
"),"#DIV/0!")</f>
        <v>#DIV/0!</v>
      </c>
    </row>
    <row r="72" spans="1:14" x14ac:dyDescent="0.2">
      <c r="A72" s="34"/>
      <c r="B72" s="5"/>
      <c r="C72" s="35"/>
      <c r="D72" s="19"/>
      <c r="E72" s="19"/>
      <c r="F72" s="19"/>
      <c r="G72" s="19" t="e">
        <f t="shared" si="0"/>
        <v>#DIV/0!</v>
      </c>
      <c r="H72" s="20" t="str">
        <f ca="1">IFERROR(__xludf.DUMMYFUNCTION("IF(COUNTIFS($C$2:C72, C72, $A$2:A72, ""&lt;="" &amp; A72) &lt; 30, AVERAGEIF($C$2:C72, C72, $G$2:G72), AVERAGE(FILTER($G$2:G72, $C$2:C72 = C72, $A$2:A72 &gt;= A72 - 30)))
"),"#DIV/0!")</f>
        <v>#DIV/0!</v>
      </c>
      <c r="I72" s="20" t="e">
        <f t="shared" ca="1" si="1"/>
        <v>#DIV/0!</v>
      </c>
      <c r="J72" s="20" t="str">
        <f ca="1">IFERROR(__xludf.DUMMYFUNCTION("IF(OR($I72=2, $I72=3), 0, IFERROR(COUNTIFS($C$2:C72, $C72, $A$2:A73, ""&gt;""&amp;IFERROR(MAX(FILTER($A$2:A73, $C$2:C72=$C72, $I$2:I72&lt;&gt;1)), 0), $I$2:I72, 1),1))
"),"#DIV/0!")</f>
        <v>#DIV/0!</v>
      </c>
      <c r="K72" s="20" t="e">
        <f t="shared" ca="1" si="2"/>
        <v>#DIV/0!</v>
      </c>
      <c r="L72" s="20" t="e">
        <f t="shared" ca="1" si="3"/>
        <v>#DIV/0!</v>
      </c>
      <c r="M72" s="21" t="e">
        <f t="shared" ca="1" si="4"/>
        <v>#DIV/0!</v>
      </c>
      <c r="N72" s="36" t="str">
        <f ca="1">IFERROR(__xludf.DUMMYFUNCTION("IF(COUNTIFS($C$2:C72, C72, $A$2:A72, ""&lt;="" &amp; A72) &lt; 30, STDEV.P(FILTER($G$2:G72, $C$2:C72 = C72)), STDEV.P(FILTER($G$2:G72, $C$2:C72 = C72, $A$2:A72 &gt;= A72 - 30)))
"),"#DIV/0!")</f>
        <v>#DIV/0!</v>
      </c>
    </row>
    <row r="73" spans="1:14" x14ac:dyDescent="0.2">
      <c r="A73" s="34"/>
      <c r="B73" s="5"/>
      <c r="C73" s="35"/>
      <c r="D73" s="19"/>
      <c r="E73" s="19"/>
      <c r="F73" s="19"/>
      <c r="G73" s="19" t="e">
        <f t="shared" si="0"/>
        <v>#DIV/0!</v>
      </c>
      <c r="H73" s="20" t="str">
        <f ca="1">IFERROR(__xludf.DUMMYFUNCTION("IF(COUNTIFS($C$2:C73, C73, $A$2:A73, ""&lt;="" &amp; A73) &lt; 30, AVERAGEIF($C$2:C73, C73, $G$2:G73), AVERAGE(FILTER($G$2:G73, $C$2:C73 = C73, $A$2:A73 &gt;= A73 - 30)))
"),"#DIV/0!")</f>
        <v>#DIV/0!</v>
      </c>
      <c r="I73" s="20" t="e">
        <f t="shared" ca="1" si="1"/>
        <v>#DIV/0!</v>
      </c>
      <c r="J73" s="20" t="str">
        <f ca="1">IFERROR(__xludf.DUMMYFUNCTION("IF(OR($I73=2, $I73=3), 0, IFERROR(COUNTIFS($C$2:C73, $C73, $A$2:A74, ""&gt;""&amp;IFERROR(MAX(FILTER($A$2:A74, $C$2:C73=$C73, $I$2:I73&lt;&gt;1)), 0), $I$2:I73, 1),1))
"),"#DIV/0!")</f>
        <v>#DIV/0!</v>
      </c>
      <c r="K73" s="20" t="e">
        <f t="shared" ca="1" si="2"/>
        <v>#DIV/0!</v>
      </c>
      <c r="L73" s="20" t="e">
        <f t="shared" ca="1" si="3"/>
        <v>#DIV/0!</v>
      </c>
      <c r="M73" s="21" t="e">
        <f t="shared" ca="1" si="4"/>
        <v>#DIV/0!</v>
      </c>
      <c r="N73" s="36" t="str">
        <f ca="1">IFERROR(__xludf.DUMMYFUNCTION("IF(COUNTIFS($C$2:C73, C73, $A$2:A73, ""&lt;="" &amp; A73) &lt; 30, STDEV.P(FILTER($G$2:G73, $C$2:C73 = C73)), STDEV.P(FILTER($G$2:G73, $C$2:C73 = C73, $A$2:A73 &gt;= A73 - 30)))
"),"#DIV/0!")</f>
        <v>#DIV/0!</v>
      </c>
    </row>
    <row r="74" spans="1:14" x14ac:dyDescent="0.2">
      <c r="A74" s="34"/>
      <c r="B74" s="5"/>
      <c r="C74" s="35"/>
      <c r="D74" s="19"/>
      <c r="E74" s="19"/>
      <c r="F74" s="19"/>
      <c r="G74" s="19" t="e">
        <f t="shared" si="0"/>
        <v>#DIV/0!</v>
      </c>
      <c r="H74" s="20" t="str">
        <f ca="1">IFERROR(__xludf.DUMMYFUNCTION("IF(COUNTIFS($C$2:C74, C74, $A$2:A74, ""&lt;="" &amp; A74) &lt; 30, AVERAGEIF($C$2:C74, C74, $G$2:G74), AVERAGE(FILTER($G$2:G74, $C$2:C74 = C74, $A$2:A74 &gt;= A74 - 30)))
"),"#DIV/0!")</f>
        <v>#DIV/0!</v>
      </c>
      <c r="I74" s="20" t="e">
        <f t="shared" ca="1" si="1"/>
        <v>#DIV/0!</v>
      </c>
      <c r="J74" s="20" t="str">
        <f ca="1">IFERROR(__xludf.DUMMYFUNCTION("IF(OR($I74=2, $I74=3), 0, IFERROR(COUNTIFS($C$2:C74, $C74, $A$2:A75, ""&gt;""&amp;IFERROR(MAX(FILTER($A$2:A75, $C$2:C74=$C74, $I$2:I74&lt;&gt;1)), 0), $I$2:I74, 1),1))
"),"#DIV/0!")</f>
        <v>#DIV/0!</v>
      </c>
      <c r="K74" s="20" t="e">
        <f t="shared" ca="1" si="2"/>
        <v>#DIV/0!</v>
      </c>
      <c r="L74" s="20" t="e">
        <f t="shared" ca="1" si="3"/>
        <v>#DIV/0!</v>
      </c>
      <c r="M74" s="21" t="e">
        <f t="shared" ca="1" si="4"/>
        <v>#DIV/0!</v>
      </c>
      <c r="N74" s="36" t="str">
        <f ca="1">IFERROR(__xludf.DUMMYFUNCTION("IF(COUNTIFS($C$2:C74, C74, $A$2:A74, ""&lt;="" &amp; A74) &lt; 30, STDEV.P(FILTER($G$2:G74, $C$2:C74 = C74)), STDEV.P(FILTER($G$2:G74, $C$2:C74 = C74, $A$2:A74 &gt;= A74 - 30)))
"),"#DIV/0!")</f>
        <v>#DIV/0!</v>
      </c>
    </row>
    <row r="75" spans="1:14" x14ac:dyDescent="0.2">
      <c r="A75" s="34"/>
      <c r="B75" s="5"/>
      <c r="C75" s="35"/>
      <c r="D75" s="19"/>
      <c r="E75" s="19"/>
      <c r="F75" s="19"/>
      <c r="G75" s="19" t="e">
        <f t="shared" si="0"/>
        <v>#DIV/0!</v>
      </c>
      <c r="H75" s="20" t="str">
        <f ca="1">IFERROR(__xludf.DUMMYFUNCTION("IF(COUNTIFS($C$2:C75, C75, $A$2:A75, ""&lt;="" &amp; A75) &lt; 30, AVERAGEIF($C$2:C75, C75, $G$2:G75), AVERAGE(FILTER($G$2:G75, $C$2:C75 = C75, $A$2:A75 &gt;= A75 - 30)))
"),"#DIV/0!")</f>
        <v>#DIV/0!</v>
      </c>
      <c r="I75" s="20" t="e">
        <f t="shared" ca="1" si="1"/>
        <v>#DIV/0!</v>
      </c>
      <c r="J75" s="20" t="str">
        <f ca="1">IFERROR(__xludf.DUMMYFUNCTION("IF(OR($I75=2, $I75=3), 0, IFERROR(COUNTIFS($C$2:C75, $C75, $A$2:A76, ""&gt;""&amp;IFERROR(MAX(FILTER($A$2:A76, $C$2:C75=$C75, $I$2:I75&lt;&gt;1)), 0), $I$2:I75, 1),1))
"),"#DIV/0!")</f>
        <v>#DIV/0!</v>
      </c>
      <c r="K75" s="20" t="e">
        <f t="shared" ca="1" si="2"/>
        <v>#DIV/0!</v>
      </c>
      <c r="L75" s="20" t="e">
        <f t="shared" ca="1" si="3"/>
        <v>#DIV/0!</v>
      </c>
      <c r="M75" s="21" t="e">
        <f t="shared" ca="1" si="4"/>
        <v>#DIV/0!</v>
      </c>
      <c r="N75" s="36" t="str">
        <f ca="1">IFERROR(__xludf.DUMMYFUNCTION("IF(COUNTIFS($C$2:C75, C75, $A$2:A75, ""&lt;="" &amp; A75) &lt; 30, STDEV.P(FILTER($G$2:G75, $C$2:C75 = C75)), STDEV.P(FILTER($G$2:G75, $C$2:C75 = C75, $A$2:A75 &gt;= A75 - 30)))
"),"#DIV/0!")</f>
        <v>#DIV/0!</v>
      </c>
    </row>
    <row r="76" spans="1:14" x14ac:dyDescent="0.2">
      <c r="A76" s="34"/>
      <c r="B76" s="5"/>
      <c r="C76" s="35"/>
      <c r="D76" s="19"/>
      <c r="E76" s="19"/>
      <c r="F76" s="19"/>
      <c r="G76" s="19" t="e">
        <f t="shared" si="0"/>
        <v>#DIV/0!</v>
      </c>
      <c r="H76" s="20" t="str">
        <f ca="1">IFERROR(__xludf.DUMMYFUNCTION("IF(COUNTIFS($C$2:C76, C76, $A$2:A76, ""&lt;="" &amp; A76) &lt; 30, AVERAGEIF($C$2:C76, C76, $G$2:G76), AVERAGE(FILTER($G$2:G76, $C$2:C76 = C76, $A$2:A76 &gt;= A76 - 30)))
"),"#DIV/0!")</f>
        <v>#DIV/0!</v>
      </c>
      <c r="I76" s="20" t="e">
        <f t="shared" ca="1" si="1"/>
        <v>#DIV/0!</v>
      </c>
      <c r="J76" s="20" t="str">
        <f ca="1">IFERROR(__xludf.DUMMYFUNCTION("IF(OR($I76=2, $I76=3), 0, IFERROR(COUNTIFS($C$2:C76, $C76, $A$2:A77, ""&gt;""&amp;IFERROR(MAX(FILTER($A$2:A77, $C$2:C76=$C76, $I$2:I76&lt;&gt;1)), 0), $I$2:I76, 1),1))
"),"#DIV/0!")</f>
        <v>#DIV/0!</v>
      </c>
      <c r="K76" s="20" t="e">
        <f t="shared" ca="1" si="2"/>
        <v>#DIV/0!</v>
      </c>
      <c r="L76" s="20" t="e">
        <f t="shared" ca="1" si="3"/>
        <v>#DIV/0!</v>
      </c>
      <c r="M76" s="21" t="e">
        <f t="shared" ca="1" si="4"/>
        <v>#DIV/0!</v>
      </c>
      <c r="N76" s="36" t="str">
        <f ca="1">IFERROR(__xludf.DUMMYFUNCTION("IF(COUNTIFS($C$2:C76, C76, $A$2:A76, ""&lt;="" &amp; A76) &lt; 30, STDEV.P(FILTER($G$2:G76, $C$2:C76 = C76)), STDEV.P(FILTER($G$2:G76, $C$2:C76 = C76, $A$2:A76 &gt;= A76 - 30)))
"),"#DIV/0!")</f>
        <v>#DIV/0!</v>
      </c>
    </row>
    <row r="77" spans="1:14" x14ac:dyDescent="0.2">
      <c r="A77" s="34"/>
      <c r="B77" s="5"/>
      <c r="C77" s="35"/>
      <c r="D77" s="19"/>
      <c r="E77" s="19"/>
      <c r="F77" s="19"/>
      <c r="G77" s="19" t="e">
        <f t="shared" si="0"/>
        <v>#DIV/0!</v>
      </c>
      <c r="H77" s="20" t="str">
        <f ca="1">IFERROR(__xludf.DUMMYFUNCTION("IF(COUNTIFS($C$2:C77, C77, $A$2:A77, ""&lt;="" &amp; A77) &lt; 30, AVERAGEIF($C$2:C77, C77, $G$2:G77), AVERAGE(FILTER($G$2:G77, $C$2:C77 = C77, $A$2:A77 &gt;= A77 - 30)))
"),"#DIV/0!")</f>
        <v>#DIV/0!</v>
      </c>
      <c r="I77" s="20" t="e">
        <f t="shared" ca="1" si="1"/>
        <v>#DIV/0!</v>
      </c>
      <c r="J77" s="20" t="str">
        <f ca="1">IFERROR(__xludf.DUMMYFUNCTION("IF(OR($I77=2, $I77=3), 0, IFERROR(COUNTIFS($C$2:C77, $C77, $A$2:A78, ""&gt;""&amp;IFERROR(MAX(FILTER($A$2:A78, $C$2:C77=$C77, $I$2:I77&lt;&gt;1)), 0), $I$2:I77, 1),1))
"),"#DIV/0!")</f>
        <v>#DIV/0!</v>
      </c>
      <c r="K77" s="20" t="e">
        <f t="shared" ca="1" si="2"/>
        <v>#DIV/0!</v>
      </c>
      <c r="L77" s="20" t="e">
        <f t="shared" ca="1" si="3"/>
        <v>#DIV/0!</v>
      </c>
      <c r="M77" s="21" t="e">
        <f t="shared" ca="1" si="4"/>
        <v>#DIV/0!</v>
      </c>
      <c r="N77" s="36" t="str">
        <f ca="1">IFERROR(__xludf.DUMMYFUNCTION("IF(COUNTIFS($C$2:C77, C77, $A$2:A77, ""&lt;="" &amp; A77) &lt; 30, STDEV.P(FILTER($G$2:G77, $C$2:C77 = C77)), STDEV.P(FILTER($G$2:G77, $C$2:C77 = C77, $A$2:A77 &gt;= A77 - 30)))
"),"#DIV/0!")</f>
        <v>#DIV/0!</v>
      </c>
    </row>
    <row r="78" spans="1:14" x14ac:dyDescent="0.2">
      <c r="A78" s="34"/>
      <c r="B78" s="7"/>
      <c r="C78" s="35"/>
      <c r="D78" s="19"/>
      <c r="E78" s="19"/>
      <c r="F78" s="19"/>
      <c r="G78" s="19" t="e">
        <f t="shared" si="0"/>
        <v>#DIV/0!</v>
      </c>
      <c r="H78" s="20" t="str">
        <f ca="1">IFERROR(__xludf.DUMMYFUNCTION("IF(COUNTIFS($C$2:C78, C78, $A$2:A78, ""&lt;="" &amp; A78) &lt; 30, AVERAGEIF($C$2:C78, C78, $G$2:G78), AVERAGE(FILTER($G$2:G78, $C$2:C78 = C78, $A$2:A78 &gt;= A78 - 30)))
"),"#DIV/0!")</f>
        <v>#DIV/0!</v>
      </c>
      <c r="I78" s="20" t="e">
        <f t="shared" ca="1" si="1"/>
        <v>#DIV/0!</v>
      </c>
      <c r="J78" s="20" t="str">
        <f ca="1">IFERROR(__xludf.DUMMYFUNCTION("IF(OR($I78=2, $I78=3), 0, IFERROR(COUNTIFS($C$2:C78, $C78, $A$2:A79, ""&gt;""&amp;IFERROR(MAX(FILTER($A$2:A79, $C$2:C78=$C78, $I$2:I78&lt;&gt;1)), 0), $I$2:I78, 1),1))
"),"#DIV/0!")</f>
        <v>#DIV/0!</v>
      </c>
      <c r="K78" s="20" t="e">
        <f t="shared" ca="1" si="2"/>
        <v>#DIV/0!</v>
      </c>
      <c r="L78" s="20" t="e">
        <f t="shared" ca="1" si="3"/>
        <v>#DIV/0!</v>
      </c>
      <c r="M78" s="21" t="e">
        <f t="shared" ca="1" si="4"/>
        <v>#DIV/0!</v>
      </c>
      <c r="N78" s="36" t="str">
        <f ca="1">IFERROR(__xludf.DUMMYFUNCTION("IF(COUNTIFS($C$2:C78, C78, $A$2:A78, ""&lt;="" &amp; A78) &lt; 30, STDEV.P(FILTER($G$2:G78, $C$2:C78 = C78)), STDEV.P(FILTER($G$2:G78, $C$2:C78 = C78, $A$2:A78 &gt;= A78 - 30)))
"),"#DIV/0!")</f>
        <v>#DIV/0!</v>
      </c>
    </row>
    <row r="79" spans="1:14" x14ac:dyDescent="0.2">
      <c r="A79" s="34"/>
      <c r="B79" s="7"/>
      <c r="C79" s="35"/>
      <c r="D79" s="19"/>
      <c r="E79" s="19"/>
      <c r="F79" s="19"/>
      <c r="G79" s="19" t="e">
        <f t="shared" si="0"/>
        <v>#DIV/0!</v>
      </c>
      <c r="H79" s="20" t="str">
        <f ca="1">IFERROR(__xludf.DUMMYFUNCTION("IF(COUNTIFS($C$2:C79, C79, $A$2:A79, ""&lt;="" &amp; A79) &lt; 30, AVERAGEIF($C$2:C79, C79, $G$2:G79), AVERAGE(FILTER($G$2:G79, $C$2:C79 = C79, $A$2:A79 &gt;= A79 - 30)))
"),"#DIV/0!")</f>
        <v>#DIV/0!</v>
      </c>
      <c r="I79" s="20" t="e">
        <f t="shared" ca="1" si="1"/>
        <v>#DIV/0!</v>
      </c>
      <c r="J79" s="20" t="str">
        <f ca="1">IFERROR(__xludf.DUMMYFUNCTION("IF(OR($I79=2, $I79=3), 0, IFERROR(COUNTIFS($C$2:C79, $C79, $A$2:A80, ""&gt;""&amp;IFERROR(MAX(FILTER($A$2:A80, $C$2:C79=$C79, $I$2:I79&lt;&gt;1)), 0), $I$2:I79, 1),1))
"),"#DIV/0!")</f>
        <v>#DIV/0!</v>
      </c>
      <c r="K79" s="20" t="e">
        <f t="shared" ca="1" si="2"/>
        <v>#DIV/0!</v>
      </c>
      <c r="L79" s="20" t="e">
        <f t="shared" ca="1" si="3"/>
        <v>#DIV/0!</v>
      </c>
      <c r="M79" s="21" t="e">
        <f t="shared" ca="1" si="4"/>
        <v>#DIV/0!</v>
      </c>
      <c r="N79" s="36" t="str">
        <f ca="1">IFERROR(__xludf.DUMMYFUNCTION("IF(COUNTIFS($C$2:C79, C79, $A$2:A79, ""&lt;="" &amp; A79) &lt; 30, STDEV.P(FILTER($G$2:G79, $C$2:C79 = C79)), STDEV.P(FILTER($G$2:G79, $C$2:C79 = C79, $A$2:A79 &gt;= A79 - 30)))
"),"#DIV/0!")</f>
        <v>#DIV/0!</v>
      </c>
    </row>
    <row r="80" spans="1:14" x14ac:dyDescent="0.2">
      <c r="A80" s="34"/>
      <c r="B80" s="7"/>
      <c r="C80" s="35"/>
      <c r="D80" s="19"/>
      <c r="E80" s="19"/>
      <c r="F80" s="19"/>
      <c r="G80" s="19" t="e">
        <f t="shared" si="0"/>
        <v>#DIV/0!</v>
      </c>
      <c r="H80" s="20" t="str">
        <f ca="1">IFERROR(__xludf.DUMMYFUNCTION("IF(COUNTIFS($C$2:C80, C80, $A$2:A80, ""&lt;="" &amp; A80) &lt; 30, AVERAGEIF($C$2:C80, C80, $G$2:G80), AVERAGE(FILTER($G$2:G80, $C$2:C80 = C80, $A$2:A80 &gt;= A80 - 30)))
"),"#DIV/0!")</f>
        <v>#DIV/0!</v>
      </c>
      <c r="I80" s="20" t="e">
        <f t="shared" ca="1" si="1"/>
        <v>#DIV/0!</v>
      </c>
      <c r="J80" s="20" t="str">
        <f ca="1">IFERROR(__xludf.DUMMYFUNCTION("IF(OR($I80=2, $I80=3), 0, IFERROR(COUNTIFS($C$2:C80, $C80, $A$2:A81, ""&gt;""&amp;IFERROR(MAX(FILTER($A$2:A81, $C$2:C80=$C80, $I$2:I80&lt;&gt;1)), 0), $I$2:I80, 1),1))
"),"#DIV/0!")</f>
        <v>#DIV/0!</v>
      </c>
      <c r="K80" s="20" t="e">
        <f t="shared" ca="1" si="2"/>
        <v>#DIV/0!</v>
      </c>
      <c r="L80" s="20" t="e">
        <f t="shared" ca="1" si="3"/>
        <v>#DIV/0!</v>
      </c>
      <c r="M80" s="21" t="e">
        <f t="shared" ca="1" si="4"/>
        <v>#DIV/0!</v>
      </c>
      <c r="N80" s="36" t="str">
        <f ca="1">IFERROR(__xludf.DUMMYFUNCTION("IF(COUNTIFS($C$2:C80, C80, $A$2:A80, ""&lt;="" &amp; A80) &lt; 30, STDEV.P(FILTER($G$2:G80, $C$2:C80 = C80)), STDEV.P(FILTER($G$2:G80, $C$2:C80 = C80, $A$2:A80 &gt;= A80 - 30)))
"),"#DIV/0!")</f>
        <v>#DIV/0!</v>
      </c>
    </row>
    <row r="81" spans="1:14" x14ac:dyDescent="0.2">
      <c r="A81" s="34"/>
      <c r="B81" s="7"/>
      <c r="C81" s="35"/>
      <c r="D81" s="19"/>
      <c r="E81" s="19"/>
      <c r="F81" s="19"/>
      <c r="G81" s="19" t="e">
        <f t="shared" si="0"/>
        <v>#DIV/0!</v>
      </c>
      <c r="H81" s="20" t="str">
        <f ca="1">IFERROR(__xludf.DUMMYFUNCTION("IF(COUNTIFS($C$2:C81, C81, $A$2:A81, ""&lt;="" &amp; A81) &lt; 30, AVERAGEIF($C$2:C81, C81, $G$2:G81), AVERAGE(FILTER($G$2:G81, $C$2:C81 = C81, $A$2:A81 &gt;= A81 - 30)))
"),"#DIV/0!")</f>
        <v>#DIV/0!</v>
      </c>
      <c r="I81" s="20" t="e">
        <f t="shared" ca="1" si="1"/>
        <v>#DIV/0!</v>
      </c>
      <c r="J81" s="20" t="str">
        <f ca="1">IFERROR(__xludf.DUMMYFUNCTION("IF(OR($I81=2, $I81=3), 0, IFERROR(COUNTIFS($C$2:C81, $C81, $A$2:A82, ""&gt;""&amp;IFERROR(MAX(FILTER($A$2:A82, $C$2:C81=$C81, $I$2:I81&lt;&gt;1)), 0), $I$2:I81, 1),1))
"),"#DIV/0!")</f>
        <v>#DIV/0!</v>
      </c>
      <c r="K81" s="20" t="e">
        <f t="shared" ca="1" si="2"/>
        <v>#DIV/0!</v>
      </c>
      <c r="L81" s="20" t="e">
        <f t="shared" ca="1" si="3"/>
        <v>#DIV/0!</v>
      </c>
      <c r="M81" s="21" t="e">
        <f t="shared" ca="1" si="4"/>
        <v>#DIV/0!</v>
      </c>
      <c r="N81" s="36" t="str">
        <f ca="1">IFERROR(__xludf.DUMMYFUNCTION("IF(COUNTIFS($C$2:C81, C81, $A$2:A81, ""&lt;="" &amp; A81) &lt; 30, STDEV.P(FILTER($G$2:G81, $C$2:C81 = C81)), STDEV.P(FILTER($G$2:G81, $C$2:C81 = C81, $A$2:A81 &gt;= A81 - 30)))
"),"#DIV/0!")</f>
        <v>#DIV/0!</v>
      </c>
    </row>
    <row r="82" spans="1:14" x14ac:dyDescent="0.2">
      <c r="A82" s="34"/>
      <c r="B82" s="7"/>
      <c r="C82" s="35"/>
      <c r="D82" s="19"/>
      <c r="E82" s="19"/>
      <c r="F82" s="19"/>
      <c r="G82" s="19" t="e">
        <f t="shared" si="0"/>
        <v>#DIV/0!</v>
      </c>
      <c r="H82" s="20" t="str">
        <f ca="1">IFERROR(__xludf.DUMMYFUNCTION("IF(COUNTIFS($C$2:C82, C82, $A$2:A82, ""&lt;="" &amp; A82) &lt; 30, AVERAGEIF($C$2:C82, C82, $G$2:G82), AVERAGE(FILTER($G$2:G82, $C$2:C82 = C82, $A$2:A82 &gt;= A82 - 30)))
"),"#DIV/0!")</f>
        <v>#DIV/0!</v>
      </c>
      <c r="I82" s="20" t="e">
        <f t="shared" ca="1" si="1"/>
        <v>#DIV/0!</v>
      </c>
      <c r="J82" s="20" t="str">
        <f ca="1">IFERROR(__xludf.DUMMYFUNCTION("IF(OR($I82=2, $I82=3), 0, IFERROR(COUNTIFS($C$2:C82, $C82, $A$2:A83, ""&gt;""&amp;IFERROR(MAX(FILTER($A$2:A83, $C$2:C82=$C82, $I$2:I82&lt;&gt;1)), 0), $I$2:I82, 1),1))
"),"#DIV/0!")</f>
        <v>#DIV/0!</v>
      </c>
      <c r="K82" s="20" t="e">
        <f t="shared" ca="1" si="2"/>
        <v>#DIV/0!</v>
      </c>
      <c r="L82" s="20" t="e">
        <f t="shared" ca="1" si="3"/>
        <v>#DIV/0!</v>
      </c>
      <c r="M82" s="21" t="e">
        <f t="shared" ca="1" si="4"/>
        <v>#DIV/0!</v>
      </c>
      <c r="N82" s="36" t="str">
        <f ca="1">IFERROR(__xludf.DUMMYFUNCTION("IF(COUNTIFS($C$2:C82, C82, $A$2:A82, ""&lt;="" &amp; A82) &lt; 30, STDEV.P(FILTER($G$2:G82, $C$2:C82 = C82)), STDEV.P(FILTER($G$2:G82, $C$2:C82 = C82, $A$2:A82 &gt;= A82 - 30)))
"),"#DIV/0!")</f>
        <v>#DIV/0!</v>
      </c>
    </row>
    <row r="83" spans="1:14" x14ac:dyDescent="0.2">
      <c r="A83" s="34"/>
      <c r="B83" s="5"/>
      <c r="C83" s="35"/>
      <c r="D83" s="19"/>
      <c r="E83" s="19"/>
      <c r="F83" s="19"/>
      <c r="G83" s="19" t="e">
        <f t="shared" si="0"/>
        <v>#DIV/0!</v>
      </c>
      <c r="H83" s="20" t="str">
        <f ca="1">IFERROR(__xludf.DUMMYFUNCTION("IF(COUNTIFS($C$2:C83, C83, $A$2:A83, ""&lt;="" &amp; A83) &lt; 30, AVERAGEIF($C$2:C83, C83, $G$2:G83), AVERAGE(FILTER($G$2:G83, $C$2:C83 = C83, $A$2:A83 &gt;= A83 - 30)))
"),"#DIV/0!")</f>
        <v>#DIV/0!</v>
      </c>
      <c r="I83" s="20" t="e">
        <f t="shared" ca="1" si="1"/>
        <v>#DIV/0!</v>
      </c>
      <c r="J83" s="20" t="str">
        <f ca="1">IFERROR(__xludf.DUMMYFUNCTION("IF(OR($I83=2, $I83=3), 0, IFERROR(COUNTIFS($C$2:C83, $C83, $A$2:A84, ""&gt;""&amp;IFERROR(MAX(FILTER($A$2:A84, $C$2:C83=$C83, $I$2:I83&lt;&gt;1)), 0), $I$2:I83, 1),1))
"),"#DIV/0!")</f>
        <v>#DIV/0!</v>
      </c>
      <c r="K83" s="20" t="e">
        <f t="shared" ca="1" si="2"/>
        <v>#DIV/0!</v>
      </c>
      <c r="L83" s="20" t="e">
        <f t="shared" ca="1" si="3"/>
        <v>#DIV/0!</v>
      </c>
      <c r="M83" s="21" t="e">
        <f t="shared" ca="1" si="4"/>
        <v>#DIV/0!</v>
      </c>
      <c r="N83" s="36" t="str">
        <f ca="1">IFERROR(__xludf.DUMMYFUNCTION("IF(COUNTIFS($C$2:C83, C83, $A$2:A83, ""&lt;="" &amp; A83) &lt; 30, STDEV.P(FILTER($G$2:G83, $C$2:C83 = C83)), STDEV.P(FILTER($G$2:G83, $C$2:C83 = C83, $A$2:A83 &gt;= A83 - 30)))
"),"#DIV/0!")</f>
        <v>#DIV/0!</v>
      </c>
    </row>
    <row r="84" spans="1:14" x14ac:dyDescent="0.2">
      <c r="A84" s="34"/>
      <c r="B84" s="5"/>
      <c r="C84" s="35"/>
      <c r="D84" s="19"/>
      <c r="E84" s="19"/>
      <c r="F84" s="19"/>
      <c r="G84" s="19" t="e">
        <f t="shared" si="0"/>
        <v>#DIV/0!</v>
      </c>
      <c r="H84" s="20" t="str">
        <f ca="1">IFERROR(__xludf.DUMMYFUNCTION("IF(COUNTIFS($C$2:C84, C84, $A$2:A84, ""&lt;="" &amp; A84) &lt; 30, AVERAGEIF($C$2:C84, C84, $G$2:G84), AVERAGE(FILTER($G$2:G84, $C$2:C84 = C84, $A$2:A84 &gt;= A84 - 30)))
"),"#DIV/0!")</f>
        <v>#DIV/0!</v>
      </c>
      <c r="I84" s="20" t="e">
        <f t="shared" ca="1" si="1"/>
        <v>#DIV/0!</v>
      </c>
      <c r="J84" s="20" t="str">
        <f ca="1">IFERROR(__xludf.DUMMYFUNCTION("IF(OR($I84=2, $I84=3), 0, IFERROR(COUNTIFS($C$2:C84, $C84, $A$2:A85, ""&gt;""&amp;IFERROR(MAX(FILTER($A$2:A85, $C$2:C84=$C84, $I$2:I84&lt;&gt;1)), 0), $I$2:I84, 1),1))
"),"#DIV/0!")</f>
        <v>#DIV/0!</v>
      </c>
      <c r="K84" s="20" t="e">
        <f t="shared" ca="1" si="2"/>
        <v>#DIV/0!</v>
      </c>
      <c r="L84" s="20" t="e">
        <f t="shared" ca="1" si="3"/>
        <v>#DIV/0!</v>
      </c>
      <c r="M84" s="21" t="e">
        <f t="shared" ca="1" si="4"/>
        <v>#DIV/0!</v>
      </c>
      <c r="N84" s="36" t="str">
        <f ca="1">IFERROR(__xludf.DUMMYFUNCTION("IF(COUNTIFS($C$2:C84, C84, $A$2:A84, ""&lt;="" &amp; A84) &lt; 30, STDEV.P(FILTER($G$2:G84, $C$2:C84 = C84)), STDEV.P(FILTER($G$2:G84, $C$2:C84 = C84, $A$2:A84 &gt;= A84 - 30)))
"),"#DIV/0!")</f>
        <v>#DIV/0!</v>
      </c>
    </row>
    <row r="85" spans="1:14" x14ac:dyDescent="0.2">
      <c r="A85" s="34"/>
      <c r="B85" s="5"/>
      <c r="C85" s="35"/>
      <c r="D85" s="19"/>
      <c r="E85" s="19"/>
      <c r="F85" s="19"/>
      <c r="G85" s="19" t="e">
        <f t="shared" si="0"/>
        <v>#DIV/0!</v>
      </c>
      <c r="H85" s="20" t="str">
        <f ca="1">IFERROR(__xludf.DUMMYFUNCTION("IF(COUNTIFS($C$2:C85, C85, $A$2:A85, ""&lt;="" &amp; A85) &lt; 30, AVERAGEIF($C$2:C85, C85, $G$2:G85), AVERAGE(FILTER($G$2:G85, $C$2:C85 = C85, $A$2:A85 &gt;= A85 - 30)))
"),"#DIV/0!")</f>
        <v>#DIV/0!</v>
      </c>
      <c r="I85" s="20" t="e">
        <f t="shared" ca="1" si="1"/>
        <v>#DIV/0!</v>
      </c>
      <c r="J85" s="20" t="str">
        <f ca="1">IFERROR(__xludf.DUMMYFUNCTION("IF(OR($I85=2, $I85=3), 0, IFERROR(COUNTIFS($C$2:C85, $C85, $A$2:A86, ""&gt;""&amp;IFERROR(MAX(FILTER($A$2:A86, $C$2:C85=$C85, $I$2:I85&lt;&gt;1)), 0), $I$2:I85, 1),1))
"),"#DIV/0!")</f>
        <v>#DIV/0!</v>
      </c>
      <c r="K85" s="20" t="e">
        <f t="shared" ca="1" si="2"/>
        <v>#DIV/0!</v>
      </c>
      <c r="L85" s="20" t="e">
        <f t="shared" ca="1" si="3"/>
        <v>#DIV/0!</v>
      </c>
      <c r="M85" s="21" t="e">
        <f t="shared" ca="1" si="4"/>
        <v>#DIV/0!</v>
      </c>
      <c r="N85" s="36" t="str">
        <f ca="1">IFERROR(__xludf.DUMMYFUNCTION("IF(COUNTIFS($C$2:C85, C85, $A$2:A85, ""&lt;="" &amp; A85) &lt; 30, STDEV.P(FILTER($G$2:G85, $C$2:C85 = C85)), STDEV.P(FILTER($G$2:G85, $C$2:C85 = C85, $A$2:A85 &gt;= A85 - 30)))
"),"#DIV/0!")</f>
        <v>#DIV/0!</v>
      </c>
    </row>
    <row r="86" spans="1:14" x14ac:dyDescent="0.2">
      <c r="A86" s="34"/>
      <c r="B86" s="5"/>
      <c r="C86" s="35"/>
      <c r="D86" s="19"/>
      <c r="E86" s="19"/>
      <c r="F86" s="19"/>
      <c r="G86" s="19" t="e">
        <f t="shared" si="0"/>
        <v>#DIV/0!</v>
      </c>
      <c r="H86" s="20" t="str">
        <f ca="1">IFERROR(__xludf.DUMMYFUNCTION("IF(COUNTIFS($C$2:C86, C86, $A$2:A86, ""&lt;="" &amp; A86) &lt; 30, AVERAGEIF($C$2:C86, C86, $G$2:G86), AVERAGE(FILTER($G$2:G86, $C$2:C86 = C86, $A$2:A86 &gt;= A86 - 30)))
"),"#DIV/0!")</f>
        <v>#DIV/0!</v>
      </c>
      <c r="I86" s="20" t="e">
        <f t="shared" ca="1" si="1"/>
        <v>#DIV/0!</v>
      </c>
      <c r="J86" s="20" t="str">
        <f ca="1">IFERROR(__xludf.DUMMYFUNCTION("IF(OR($I86=2, $I86=3), 0, IFERROR(COUNTIFS($C$2:C86, $C86, $A$2:A87, ""&gt;""&amp;IFERROR(MAX(FILTER($A$2:A87, $C$2:C86=$C86, $I$2:I86&lt;&gt;1)), 0), $I$2:I86, 1),1))
"),"#DIV/0!")</f>
        <v>#DIV/0!</v>
      </c>
      <c r="K86" s="20" t="e">
        <f t="shared" ca="1" si="2"/>
        <v>#DIV/0!</v>
      </c>
      <c r="L86" s="20" t="e">
        <f t="shared" ca="1" si="3"/>
        <v>#DIV/0!</v>
      </c>
      <c r="M86" s="21" t="e">
        <f t="shared" ca="1" si="4"/>
        <v>#DIV/0!</v>
      </c>
      <c r="N86" s="36" t="str">
        <f ca="1">IFERROR(__xludf.DUMMYFUNCTION("IF(COUNTIFS($C$2:C86, C86, $A$2:A86, ""&lt;="" &amp; A86) &lt; 30, STDEV.P(FILTER($G$2:G86, $C$2:C86 = C86)), STDEV.P(FILTER($G$2:G86, $C$2:C86 = C86, $A$2:A86 &gt;= A86 - 30)))
"),"#DIV/0!")</f>
        <v>#DIV/0!</v>
      </c>
    </row>
    <row r="87" spans="1:14" x14ac:dyDescent="0.2">
      <c r="A87" s="34"/>
      <c r="B87" s="5"/>
      <c r="C87" s="35"/>
      <c r="D87" s="19"/>
      <c r="E87" s="19"/>
      <c r="F87" s="19"/>
      <c r="G87" s="19" t="e">
        <f t="shared" si="0"/>
        <v>#DIV/0!</v>
      </c>
      <c r="H87" s="20" t="str">
        <f ca="1">IFERROR(__xludf.DUMMYFUNCTION("IF(COUNTIFS($C$2:C87, C87, $A$2:A87, ""&lt;="" &amp; A87) &lt; 30, AVERAGEIF($C$2:C87, C87, $G$2:G87), AVERAGE(FILTER($G$2:G87, $C$2:C87 = C87, $A$2:A87 &gt;= A87 - 30)))
"),"#DIV/0!")</f>
        <v>#DIV/0!</v>
      </c>
      <c r="I87" s="20" t="e">
        <f t="shared" ca="1" si="1"/>
        <v>#DIV/0!</v>
      </c>
      <c r="J87" s="20" t="str">
        <f ca="1">IFERROR(__xludf.DUMMYFUNCTION("IF(OR($I87=2, $I87=3), 0, IFERROR(COUNTIFS($C$2:C87, $C87, $A$2:A88, ""&gt;""&amp;IFERROR(MAX(FILTER($A$2:A88, $C$2:C87=$C87, $I$2:I87&lt;&gt;1)), 0), $I$2:I87, 1),1))
"),"#DIV/0!")</f>
        <v>#DIV/0!</v>
      </c>
      <c r="K87" s="20" t="e">
        <f t="shared" ca="1" si="2"/>
        <v>#DIV/0!</v>
      </c>
      <c r="L87" s="20" t="e">
        <f t="shared" ca="1" si="3"/>
        <v>#DIV/0!</v>
      </c>
      <c r="M87" s="21" t="e">
        <f t="shared" ca="1" si="4"/>
        <v>#DIV/0!</v>
      </c>
      <c r="N87" s="36" t="str">
        <f ca="1">IFERROR(__xludf.DUMMYFUNCTION("IF(COUNTIFS($C$2:C87, C87, $A$2:A87, ""&lt;="" &amp; A87) &lt; 30, STDEV.P(FILTER($G$2:G87, $C$2:C87 = C87)), STDEV.P(FILTER($G$2:G87, $C$2:C87 = C87, $A$2:A87 &gt;= A87 - 30)))
"),"#DIV/0!")</f>
        <v>#DIV/0!</v>
      </c>
    </row>
    <row r="88" spans="1:14" x14ac:dyDescent="0.2">
      <c r="A88" s="34"/>
      <c r="B88" s="5"/>
      <c r="C88" s="35"/>
      <c r="D88" s="19"/>
      <c r="E88" s="19"/>
      <c r="F88" s="19"/>
      <c r="G88" s="19" t="e">
        <f t="shared" si="0"/>
        <v>#DIV/0!</v>
      </c>
      <c r="H88" s="20" t="str">
        <f ca="1">IFERROR(__xludf.DUMMYFUNCTION("IF(COUNTIFS($C$2:C88, C88, $A$2:A88, ""&lt;="" &amp; A88) &lt; 30, AVERAGEIF($C$2:C88, C88, $G$2:G88), AVERAGE(FILTER($G$2:G88, $C$2:C88 = C88, $A$2:A88 &gt;= A88 - 30)))
"),"#DIV/0!")</f>
        <v>#DIV/0!</v>
      </c>
      <c r="I88" s="20" t="e">
        <f t="shared" ca="1" si="1"/>
        <v>#DIV/0!</v>
      </c>
      <c r="J88" s="20" t="str">
        <f ca="1">IFERROR(__xludf.DUMMYFUNCTION("IF(OR($I88=2, $I88=3), 0, IFERROR(COUNTIFS($C$2:C88, $C88, $A$2:A89, ""&gt;""&amp;IFERROR(MAX(FILTER($A$2:A89, $C$2:C88=$C88, $I$2:I88&lt;&gt;1)), 0), $I$2:I88, 1),1))
"),"#DIV/0!")</f>
        <v>#DIV/0!</v>
      </c>
      <c r="K88" s="20" t="e">
        <f t="shared" ca="1" si="2"/>
        <v>#DIV/0!</v>
      </c>
      <c r="L88" s="20" t="e">
        <f t="shared" ca="1" si="3"/>
        <v>#DIV/0!</v>
      </c>
      <c r="M88" s="21" t="e">
        <f t="shared" ca="1" si="4"/>
        <v>#DIV/0!</v>
      </c>
      <c r="N88" s="36" t="str">
        <f ca="1">IFERROR(__xludf.DUMMYFUNCTION("IF(COUNTIFS($C$2:C88, C88, $A$2:A88, ""&lt;="" &amp; A88) &lt; 30, STDEV.P(FILTER($G$2:G88, $C$2:C88 = C88)), STDEV.P(FILTER($G$2:G88, $C$2:C88 = C88, $A$2:A88 &gt;= A88 - 30)))
"),"#DIV/0!")</f>
        <v>#DIV/0!</v>
      </c>
    </row>
    <row r="89" spans="1:14" x14ac:dyDescent="0.2">
      <c r="A89" s="34"/>
      <c r="B89" s="7"/>
      <c r="C89" s="35"/>
      <c r="D89" s="19"/>
      <c r="E89" s="19"/>
      <c r="F89" s="19"/>
      <c r="G89" s="19" t="e">
        <f t="shared" si="0"/>
        <v>#DIV/0!</v>
      </c>
      <c r="H89" s="20" t="str">
        <f ca="1">IFERROR(__xludf.DUMMYFUNCTION("IF(COUNTIFS($C$2:C89, C89, $A$2:A89, ""&lt;="" &amp; A89) &lt; 30, AVERAGEIF($C$2:C89, C89, $G$2:G89), AVERAGE(FILTER($G$2:G89, $C$2:C89 = C89, $A$2:A89 &gt;= A89 - 30)))
"),"#DIV/0!")</f>
        <v>#DIV/0!</v>
      </c>
      <c r="I89" s="20" t="e">
        <f t="shared" ca="1" si="1"/>
        <v>#DIV/0!</v>
      </c>
      <c r="J89" s="20" t="str">
        <f ca="1">IFERROR(__xludf.DUMMYFUNCTION("IF(OR($I89=2, $I89=3), 0, IFERROR(COUNTIFS($C$2:C89, $C89, $A$2:A90, ""&gt;""&amp;IFERROR(MAX(FILTER($A$2:A90, $C$2:C89=$C89, $I$2:I89&lt;&gt;1)), 0), $I$2:I89, 1),1))
"),"#DIV/0!")</f>
        <v>#DIV/0!</v>
      </c>
      <c r="K89" s="20" t="e">
        <f t="shared" ca="1" si="2"/>
        <v>#DIV/0!</v>
      </c>
      <c r="L89" s="20" t="e">
        <f t="shared" ca="1" si="3"/>
        <v>#DIV/0!</v>
      </c>
      <c r="M89" s="21" t="e">
        <f t="shared" ca="1" si="4"/>
        <v>#DIV/0!</v>
      </c>
      <c r="N89" s="20" t="str">
        <f ca="1">IFERROR(__xludf.DUMMYFUNCTION("IF(COUNTIFS($C$2:C89, C89, $A$2:A89, ""&lt;="" &amp; A89) &lt; 30, STDEV.P(FILTER($G$2:G89, $C$2:C89 = C89)), STDEV.P(FILTER($G$2:G89, $C$2:C89 = C89, $A$2:A89 &gt;= A89 - 30)))
"),"#DIV/0!")</f>
        <v>#DIV/0!</v>
      </c>
    </row>
    <row r="90" spans="1:14" x14ac:dyDescent="0.2">
      <c r="A90" s="34"/>
      <c r="B90" s="7"/>
      <c r="C90" s="35"/>
      <c r="D90" s="19"/>
      <c r="E90" s="19"/>
      <c r="F90" s="19"/>
      <c r="G90" s="19" t="e">
        <f t="shared" si="0"/>
        <v>#DIV/0!</v>
      </c>
      <c r="H90" s="20" t="str">
        <f ca="1">IFERROR(__xludf.DUMMYFUNCTION("IF(COUNTIFS($C$2:C90, C90, $A$2:A90, ""&lt;="" &amp; A90) &lt; 30, AVERAGEIF($C$2:C90, C90, $G$2:G90), AVERAGE(FILTER($G$2:G90, $C$2:C90 = C90, $A$2:A90 &gt;= A90 - 30)))
"),"#DIV/0!")</f>
        <v>#DIV/0!</v>
      </c>
      <c r="I90" s="20" t="e">
        <f t="shared" ca="1" si="1"/>
        <v>#DIV/0!</v>
      </c>
      <c r="J90" s="20" t="str">
        <f ca="1">IFERROR(__xludf.DUMMYFUNCTION("IF(OR($I90=2, $I90=3), 0, IFERROR(COUNTIFS($C$2:C90, $C90, $A$2:A91, ""&gt;""&amp;IFERROR(MAX(FILTER($A$2:A91, $C$2:C90=$C90, $I$2:I90&lt;&gt;1)), 0), $I$2:I90, 1),1))
"),"#DIV/0!")</f>
        <v>#DIV/0!</v>
      </c>
      <c r="K90" s="20" t="e">
        <f t="shared" ca="1" si="2"/>
        <v>#DIV/0!</v>
      </c>
      <c r="L90" s="20" t="e">
        <f t="shared" ca="1" si="3"/>
        <v>#DIV/0!</v>
      </c>
      <c r="M90" s="21" t="e">
        <f t="shared" ca="1" si="4"/>
        <v>#DIV/0!</v>
      </c>
      <c r="N90" s="20" t="str">
        <f ca="1">IFERROR(__xludf.DUMMYFUNCTION("IF(COUNTIFS($C$2:C90, C90, $A$2:A90, ""&lt;="" &amp; A90) &lt; 30, STDEV.P(FILTER($G$2:G90, $C$2:C90 = C90)), STDEV.P(FILTER($G$2:G90, $C$2:C90 = C90, $A$2:A90 &gt;= A90 - 30)))
"),"#DIV/0!")</f>
        <v>#DIV/0!</v>
      </c>
    </row>
    <row r="91" spans="1:14" x14ac:dyDescent="0.2">
      <c r="A91" s="34"/>
      <c r="B91" s="7"/>
      <c r="C91" s="35"/>
      <c r="D91" s="19"/>
      <c r="E91" s="19"/>
      <c r="F91" s="19"/>
      <c r="G91" s="19" t="e">
        <f t="shared" si="0"/>
        <v>#DIV/0!</v>
      </c>
      <c r="H91" s="20" t="str">
        <f ca="1">IFERROR(__xludf.DUMMYFUNCTION("IF(COUNTIFS($C$2:C91, C91, $A$2:A91, ""&lt;="" &amp; A91) &lt; 30, AVERAGEIF($C$2:C91, C91, $G$2:G91), AVERAGE(FILTER($G$2:G91, $C$2:C91 = C91, $A$2:A91 &gt;= A91 - 30)))
"),"#DIV/0!")</f>
        <v>#DIV/0!</v>
      </c>
      <c r="I91" s="20" t="e">
        <f t="shared" ca="1" si="1"/>
        <v>#DIV/0!</v>
      </c>
      <c r="J91" s="20" t="str">
        <f ca="1">IFERROR(__xludf.DUMMYFUNCTION("IF(OR($I91=2, $I91=3), 0, IFERROR(COUNTIFS($C$2:C91, $C91, $A$2:A92, ""&gt;""&amp;IFERROR(MAX(FILTER($A$2:A92, $C$2:C91=$C91, $I$2:I91&lt;&gt;1)), 0), $I$2:I91, 1),1))
"),"#DIV/0!")</f>
        <v>#DIV/0!</v>
      </c>
      <c r="K91" s="20" t="e">
        <f t="shared" ca="1" si="2"/>
        <v>#DIV/0!</v>
      </c>
      <c r="L91" s="20" t="e">
        <f t="shared" ca="1" si="3"/>
        <v>#DIV/0!</v>
      </c>
      <c r="M91" s="21" t="e">
        <f t="shared" ca="1" si="4"/>
        <v>#DIV/0!</v>
      </c>
      <c r="N91" s="20" t="str">
        <f ca="1">IFERROR(__xludf.DUMMYFUNCTION("IF(COUNTIFS($C$2:C91, C91, $A$2:A91, ""&lt;="" &amp; A91) &lt; 30, STDEV.P(FILTER($G$2:G91, $C$2:C91 = C91)), STDEV.P(FILTER($G$2:G91, $C$2:C91 = C91, $A$2:A91 &gt;= A91 - 30)))
"),"#DIV/0!")</f>
        <v>#DIV/0!</v>
      </c>
    </row>
    <row r="92" spans="1:14" x14ac:dyDescent="0.2">
      <c r="A92" s="34"/>
      <c r="B92" s="7"/>
      <c r="C92" s="35"/>
      <c r="D92" s="19"/>
      <c r="E92" s="19"/>
      <c r="F92" s="19"/>
      <c r="G92" s="19" t="e">
        <f t="shared" si="0"/>
        <v>#DIV/0!</v>
      </c>
      <c r="H92" s="20" t="str">
        <f ca="1">IFERROR(__xludf.DUMMYFUNCTION("IF(COUNTIFS($C$2:C92, C92, $A$2:A92, ""&lt;="" &amp; A92) &lt; 30, AVERAGEIF($C$2:C92, C92, $G$2:G92), AVERAGE(FILTER($G$2:G92, $C$2:C92 = C92, $A$2:A92 &gt;= A92 - 30)))
"),"#DIV/0!")</f>
        <v>#DIV/0!</v>
      </c>
      <c r="I92" s="20" t="e">
        <f t="shared" ca="1" si="1"/>
        <v>#DIV/0!</v>
      </c>
      <c r="J92" s="20" t="str">
        <f ca="1">IFERROR(__xludf.DUMMYFUNCTION("IF(OR($I92=2, $I92=3), 0, IFERROR(COUNTIFS($C$2:C92, $C92, $A$2:A93, ""&gt;""&amp;IFERROR(MAX(FILTER($A$2:A93, $C$2:C92=$C92, $I$2:I92&lt;&gt;1)), 0), $I$2:I92, 1),1))
"),"#DIV/0!")</f>
        <v>#DIV/0!</v>
      </c>
      <c r="K92" s="20" t="e">
        <f t="shared" ca="1" si="2"/>
        <v>#DIV/0!</v>
      </c>
      <c r="L92" s="20" t="e">
        <f t="shared" ca="1" si="3"/>
        <v>#DIV/0!</v>
      </c>
      <c r="M92" s="21" t="e">
        <f t="shared" ca="1" si="4"/>
        <v>#DIV/0!</v>
      </c>
      <c r="N92" s="20" t="str">
        <f ca="1">IFERROR(__xludf.DUMMYFUNCTION("IF(COUNTIFS($C$2:C92, C92, $A$2:A92, ""&lt;="" &amp; A92) &lt; 30, STDEV.P(FILTER($G$2:G92, $C$2:C92 = C92)), STDEV.P(FILTER($G$2:G92, $C$2:C92 = C92, $A$2:A92 &gt;= A92 - 30)))
"),"#DIV/0!")</f>
        <v>#DIV/0!</v>
      </c>
    </row>
    <row r="93" spans="1:14" x14ac:dyDescent="0.2">
      <c r="A93" s="34"/>
      <c r="B93" s="7"/>
      <c r="C93" s="35"/>
      <c r="D93" s="19"/>
      <c r="E93" s="19"/>
      <c r="F93" s="19"/>
      <c r="G93" s="19" t="e">
        <f t="shared" si="0"/>
        <v>#DIV/0!</v>
      </c>
      <c r="H93" s="20" t="str">
        <f ca="1">IFERROR(__xludf.DUMMYFUNCTION("IF(COUNTIFS($C$2:C93, C93, $A$2:A93, ""&lt;="" &amp; A93) &lt; 30, AVERAGEIF($C$2:C93, C93, $G$2:G93), AVERAGE(FILTER($G$2:G93, $C$2:C93 = C93, $A$2:A93 &gt;= A93 - 30)))
"),"#DIV/0!")</f>
        <v>#DIV/0!</v>
      </c>
      <c r="I93" s="20" t="e">
        <f t="shared" ca="1" si="1"/>
        <v>#DIV/0!</v>
      </c>
      <c r="J93" s="20" t="str">
        <f ca="1">IFERROR(__xludf.DUMMYFUNCTION("IF(OR($I93=2, $I93=3), 0, IFERROR(COUNTIFS($C$2:C93, $C93, $A$2:A94, ""&gt;""&amp;IFERROR(MAX(FILTER($A$2:A94, $C$2:C93=$C93, $I$2:I93&lt;&gt;1)), 0), $I$2:I93, 1),1))
"),"#DIV/0!")</f>
        <v>#DIV/0!</v>
      </c>
      <c r="K93" s="20" t="e">
        <f t="shared" ca="1" si="2"/>
        <v>#DIV/0!</v>
      </c>
      <c r="L93" s="20" t="e">
        <f t="shared" ca="1" si="3"/>
        <v>#DIV/0!</v>
      </c>
      <c r="M93" s="21" t="e">
        <f t="shared" ca="1" si="4"/>
        <v>#DIV/0!</v>
      </c>
      <c r="N93" s="20" t="str">
        <f ca="1">IFERROR(__xludf.DUMMYFUNCTION("IF(COUNTIFS($C$2:C93, C93, $A$2:A93, ""&lt;="" &amp; A93) &lt; 30, STDEV.P(FILTER($G$2:G93, $C$2:C93 = C93)), STDEV.P(FILTER($G$2:G93, $C$2:C93 = C93, $A$2:A93 &gt;= A93 - 30)))
"),"#DIV/0!")</f>
        <v>#DIV/0!</v>
      </c>
    </row>
    <row r="94" spans="1:14" x14ac:dyDescent="0.2">
      <c r="A94" s="34"/>
      <c r="B94" s="7"/>
      <c r="C94" s="35"/>
      <c r="D94" s="19"/>
      <c r="E94" s="19"/>
      <c r="F94" s="19"/>
      <c r="G94" s="19" t="e">
        <f t="shared" si="0"/>
        <v>#DIV/0!</v>
      </c>
      <c r="H94" s="20" t="str">
        <f ca="1">IFERROR(__xludf.DUMMYFUNCTION("IF(COUNTIFS($C$2:C94, C94, $A$2:A94, ""&lt;="" &amp; A94) &lt; 30, AVERAGEIF($C$2:C94, C94, $G$2:G94), AVERAGE(FILTER($G$2:G94, $C$2:C94 = C94, $A$2:A94 &gt;= A94 - 30)))
"),"#DIV/0!")</f>
        <v>#DIV/0!</v>
      </c>
      <c r="I94" s="20" t="e">
        <f t="shared" ca="1" si="1"/>
        <v>#DIV/0!</v>
      </c>
      <c r="J94" s="20" t="str">
        <f ca="1">IFERROR(__xludf.DUMMYFUNCTION("IF(OR($I94=2, $I94=3), 0, IFERROR(COUNTIFS($C$2:C94, $C94, $A$2:A95, ""&gt;""&amp;IFERROR(MAX(FILTER($A$2:A95, $C$2:C94=$C94, $I$2:I94&lt;&gt;1)), 0), $I$2:I94, 1),1))
"),"#DIV/0!")</f>
        <v>#DIV/0!</v>
      </c>
      <c r="K94" s="20" t="e">
        <f t="shared" ca="1" si="2"/>
        <v>#DIV/0!</v>
      </c>
      <c r="L94" s="20" t="e">
        <f t="shared" ca="1" si="3"/>
        <v>#DIV/0!</v>
      </c>
      <c r="M94" s="21" t="e">
        <f t="shared" ca="1" si="4"/>
        <v>#DIV/0!</v>
      </c>
      <c r="N94" s="20" t="str">
        <f ca="1">IFERROR(__xludf.DUMMYFUNCTION("IF(COUNTIFS($C$2:C94, C94, $A$2:A94, ""&lt;="" &amp; A94) &lt; 30, STDEV.P(FILTER($G$2:G94, $C$2:C94 = C94)), STDEV.P(FILTER($G$2:G94, $C$2:C94 = C94, $A$2:A94 &gt;= A94 - 30)))
"),"#DIV/0!")</f>
        <v>#DIV/0!</v>
      </c>
    </row>
    <row r="95" spans="1:14" x14ac:dyDescent="0.2">
      <c r="A95" s="34"/>
      <c r="B95" s="7"/>
      <c r="C95" s="35"/>
      <c r="D95" s="19"/>
      <c r="E95" s="19"/>
      <c r="F95" s="19"/>
      <c r="G95" s="19" t="e">
        <f t="shared" si="0"/>
        <v>#DIV/0!</v>
      </c>
      <c r="H95" s="20" t="str">
        <f ca="1">IFERROR(__xludf.DUMMYFUNCTION("IF(COUNTIFS($C$2:C95, C95, $A$2:A95, ""&lt;="" &amp; A95) &lt; 30, AVERAGEIF($C$2:C95, C95, $G$2:G95), AVERAGE(FILTER($G$2:G95, $C$2:C95 = C95, $A$2:A95 &gt;= A95 - 30)))
"),"#DIV/0!")</f>
        <v>#DIV/0!</v>
      </c>
      <c r="I95" s="20" t="e">
        <f t="shared" ca="1" si="1"/>
        <v>#DIV/0!</v>
      </c>
      <c r="J95" s="20" t="str">
        <f ca="1">IFERROR(__xludf.DUMMYFUNCTION("IF(OR($I95=2, $I95=3), 0, IFERROR(COUNTIFS($C$2:C95, $C95, $A$2:A96, ""&gt;""&amp;IFERROR(MAX(FILTER($A$2:A96, $C$2:C95=$C95, $I$2:I95&lt;&gt;1)), 0), $I$2:I95, 1),1))
"),"#DIV/0!")</f>
        <v>#DIV/0!</v>
      </c>
      <c r="K95" s="20" t="e">
        <f t="shared" ca="1" si="2"/>
        <v>#DIV/0!</v>
      </c>
      <c r="L95" s="20" t="e">
        <f t="shared" ca="1" si="3"/>
        <v>#DIV/0!</v>
      </c>
      <c r="M95" s="21" t="e">
        <f t="shared" ca="1" si="4"/>
        <v>#DIV/0!</v>
      </c>
      <c r="N95" s="20" t="str">
        <f ca="1">IFERROR(__xludf.DUMMYFUNCTION("IF(COUNTIFS($C$2:C95, C95, $A$2:A95, ""&lt;="" &amp; A95) &lt; 30, STDEV.P(FILTER($G$2:G95, $C$2:C95 = C95)), STDEV.P(FILTER($G$2:G95, $C$2:C95 = C95, $A$2:A95 &gt;= A95 - 30)))
"),"#DIV/0!")</f>
        <v>#DIV/0!</v>
      </c>
    </row>
    <row r="96" spans="1:14" x14ac:dyDescent="0.2">
      <c r="A96" s="34"/>
      <c r="B96" s="7"/>
      <c r="C96" s="35"/>
      <c r="D96" s="19"/>
      <c r="E96" s="19"/>
      <c r="F96" s="19"/>
      <c r="G96" s="19" t="e">
        <f t="shared" si="0"/>
        <v>#DIV/0!</v>
      </c>
      <c r="H96" s="20" t="str">
        <f ca="1">IFERROR(__xludf.DUMMYFUNCTION("IF(COUNTIFS($C$2:C96, C96, $A$2:A96, ""&lt;="" &amp; A96) &lt; 30, AVERAGEIF($C$2:C96, C96, $G$2:G96), AVERAGE(FILTER($G$2:G96, $C$2:C96 = C96, $A$2:A96 &gt;= A96 - 30)))
"),"#DIV/0!")</f>
        <v>#DIV/0!</v>
      </c>
      <c r="I96" s="20" t="e">
        <f t="shared" ca="1" si="1"/>
        <v>#DIV/0!</v>
      </c>
      <c r="J96" s="20" t="str">
        <f ca="1">IFERROR(__xludf.DUMMYFUNCTION("IF(OR($I96=2, $I96=3), 0, IFERROR(COUNTIFS($C$2:C96, $C96, $A$2:A97, ""&gt;""&amp;IFERROR(MAX(FILTER($A$2:A97, $C$2:C96=$C96, $I$2:I96&lt;&gt;1)), 0), $I$2:I96, 1),1))
"),"#DIV/0!")</f>
        <v>#DIV/0!</v>
      </c>
      <c r="K96" s="20" t="e">
        <f t="shared" ca="1" si="2"/>
        <v>#DIV/0!</v>
      </c>
      <c r="L96" s="20" t="e">
        <f t="shared" ca="1" si="3"/>
        <v>#DIV/0!</v>
      </c>
      <c r="M96" s="21" t="e">
        <f t="shared" ca="1" si="4"/>
        <v>#DIV/0!</v>
      </c>
      <c r="N96" s="20" t="str">
        <f ca="1">IFERROR(__xludf.DUMMYFUNCTION("IF(COUNTIFS($C$2:C96, C96, $A$2:A96, ""&lt;="" &amp; A96) &lt; 30, STDEV.P(FILTER($G$2:G96, $C$2:C96 = C96)), STDEV.P(FILTER($G$2:G96, $C$2:C96 = C96, $A$2:A96 &gt;= A96 - 30)))
"),"#DIV/0!")</f>
        <v>#DIV/0!</v>
      </c>
    </row>
    <row r="97" spans="1:14" x14ac:dyDescent="0.2">
      <c r="A97" s="34"/>
      <c r="B97" s="7"/>
      <c r="C97" s="35"/>
      <c r="D97" s="19"/>
      <c r="E97" s="19"/>
      <c r="F97" s="19"/>
      <c r="G97" s="19" t="e">
        <f t="shared" si="0"/>
        <v>#DIV/0!</v>
      </c>
      <c r="H97" s="20" t="str">
        <f ca="1">IFERROR(__xludf.DUMMYFUNCTION("IF(COUNTIFS($C$2:C97, C97, $A$2:A97, ""&lt;="" &amp; A97) &lt; 30, AVERAGEIF($C$2:C97, C97, $G$2:G97), AVERAGE(FILTER($G$2:G97, $C$2:C97 = C97, $A$2:A97 &gt;= A97 - 30)))
"),"#DIV/0!")</f>
        <v>#DIV/0!</v>
      </c>
      <c r="I97" s="20" t="e">
        <f t="shared" ca="1" si="1"/>
        <v>#DIV/0!</v>
      </c>
      <c r="J97" s="20" t="str">
        <f ca="1">IFERROR(__xludf.DUMMYFUNCTION("IF(OR($I97=2, $I97=3), 0, IFERROR(COUNTIFS($C$2:C97, $C97, $A$2:A98, ""&gt;""&amp;IFERROR(MAX(FILTER($A$2:A98, $C$2:C97=$C97, $I$2:I97&lt;&gt;1)), 0), $I$2:I97, 1),1))
"),"#DIV/0!")</f>
        <v>#DIV/0!</v>
      </c>
      <c r="K97" s="20" t="e">
        <f t="shared" ca="1" si="2"/>
        <v>#DIV/0!</v>
      </c>
      <c r="L97" s="20" t="e">
        <f t="shared" ca="1" si="3"/>
        <v>#DIV/0!</v>
      </c>
      <c r="M97" s="21" t="e">
        <f t="shared" ca="1" si="4"/>
        <v>#DIV/0!</v>
      </c>
      <c r="N97" s="20" t="str">
        <f ca="1">IFERROR(__xludf.DUMMYFUNCTION("IF(COUNTIFS($C$2:C97, C97, $A$2:A97, ""&lt;="" &amp; A97) &lt; 30, STDEV.P(FILTER($G$2:G97, $C$2:C97 = C97)), STDEV.P(FILTER($G$2:G97, $C$2:C97 = C97, $A$2:A97 &gt;= A97 - 30)))
"),"#DIV/0!")</f>
        <v>#DIV/0!</v>
      </c>
    </row>
    <row r="98" spans="1:14" x14ac:dyDescent="0.2">
      <c r="A98" s="34"/>
      <c r="B98" s="7"/>
      <c r="C98" s="35"/>
      <c r="D98" s="19"/>
      <c r="E98" s="19"/>
      <c r="F98" s="19"/>
      <c r="G98" s="19" t="e">
        <f t="shared" si="0"/>
        <v>#DIV/0!</v>
      </c>
      <c r="H98" s="20" t="str">
        <f ca="1">IFERROR(__xludf.DUMMYFUNCTION("IF(COUNTIFS($C$2:C98, C98, $A$2:A98, ""&lt;="" &amp; A98) &lt; 30, AVERAGEIF($C$2:C98, C98, $G$2:G98), AVERAGE(FILTER($G$2:G98, $C$2:C98 = C98, $A$2:A98 &gt;= A98 - 30)))
"),"#DIV/0!")</f>
        <v>#DIV/0!</v>
      </c>
      <c r="I98" s="20" t="e">
        <f t="shared" ca="1" si="1"/>
        <v>#DIV/0!</v>
      </c>
      <c r="J98" s="20" t="str">
        <f ca="1">IFERROR(__xludf.DUMMYFUNCTION("IF(OR($I98=2, $I98=3), 0, IFERROR(COUNTIFS($C$2:C98, $C98, $A$2:A99, ""&gt;""&amp;IFERROR(MAX(FILTER($A$2:A99, $C$2:C98=$C98, $I$2:I98&lt;&gt;1)), 0), $I$2:I98, 1),1))
"),"#DIV/0!")</f>
        <v>#DIV/0!</v>
      </c>
      <c r="K98" s="20" t="e">
        <f t="shared" ca="1" si="2"/>
        <v>#DIV/0!</v>
      </c>
      <c r="L98" s="20" t="e">
        <f t="shared" ca="1" si="3"/>
        <v>#DIV/0!</v>
      </c>
      <c r="M98" s="21" t="e">
        <f t="shared" ca="1" si="4"/>
        <v>#DIV/0!</v>
      </c>
      <c r="N98" s="20" t="str">
        <f ca="1">IFERROR(__xludf.DUMMYFUNCTION("IF(COUNTIFS($C$2:C98, C98, $A$2:A98, ""&lt;="" &amp; A98) &lt; 30, STDEV.P(FILTER($G$2:G98, $C$2:C98 = C98)), STDEV.P(FILTER($G$2:G98, $C$2:C98 = C98, $A$2:A98 &gt;= A98 - 30)))
"),"#DIV/0!")</f>
        <v>#DIV/0!</v>
      </c>
    </row>
    <row r="99" spans="1:14" x14ac:dyDescent="0.2">
      <c r="A99" s="34"/>
      <c r="B99" s="7"/>
      <c r="C99" s="35"/>
      <c r="D99" s="19"/>
      <c r="E99" s="19"/>
      <c r="F99" s="19"/>
      <c r="G99" s="19" t="e">
        <f t="shared" si="0"/>
        <v>#DIV/0!</v>
      </c>
      <c r="H99" s="20" t="str">
        <f ca="1">IFERROR(__xludf.DUMMYFUNCTION("IF(COUNTIFS($C$2:C99, C99, $A$2:A99, ""&lt;="" &amp; A99) &lt; 30, AVERAGEIF($C$2:C99, C99, $G$2:G99), AVERAGE(FILTER($G$2:G99, $C$2:C99 = C99, $A$2:A99 &gt;= A99 - 30)))
"),"#DIV/0!")</f>
        <v>#DIV/0!</v>
      </c>
      <c r="I99" s="20" t="e">
        <f t="shared" ca="1" si="1"/>
        <v>#DIV/0!</v>
      </c>
      <c r="J99" s="20" t="str">
        <f ca="1">IFERROR(__xludf.DUMMYFUNCTION("IF(OR($I99=2, $I99=3), 0, IFERROR(COUNTIFS($C$2:C99, $C99, $A$2:A100, ""&gt;""&amp;IFERROR(MAX(FILTER($A$2:A100, $C$2:C99=$C99, $I$2:I99&lt;&gt;1)), 0), $I$2:I99, 1),1))
"),"#DIV/0!")</f>
        <v>#DIV/0!</v>
      </c>
      <c r="K99" s="20" t="e">
        <f t="shared" ca="1" si="2"/>
        <v>#DIV/0!</v>
      </c>
      <c r="L99" s="20" t="e">
        <f t="shared" ca="1" si="3"/>
        <v>#DIV/0!</v>
      </c>
      <c r="M99" s="21" t="e">
        <f t="shared" ca="1" si="4"/>
        <v>#DIV/0!</v>
      </c>
      <c r="N99" s="20" t="str">
        <f ca="1">IFERROR(__xludf.DUMMYFUNCTION("IF(COUNTIFS($C$2:C99, C99, $A$2:A99, ""&lt;="" &amp; A99) &lt; 30, STDEV.P(FILTER($G$2:G99, $C$2:C99 = C99)), STDEV.P(FILTER($G$2:G99, $C$2:C99 = C99, $A$2:A99 &gt;= A99 - 30)))
"),"#DIV/0!")</f>
        <v>#DIV/0!</v>
      </c>
    </row>
    <row r="100" spans="1:14" x14ac:dyDescent="0.2">
      <c r="A100" s="34"/>
      <c r="B100" s="7"/>
      <c r="C100" s="35"/>
      <c r="D100" s="19"/>
      <c r="E100" s="19"/>
      <c r="F100" s="19"/>
      <c r="G100" s="19" t="e">
        <f t="shared" si="0"/>
        <v>#DIV/0!</v>
      </c>
      <c r="H100" s="20" t="str">
        <f ca="1">IFERROR(__xludf.DUMMYFUNCTION("IF(COUNTIFS($C$2:C100, C100, $A$2:A100, ""&lt;="" &amp; A100) &lt; 30, AVERAGEIF($C$2:C100, C100, $G$2:G100), AVERAGE(FILTER($G$2:G100, $C$2:C100 = C100, $A$2:A100 &gt;= A100 - 30)))
"),"#DIV/0!")</f>
        <v>#DIV/0!</v>
      </c>
      <c r="I100" s="20" t="e">
        <f t="shared" ca="1" si="1"/>
        <v>#DIV/0!</v>
      </c>
      <c r="J100" s="20" t="str">
        <f ca="1">IFERROR(__xludf.DUMMYFUNCTION("IF(OR($I100=2, $I100=3), 0, IFERROR(COUNTIFS($C$2:C100, $C100, $A$2:A101, ""&gt;""&amp;IFERROR(MAX(FILTER($A$2:A101, $C$2:C100=$C100, $I$2:I100&lt;&gt;1)), 0), $I$2:I100, 1),1))
"),"#DIV/0!")</f>
        <v>#DIV/0!</v>
      </c>
      <c r="K100" s="20" t="e">
        <f t="shared" ca="1" si="2"/>
        <v>#DIV/0!</v>
      </c>
      <c r="L100" s="20" t="e">
        <f t="shared" ca="1" si="3"/>
        <v>#DIV/0!</v>
      </c>
      <c r="M100" s="21" t="e">
        <f t="shared" ca="1" si="4"/>
        <v>#DIV/0!</v>
      </c>
      <c r="N100" s="20" t="str">
        <f ca="1">IFERROR(__xludf.DUMMYFUNCTION("IF(COUNTIFS($C$2:C100, C100, $A$2:A100, ""&lt;="" &amp; A100) &lt; 30, STDEV.P(FILTER($G$2:G100, $C$2:C100 = C100)), STDEV.P(FILTER($G$2:G100, $C$2:C100 = C100, $A$2:A100 &gt;= A100 - 30)))
"),"#DIV/0!")</f>
        <v>#DIV/0!</v>
      </c>
    </row>
    <row r="101" spans="1:14" x14ac:dyDescent="0.2">
      <c r="A101" s="34"/>
      <c r="B101" s="7"/>
      <c r="C101" s="35"/>
      <c r="D101" s="19"/>
      <c r="E101" s="19"/>
      <c r="F101" s="19"/>
      <c r="G101" s="19" t="e">
        <f t="shared" si="0"/>
        <v>#DIV/0!</v>
      </c>
      <c r="H101" s="20" t="str">
        <f ca="1">IFERROR(__xludf.DUMMYFUNCTION("IF(COUNTIFS($C$2:C101, C101, $A$2:A101, ""&lt;="" &amp; A101) &lt; 30, AVERAGEIF($C$2:C101, C101, $G$2:G101), AVERAGE(FILTER($G$2:G101, $C$2:C101 = C101, $A$2:A101 &gt;= A101 - 30)))
"),"#DIV/0!")</f>
        <v>#DIV/0!</v>
      </c>
      <c r="I101" s="20" t="e">
        <f t="shared" ca="1" si="1"/>
        <v>#DIV/0!</v>
      </c>
      <c r="J101" s="20" t="str">
        <f ca="1">IFERROR(__xludf.DUMMYFUNCTION("IF(OR($I101=2, $I101=3), 0, IFERROR(COUNTIFS($C$2:C101, $C101, $A$2:A102, ""&gt;""&amp;IFERROR(MAX(FILTER($A$2:A102, $C$2:C101=$C101, $I$2:I101&lt;&gt;1)), 0), $I$2:I101, 1),1))
"),"#DIV/0!")</f>
        <v>#DIV/0!</v>
      </c>
      <c r="K101" s="20" t="e">
        <f t="shared" ca="1" si="2"/>
        <v>#DIV/0!</v>
      </c>
      <c r="L101" s="20" t="e">
        <f t="shared" ca="1" si="3"/>
        <v>#DIV/0!</v>
      </c>
      <c r="M101" s="21" t="e">
        <f t="shared" ca="1" si="4"/>
        <v>#DIV/0!</v>
      </c>
      <c r="N101" s="20" t="str">
        <f ca="1">IFERROR(__xludf.DUMMYFUNCTION("IF(COUNTIFS($C$2:C101, C101, $A$2:A101, ""&lt;="" &amp; A101) &lt; 30, STDEV.P(FILTER($G$2:G101, $C$2:C101 = C101)), STDEV.P(FILTER($G$2:G101, $C$2:C101 = C101, $A$2:A101 &gt;= A101 - 30)))
"),"#DIV/0!")</f>
        <v>#DIV/0!</v>
      </c>
    </row>
    <row r="102" spans="1:14" x14ac:dyDescent="0.2">
      <c r="A102" s="34"/>
      <c r="B102" s="5"/>
      <c r="C102" s="35"/>
      <c r="D102" s="19"/>
      <c r="E102" s="19"/>
      <c r="F102" s="19"/>
      <c r="G102" s="19" t="e">
        <f t="shared" si="0"/>
        <v>#DIV/0!</v>
      </c>
      <c r="H102" s="20" t="str">
        <f ca="1">IFERROR(__xludf.DUMMYFUNCTION("IF(COUNTIFS($C$2:C102, C102, $A$2:A102, ""&lt;="" &amp; A102) &lt; 30, AVERAGEIF($C$2:C102, C102, $G$2:G102), AVERAGE(FILTER($G$2:G102, $C$2:C102 = C102, $A$2:A102 &gt;= A102 - 30)))
"),"#DIV/0!")</f>
        <v>#DIV/0!</v>
      </c>
      <c r="I102" s="20" t="e">
        <f t="shared" ca="1" si="1"/>
        <v>#DIV/0!</v>
      </c>
      <c r="J102" s="20" t="str">
        <f ca="1">IFERROR(__xludf.DUMMYFUNCTION("IF(OR($I102=2, $I102=3), 0, IFERROR(COUNTIFS($C$2:C102, $C102, $A$2:A103, ""&gt;""&amp;IFERROR(MAX(FILTER($A$2:A103, $C$2:C102=$C102, $I$2:I102&lt;&gt;1)), 0), $I$2:I102, 1),1))
"),"#DIV/0!")</f>
        <v>#DIV/0!</v>
      </c>
      <c r="K102" s="20" t="e">
        <f t="shared" ca="1" si="2"/>
        <v>#DIV/0!</v>
      </c>
      <c r="L102" s="20" t="e">
        <f t="shared" ca="1" si="3"/>
        <v>#DIV/0!</v>
      </c>
      <c r="M102" s="21" t="e">
        <f t="shared" ca="1" si="4"/>
        <v>#DIV/0!</v>
      </c>
      <c r="N102" s="20" t="str">
        <f ca="1">IFERROR(__xludf.DUMMYFUNCTION("IF(COUNTIFS($C$2:C102, C102, $A$2:A102, ""&lt;="" &amp; A102) &lt; 30, STDEV.P(FILTER($G$2:G102, $C$2:C102 = C102)), STDEV.P(FILTER($G$2:G102, $C$2:C102 = C102, $A$2:A102 &gt;= A102 - 30)))
"),"#DIV/0!")</f>
        <v>#DIV/0!</v>
      </c>
    </row>
    <row r="103" spans="1:14" x14ac:dyDescent="0.2">
      <c r="A103" s="34"/>
      <c r="B103" s="5"/>
      <c r="C103" s="35"/>
      <c r="D103" s="19"/>
      <c r="E103" s="19"/>
      <c r="F103" s="19"/>
      <c r="G103" s="19" t="e">
        <f t="shared" si="0"/>
        <v>#DIV/0!</v>
      </c>
      <c r="H103" s="20" t="str">
        <f ca="1">IFERROR(__xludf.DUMMYFUNCTION("IF(COUNTIFS($C$2:C103, C103, $A$2:A103, ""&lt;="" &amp; A103) &lt; 30, AVERAGEIF($C$2:C103, C103, $G$2:G103), AVERAGE(FILTER($G$2:G103, $C$2:C103 = C103, $A$2:A103 &gt;= A103 - 30)))
"),"#DIV/0!")</f>
        <v>#DIV/0!</v>
      </c>
      <c r="I103" s="20" t="e">
        <f t="shared" ca="1" si="1"/>
        <v>#DIV/0!</v>
      </c>
      <c r="J103" s="20" t="str">
        <f ca="1">IFERROR(__xludf.DUMMYFUNCTION("IF(OR($I103=2, $I103=3), 0, IFERROR(COUNTIFS($C$2:C103, $C103, $A$2:A104, ""&gt;""&amp;IFERROR(MAX(FILTER($A$2:A104, $C$2:C103=$C103, $I$2:I103&lt;&gt;1)), 0), $I$2:I103, 1),1))
"),"#DIV/0!")</f>
        <v>#DIV/0!</v>
      </c>
      <c r="K103" s="20" t="e">
        <f t="shared" ca="1" si="2"/>
        <v>#DIV/0!</v>
      </c>
      <c r="L103" s="20" t="e">
        <f t="shared" ca="1" si="3"/>
        <v>#DIV/0!</v>
      </c>
      <c r="M103" s="21" t="e">
        <f t="shared" ca="1" si="4"/>
        <v>#DIV/0!</v>
      </c>
      <c r="N103" s="20" t="str">
        <f ca="1">IFERROR(__xludf.DUMMYFUNCTION("IF(COUNTIFS($C$2:C103, C103, $A$2:A103, ""&lt;="" &amp; A103) &lt; 30, STDEV.P(FILTER($G$2:G103, $C$2:C103 = C103)), STDEV.P(FILTER($G$2:G103, $C$2:C103 = C103, $A$2:A103 &gt;= A103 - 30)))
"),"#DIV/0!")</f>
        <v>#DIV/0!</v>
      </c>
    </row>
    <row r="104" spans="1:14" x14ac:dyDescent="0.2">
      <c r="A104" s="34"/>
      <c r="B104" s="5"/>
      <c r="C104" s="35"/>
      <c r="D104" s="19"/>
      <c r="E104" s="19"/>
      <c r="F104" s="19"/>
      <c r="G104" s="19" t="e">
        <f t="shared" si="0"/>
        <v>#DIV/0!</v>
      </c>
      <c r="H104" s="20" t="str">
        <f ca="1">IFERROR(__xludf.DUMMYFUNCTION("IF(COUNTIFS($C$2:C104, C104, $A$2:A104, ""&lt;="" &amp; A104) &lt; 30, AVERAGEIF($C$2:C104, C104, $G$2:G104), AVERAGE(FILTER($G$2:G104, $C$2:C104 = C104, $A$2:A104 &gt;= A104 - 30)))
"),"#DIV/0!")</f>
        <v>#DIV/0!</v>
      </c>
      <c r="I104" s="20" t="e">
        <f t="shared" ca="1" si="1"/>
        <v>#DIV/0!</v>
      </c>
      <c r="J104" s="20" t="str">
        <f ca="1">IFERROR(__xludf.DUMMYFUNCTION("IF(OR($I104=2, $I104=3), 0, IFERROR(COUNTIFS($C$2:C104, $C104, $A$2:A105, ""&gt;""&amp;IFERROR(MAX(FILTER($A$2:A105, $C$2:C104=$C104, $I$2:I104&lt;&gt;1)), 0), $I$2:I104, 1),1))
"),"#DIV/0!")</f>
        <v>#DIV/0!</v>
      </c>
      <c r="K104" s="20" t="e">
        <f t="shared" ca="1" si="2"/>
        <v>#DIV/0!</v>
      </c>
      <c r="L104" s="20" t="e">
        <f t="shared" ca="1" si="3"/>
        <v>#DIV/0!</v>
      </c>
      <c r="M104" s="21" t="e">
        <f t="shared" ca="1" si="4"/>
        <v>#DIV/0!</v>
      </c>
      <c r="N104" s="20" t="str">
        <f ca="1">IFERROR(__xludf.DUMMYFUNCTION("IF(COUNTIFS($C$2:C104, C104, $A$2:A104, ""&lt;="" &amp; A104) &lt; 30, STDEV.P(FILTER($G$2:G104, $C$2:C104 = C104)), STDEV.P(FILTER($G$2:G104, $C$2:C104 = C104, $A$2:A104 &gt;= A104 - 30)))
"),"#DIV/0!")</f>
        <v>#DIV/0!</v>
      </c>
    </row>
    <row r="105" spans="1:14" x14ac:dyDescent="0.2">
      <c r="A105" s="34"/>
      <c r="B105" s="5"/>
      <c r="C105" s="35"/>
      <c r="D105" s="19"/>
      <c r="E105" s="19"/>
      <c r="F105" s="19"/>
      <c r="G105" s="19" t="e">
        <f t="shared" si="0"/>
        <v>#DIV/0!</v>
      </c>
      <c r="H105" s="20" t="str">
        <f ca="1">IFERROR(__xludf.DUMMYFUNCTION("IF(COUNTIFS($C$2:C105, C105, $A$2:A105, ""&lt;="" &amp; A105) &lt; 30, AVERAGEIF($C$2:C105, C105, $G$2:G105), AVERAGE(FILTER($G$2:G105, $C$2:C105 = C105, $A$2:A105 &gt;= A105 - 30)))
"),"#DIV/0!")</f>
        <v>#DIV/0!</v>
      </c>
      <c r="I105" s="20" t="e">
        <f t="shared" ca="1" si="1"/>
        <v>#DIV/0!</v>
      </c>
      <c r="J105" s="20" t="str">
        <f ca="1">IFERROR(__xludf.DUMMYFUNCTION("IF(OR($I105=2, $I105=3), 0, IFERROR(COUNTIFS($C$2:C105, $C105, $A$2:A106, ""&gt;""&amp;IFERROR(MAX(FILTER($A$2:A106, $C$2:C105=$C105, $I$2:I105&lt;&gt;1)), 0), $I$2:I105, 1),1))
"),"#DIV/0!")</f>
        <v>#DIV/0!</v>
      </c>
      <c r="K105" s="20" t="e">
        <f t="shared" ca="1" si="2"/>
        <v>#DIV/0!</v>
      </c>
      <c r="L105" s="20" t="e">
        <f t="shared" ca="1" si="3"/>
        <v>#DIV/0!</v>
      </c>
      <c r="M105" s="21" t="e">
        <f t="shared" ca="1" si="4"/>
        <v>#DIV/0!</v>
      </c>
      <c r="N105" s="20" t="str">
        <f ca="1">IFERROR(__xludf.DUMMYFUNCTION("IF(COUNTIFS($C$2:C105, C105, $A$2:A105, ""&lt;="" &amp; A105) &lt; 30, STDEV.P(FILTER($G$2:G105, $C$2:C105 = C105)), STDEV.P(FILTER($G$2:G105, $C$2:C105 = C105, $A$2:A105 &gt;= A105 - 30)))
"),"#DIV/0!")</f>
        <v>#DIV/0!</v>
      </c>
    </row>
    <row r="106" spans="1:14" x14ac:dyDescent="0.2">
      <c r="A106" s="34"/>
      <c r="B106" s="5"/>
      <c r="C106" s="35"/>
      <c r="D106" s="19"/>
      <c r="E106" s="19"/>
      <c r="F106" s="19"/>
      <c r="G106" s="19" t="e">
        <f t="shared" si="0"/>
        <v>#DIV/0!</v>
      </c>
      <c r="H106" s="20" t="str">
        <f ca="1">IFERROR(__xludf.DUMMYFUNCTION("IF(COUNTIFS($C$2:C106, C106, $A$2:A106, ""&lt;="" &amp; A106) &lt; 30, AVERAGEIF($C$2:C106, C106, $G$2:G106), AVERAGE(FILTER($G$2:G106, $C$2:C106 = C106, $A$2:A106 &gt;= A106 - 30)))
"),"#DIV/0!")</f>
        <v>#DIV/0!</v>
      </c>
      <c r="I106" s="20" t="e">
        <f t="shared" ca="1" si="1"/>
        <v>#DIV/0!</v>
      </c>
      <c r="J106" s="20" t="str">
        <f ca="1">IFERROR(__xludf.DUMMYFUNCTION("IF(OR($I106=2, $I106=3), 0, IFERROR(COUNTIFS($C$2:C106, $C106, $A$2:A107, ""&gt;""&amp;IFERROR(MAX(FILTER($A$2:A107, $C$2:C106=$C106, $I$2:I106&lt;&gt;1)), 0), $I$2:I106, 1),1))
"),"#DIV/0!")</f>
        <v>#DIV/0!</v>
      </c>
      <c r="K106" s="20" t="e">
        <f t="shared" ca="1" si="2"/>
        <v>#DIV/0!</v>
      </c>
      <c r="L106" s="20" t="e">
        <f t="shared" ca="1" si="3"/>
        <v>#DIV/0!</v>
      </c>
      <c r="M106" s="21" t="e">
        <f t="shared" ca="1" si="4"/>
        <v>#DIV/0!</v>
      </c>
      <c r="N106" s="20" t="str">
        <f ca="1">IFERROR(__xludf.DUMMYFUNCTION("IF(COUNTIFS($C$2:C106, C106, $A$2:A106, ""&lt;="" &amp; A106) &lt; 30, STDEV.P(FILTER($G$2:G106, $C$2:C106 = C106)), STDEV.P(FILTER($G$2:G106, $C$2:C106 = C106, $A$2:A106 &gt;= A106 - 30)))
"),"#DIV/0!")</f>
        <v>#DIV/0!</v>
      </c>
    </row>
    <row r="107" spans="1:14" x14ac:dyDescent="0.2">
      <c r="A107" s="34"/>
      <c r="B107" s="5"/>
      <c r="C107" s="35"/>
      <c r="D107" s="19"/>
      <c r="E107" s="19"/>
      <c r="F107" s="19"/>
      <c r="G107" s="19" t="e">
        <f t="shared" si="0"/>
        <v>#DIV/0!</v>
      </c>
      <c r="H107" s="20" t="str">
        <f ca="1">IFERROR(__xludf.DUMMYFUNCTION("IF(COUNTIFS($C$2:C107, C107, $A$2:A107, ""&lt;="" &amp; A107) &lt; 30, AVERAGEIF($C$2:C107, C107, $G$2:G107), AVERAGE(FILTER($G$2:G107, $C$2:C107 = C107, $A$2:A107 &gt;= A107 - 30)))
"),"#DIV/0!")</f>
        <v>#DIV/0!</v>
      </c>
      <c r="I107" s="20" t="e">
        <f t="shared" ca="1" si="1"/>
        <v>#DIV/0!</v>
      </c>
      <c r="J107" s="20" t="str">
        <f ca="1">IFERROR(__xludf.DUMMYFUNCTION("IF(OR($I107=2, $I107=3), 0, IFERROR(COUNTIFS($C$2:C107, $C107, $A$2:A108, ""&gt;""&amp;IFERROR(MAX(FILTER($A$2:A108, $C$2:C107=$C107, $I$2:I107&lt;&gt;1)), 0), $I$2:I107, 1),1))
"),"#DIV/0!")</f>
        <v>#DIV/0!</v>
      </c>
      <c r="K107" s="20" t="e">
        <f t="shared" ca="1" si="2"/>
        <v>#DIV/0!</v>
      </c>
      <c r="L107" s="20" t="e">
        <f t="shared" ca="1" si="3"/>
        <v>#DIV/0!</v>
      </c>
      <c r="M107" s="21" t="e">
        <f t="shared" ca="1" si="4"/>
        <v>#DIV/0!</v>
      </c>
      <c r="N107" s="20" t="str">
        <f ca="1">IFERROR(__xludf.DUMMYFUNCTION("IF(COUNTIFS($C$2:C107, C107, $A$2:A107, ""&lt;="" &amp; A107) &lt; 30, STDEV.P(FILTER($G$2:G107, $C$2:C107 = C107)), STDEV.P(FILTER($G$2:G107, $C$2:C107 = C107, $A$2:A107 &gt;= A107 - 30)))
"),"#DIV/0!")</f>
        <v>#DIV/0!</v>
      </c>
    </row>
    <row r="108" spans="1:14" x14ac:dyDescent="0.2">
      <c r="A108" s="34"/>
      <c r="B108" s="5"/>
      <c r="C108" s="35"/>
      <c r="D108" s="19"/>
      <c r="E108" s="19"/>
      <c r="F108" s="19"/>
      <c r="G108" s="19" t="e">
        <f t="shared" si="0"/>
        <v>#DIV/0!</v>
      </c>
      <c r="H108" s="20" t="str">
        <f ca="1">IFERROR(__xludf.DUMMYFUNCTION("IF(COUNTIFS($C$2:C108, C108, $A$2:A108, ""&lt;="" &amp; A108) &lt; 30, AVERAGEIF($C$2:C108, C108, $G$2:G108), AVERAGE(FILTER($G$2:G108, $C$2:C108 = C108, $A$2:A108 &gt;= A108 - 30)))
"),"#DIV/0!")</f>
        <v>#DIV/0!</v>
      </c>
      <c r="I108" s="20" t="e">
        <f t="shared" ca="1" si="1"/>
        <v>#DIV/0!</v>
      </c>
      <c r="J108" s="20" t="str">
        <f ca="1">IFERROR(__xludf.DUMMYFUNCTION("IF(OR($I108=2, $I108=3), 0, IFERROR(COUNTIFS($C$2:C108, $C108, $A$2:A109, ""&gt;""&amp;IFERROR(MAX(FILTER($A$2:A109, $C$2:C108=$C108, $I$2:I108&lt;&gt;1)), 0), $I$2:I108, 1),1))
"),"#DIV/0!")</f>
        <v>#DIV/0!</v>
      </c>
      <c r="K108" s="20" t="e">
        <f t="shared" ca="1" si="2"/>
        <v>#DIV/0!</v>
      </c>
      <c r="L108" s="20" t="e">
        <f t="shared" ca="1" si="3"/>
        <v>#DIV/0!</v>
      </c>
      <c r="M108" s="21" t="e">
        <f t="shared" ca="1" si="4"/>
        <v>#DIV/0!</v>
      </c>
      <c r="N108" s="20" t="str">
        <f ca="1">IFERROR(__xludf.DUMMYFUNCTION("IF(COUNTIFS($C$2:C108, C108, $A$2:A108, ""&lt;="" &amp; A108) &lt; 30, STDEV.P(FILTER($G$2:G108, $C$2:C108 = C108)), STDEV.P(FILTER($G$2:G108, $C$2:C108 = C108, $A$2:A108 &gt;= A108 - 30)))
"),"#DIV/0!")</f>
        <v>#DIV/0!</v>
      </c>
    </row>
    <row r="109" spans="1:14" x14ac:dyDescent="0.2">
      <c r="A109" s="34"/>
      <c r="B109" s="7"/>
      <c r="C109" s="35"/>
      <c r="D109" s="19"/>
      <c r="E109" s="19"/>
      <c r="F109" s="19"/>
      <c r="G109" s="19" t="e">
        <f t="shared" si="0"/>
        <v>#DIV/0!</v>
      </c>
      <c r="H109" s="20" t="str">
        <f ca="1">IFERROR(__xludf.DUMMYFUNCTION("IF(COUNTIFS($C$2:C109, C109, $A$2:A109, ""&lt;="" &amp; A109) &lt; 30, AVERAGEIF($C$2:C109, C109, $G$2:G109), AVERAGE(FILTER($G$2:G109, $C$2:C109 = C109, $A$2:A109 &gt;= A109 - 30)))
"),"#DIV/0!")</f>
        <v>#DIV/0!</v>
      </c>
      <c r="I109" s="20" t="e">
        <f t="shared" ca="1" si="1"/>
        <v>#DIV/0!</v>
      </c>
      <c r="J109" s="20" t="str">
        <f ca="1">IFERROR(__xludf.DUMMYFUNCTION("IF(OR($I109=2, $I109=3), 0, IFERROR(COUNTIFS($C$2:C109, $C109, $A$2:A110, ""&gt;""&amp;IFERROR(MAX(FILTER($A$2:A110, $C$2:C109=$C109, $I$2:I109&lt;&gt;1)), 0), $I$2:I109, 1),1))
"),"#DIV/0!")</f>
        <v>#DIV/0!</v>
      </c>
      <c r="K109" s="20" t="e">
        <f t="shared" ca="1" si="2"/>
        <v>#DIV/0!</v>
      </c>
      <c r="L109" s="20" t="e">
        <f t="shared" ca="1" si="3"/>
        <v>#DIV/0!</v>
      </c>
      <c r="M109" s="21" t="e">
        <f t="shared" ca="1" si="4"/>
        <v>#DIV/0!</v>
      </c>
      <c r="N109" s="20" t="str">
        <f ca="1">IFERROR(__xludf.DUMMYFUNCTION("IF(COUNTIFS($C$2:C109, C109, $A$2:A109, ""&lt;="" &amp; A109) &lt; 30, STDEV.P(FILTER($G$2:G109, $C$2:C109 = C109)), STDEV.P(FILTER($G$2:G109, $C$2:C109 = C109, $A$2:A109 &gt;= A109 - 30)))
"),"#DIV/0!")</f>
        <v>#DIV/0!</v>
      </c>
    </row>
    <row r="110" spans="1:14" x14ac:dyDescent="0.2">
      <c r="A110" s="34"/>
      <c r="B110" s="7"/>
      <c r="C110" s="35"/>
      <c r="D110" s="19"/>
      <c r="E110" s="19"/>
      <c r="F110" s="19"/>
      <c r="G110" s="19" t="e">
        <f t="shared" si="0"/>
        <v>#DIV/0!</v>
      </c>
      <c r="H110" s="20" t="str">
        <f ca="1">IFERROR(__xludf.DUMMYFUNCTION("IF(COUNTIFS($C$2:C110, C110, $A$2:A110, ""&lt;="" &amp; A110) &lt; 30, AVERAGEIF($C$2:C110, C110, $G$2:G110), AVERAGE(FILTER($G$2:G110, $C$2:C110 = C110, $A$2:A110 &gt;= A110 - 30)))
"),"#DIV/0!")</f>
        <v>#DIV/0!</v>
      </c>
      <c r="I110" s="20" t="e">
        <f t="shared" ca="1" si="1"/>
        <v>#DIV/0!</v>
      </c>
      <c r="J110" s="20" t="str">
        <f ca="1">IFERROR(__xludf.DUMMYFUNCTION("IF(OR($I110=2, $I110=3), 0, IFERROR(COUNTIFS($C$2:C110, $C110, $A$2:A111, ""&gt;""&amp;IFERROR(MAX(FILTER($A$2:A111, $C$2:C110=$C110, $I$2:I110&lt;&gt;1)), 0), $I$2:I110, 1),1))
"),"#DIV/0!")</f>
        <v>#DIV/0!</v>
      </c>
      <c r="K110" s="20" t="e">
        <f t="shared" ca="1" si="2"/>
        <v>#DIV/0!</v>
      </c>
      <c r="L110" s="20" t="e">
        <f t="shared" ca="1" si="3"/>
        <v>#DIV/0!</v>
      </c>
      <c r="M110" s="21" t="e">
        <f t="shared" ca="1" si="4"/>
        <v>#DIV/0!</v>
      </c>
      <c r="N110" s="20" t="str">
        <f ca="1">IFERROR(__xludf.DUMMYFUNCTION("IF(COUNTIFS($C$2:C110, C110, $A$2:A110, ""&lt;="" &amp; A110) &lt; 30, STDEV.P(FILTER($G$2:G110, $C$2:C110 = C110)), STDEV.P(FILTER($G$2:G110, $C$2:C110 = C110, $A$2:A110 &gt;= A110 - 30)))
"),"#DIV/0!")</f>
        <v>#DIV/0!</v>
      </c>
    </row>
    <row r="111" spans="1:14" x14ac:dyDescent="0.2">
      <c r="A111" s="34"/>
      <c r="B111" s="7"/>
      <c r="C111" s="35"/>
      <c r="D111" s="19"/>
      <c r="E111" s="19"/>
      <c r="F111" s="19"/>
      <c r="G111" s="19" t="e">
        <f t="shared" si="0"/>
        <v>#DIV/0!</v>
      </c>
      <c r="H111" s="20" t="str">
        <f ca="1">IFERROR(__xludf.DUMMYFUNCTION("IF(COUNTIFS($C$2:C111, C111, $A$2:A111, ""&lt;="" &amp; A111) &lt; 30, AVERAGEIF($C$2:C111, C111, $G$2:G111), AVERAGE(FILTER($G$2:G111, $C$2:C111 = C111, $A$2:A111 &gt;= A111 - 30)))
"),"#DIV/0!")</f>
        <v>#DIV/0!</v>
      </c>
      <c r="I111" s="20" t="e">
        <f t="shared" ca="1" si="1"/>
        <v>#DIV/0!</v>
      </c>
      <c r="J111" s="20" t="str">
        <f ca="1">IFERROR(__xludf.DUMMYFUNCTION("IF(OR($I111=2, $I111=3), 0, IFERROR(COUNTIFS($C$2:C111, $C111, $A$2:A112, ""&gt;""&amp;IFERROR(MAX(FILTER($A$2:A112, $C$2:C111=$C111, $I$2:I111&lt;&gt;1)), 0), $I$2:I111, 1),1))
"),"#DIV/0!")</f>
        <v>#DIV/0!</v>
      </c>
      <c r="K111" s="20" t="e">
        <f t="shared" ca="1" si="2"/>
        <v>#DIV/0!</v>
      </c>
      <c r="L111" s="20" t="e">
        <f t="shared" ca="1" si="3"/>
        <v>#DIV/0!</v>
      </c>
      <c r="M111" s="21" t="e">
        <f t="shared" ca="1" si="4"/>
        <v>#DIV/0!</v>
      </c>
      <c r="N111" s="20" t="str">
        <f ca="1">IFERROR(__xludf.DUMMYFUNCTION("IF(COUNTIFS($C$2:C111, C111, $A$2:A111, ""&lt;="" &amp; A111) &lt; 30, STDEV.P(FILTER($G$2:G111, $C$2:C111 = C111)), STDEV.P(FILTER($G$2:G111, $C$2:C111 = C111, $A$2:A111 &gt;= A111 - 30)))
"),"#DIV/0!")</f>
        <v>#DIV/0!</v>
      </c>
    </row>
    <row r="112" spans="1:14" x14ac:dyDescent="0.2">
      <c r="A112" s="34"/>
      <c r="B112" s="7"/>
      <c r="C112" s="35"/>
      <c r="D112" s="19"/>
      <c r="E112" s="19"/>
      <c r="F112" s="19"/>
      <c r="G112" s="19" t="e">
        <f t="shared" si="0"/>
        <v>#DIV/0!</v>
      </c>
      <c r="H112" s="20" t="str">
        <f ca="1">IFERROR(__xludf.DUMMYFUNCTION("IF(COUNTIFS($C$2:C112, C112, $A$2:A112, ""&lt;="" &amp; A112) &lt; 30, AVERAGEIF($C$2:C112, C112, $G$2:G112), AVERAGE(FILTER($G$2:G112, $C$2:C112 = C112, $A$2:A112 &gt;= A112 - 30)))
"),"#DIV/0!")</f>
        <v>#DIV/0!</v>
      </c>
      <c r="I112" s="20" t="e">
        <f t="shared" ca="1" si="1"/>
        <v>#DIV/0!</v>
      </c>
      <c r="J112" s="20" t="str">
        <f ca="1">IFERROR(__xludf.DUMMYFUNCTION("IF(OR($I112=2, $I112=3), 0, IFERROR(COUNTIFS($C$2:C112, $C112, $A$2:A113, ""&gt;""&amp;IFERROR(MAX(FILTER($A$2:A113, $C$2:C112=$C112, $I$2:I112&lt;&gt;1)), 0), $I$2:I112, 1),1))
"),"#DIV/0!")</f>
        <v>#DIV/0!</v>
      </c>
      <c r="K112" s="20" t="e">
        <f t="shared" ca="1" si="2"/>
        <v>#DIV/0!</v>
      </c>
      <c r="L112" s="20" t="e">
        <f t="shared" ca="1" si="3"/>
        <v>#DIV/0!</v>
      </c>
      <c r="M112" s="21" t="e">
        <f t="shared" ca="1" si="4"/>
        <v>#DIV/0!</v>
      </c>
      <c r="N112" s="20" t="str">
        <f ca="1">IFERROR(__xludf.DUMMYFUNCTION("IF(COUNTIFS($C$2:C112, C112, $A$2:A112, ""&lt;="" &amp; A112) &lt; 30, STDEV.P(FILTER($G$2:G112, $C$2:C112 = C112)), STDEV.P(FILTER($G$2:G112, $C$2:C112 = C112, $A$2:A112 &gt;= A112 - 30)))
"),"#DIV/0!")</f>
        <v>#DIV/0!</v>
      </c>
    </row>
    <row r="113" spans="1:14" x14ac:dyDescent="0.2">
      <c r="A113" s="34"/>
      <c r="B113" s="7"/>
      <c r="C113" s="35"/>
      <c r="D113" s="19"/>
      <c r="E113" s="19"/>
      <c r="F113" s="19"/>
      <c r="G113" s="19" t="e">
        <f t="shared" si="0"/>
        <v>#DIV/0!</v>
      </c>
      <c r="H113" s="20" t="str">
        <f ca="1">IFERROR(__xludf.DUMMYFUNCTION("IF(COUNTIFS($C$2:C113, C113, $A$2:A113, ""&lt;="" &amp; A113) &lt; 30, AVERAGEIF($C$2:C113, C113, $G$2:G113), AVERAGE(FILTER($G$2:G113, $C$2:C113 = C113, $A$2:A113 &gt;= A113 - 30)))
"),"#DIV/0!")</f>
        <v>#DIV/0!</v>
      </c>
      <c r="I113" s="20" t="e">
        <f t="shared" ca="1" si="1"/>
        <v>#DIV/0!</v>
      </c>
      <c r="J113" s="20" t="str">
        <f ca="1">IFERROR(__xludf.DUMMYFUNCTION("IF(OR($I113=2, $I113=3), 0, IFERROR(COUNTIFS($C$2:C113, $C113, $A$2:A114, ""&gt;""&amp;IFERROR(MAX(FILTER($A$2:A114, $C$2:C113=$C113, $I$2:I113&lt;&gt;1)), 0), $I$2:I113, 1),1))
"),"#DIV/0!")</f>
        <v>#DIV/0!</v>
      </c>
      <c r="K113" s="20" t="e">
        <f t="shared" ca="1" si="2"/>
        <v>#DIV/0!</v>
      </c>
      <c r="L113" s="20" t="e">
        <f t="shared" ca="1" si="3"/>
        <v>#DIV/0!</v>
      </c>
      <c r="M113" s="21" t="e">
        <f t="shared" ca="1" si="4"/>
        <v>#DIV/0!</v>
      </c>
      <c r="N113" s="20" t="str">
        <f ca="1">IFERROR(__xludf.DUMMYFUNCTION("IF(COUNTIFS($C$2:C113, C113, $A$2:A113, ""&lt;="" &amp; A113) &lt; 30, STDEV.P(FILTER($G$2:G113, $C$2:C113 = C113)), STDEV.P(FILTER($G$2:G113, $C$2:C113 = C113, $A$2:A113 &gt;= A113 - 30)))
"),"#DIV/0!")</f>
        <v>#DIV/0!</v>
      </c>
    </row>
    <row r="114" spans="1:14" x14ac:dyDescent="0.2">
      <c r="A114" s="34"/>
      <c r="B114" s="5"/>
      <c r="C114" s="35"/>
      <c r="D114" s="19"/>
      <c r="E114" s="19"/>
      <c r="F114" s="19"/>
      <c r="G114" s="19" t="e">
        <f t="shared" si="0"/>
        <v>#DIV/0!</v>
      </c>
      <c r="H114" s="20" t="str">
        <f ca="1">IFERROR(__xludf.DUMMYFUNCTION("IF(COUNTIFS($C$2:C114, C114, $A$2:A114, ""&lt;="" &amp; A114) &lt; 30, AVERAGEIF($C$2:C114, C114, $G$2:G114), AVERAGE(FILTER($G$2:G114, $C$2:C114 = C114, $A$2:A114 &gt;= A114 - 30)))
"),"#DIV/0!")</f>
        <v>#DIV/0!</v>
      </c>
      <c r="I114" s="20" t="e">
        <f t="shared" ca="1" si="1"/>
        <v>#DIV/0!</v>
      </c>
      <c r="J114" s="20" t="str">
        <f ca="1">IFERROR(__xludf.DUMMYFUNCTION("IF(OR($I114=2, $I114=3), 0, IFERROR(COUNTIFS($C$2:C114, $C114, $A$2:A115, ""&gt;""&amp;IFERROR(MAX(FILTER($A$2:A115, $C$2:C114=$C114, $I$2:I114&lt;&gt;1)), 0), $I$2:I114, 1),1))
"),"#DIV/0!")</f>
        <v>#DIV/0!</v>
      </c>
      <c r="K114" s="20" t="e">
        <f t="shared" ca="1" si="2"/>
        <v>#DIV/0!</v>
      </c>
      <c r="L114" s="20" t="e">
        <f t="shared" ca="1" si="3"/>
        <v>#DIV/0!</v>
      </c>
      <c r="M114" s="21" t="e">
        <f t="shared" ca="1" si="4"/>
        <v>#DIV/0!</v>
      </c>
      <c r="N114" s="20" t="str">
        <f ca="1">IFERROR(__xludf.DUMMYFUNCTION("IF(COUNTIFS($C$2:C114, C114, $A$2:A114, ""&lt;="" &amp; A114) &lt; 30, STDEV.P(FILTER($G$2:G114, $C$2:C114 = C114)), STDEV.P(FILTER($G$2:G114, $C$2:C114 = C114, $A$2:A114 &gt;= A114 - 30)))
"),"#DIV/0!")</f>
        <v>#DIV/0!</v>
      </c>
    </row>
    <row r="115" spans="1:14" x14ac:dyDescent="0.2">
      <c r="A115" s="34"/>
      <c r="B115" s="5"/>
      <c r="C115" s="35"/>
      <c r="D115" s="19"/>
      <c r="E115" s="19"/>
      <c r="F115" s="19"/>
      <c r="G115" s="19" t="e">
        <f t="shared" si="0"/>
        <v>#DIV/0!</v>
      </c>
      <c r="H115" s="20" t="str">
        <f ca="1">IFERROR(__xludf.DUMMYFUNCTION("IF(COUNTIFS($C$2:C115, C115, $A$2:A115, ""&lt;="" &amp; A115) &lt; 30, AVERAGEIF($C$2:C115, C115, $G$2:G115), AVERAGE(FILTER($G$2:G115, $C$2:C115 = C115, $A$2:A115 &gt;= A115 - 30)))
"),"#DIV/0!")</f>
        <v>#DIV/0!</v>
      </c>
      <c r="I115" s="20" t="e">
        <f t="shared" ca="1" si="1"/>
        <v>#DIV/0!</v>
      </c>
      <c r="J115" s="20" t="str">
        <f ca="1">IFERROR(__xludf.DUMMYFUNCTION("IF(OR($I115=2, $I115=3), 0, IFERROR(COUNTIFS($C$2:C115, $C115, $A$2:A116, ""&gt;""&amp;IFERROR(MAX(FILTER($A$2:A116, $C$2:C115=$C115, $I$2:I115&lt;&gt;1)), 0), $I$2:I115, 1),1))
"),"#DIV/0!")</f>
        <v>#DIV/0!</v>
      </c>
      <c r="K115" s="20" t="e">
        <f t="shared" ca="1" si="2"/>
        <v>#DIV/0!</v>
      </c>
      <c r="L115" s="20" t="e">
        <f t="shared" ca="1" si="3"/>
        <v>#DIV/0!</v>
      </c>
      <c r="M115" s="21" t="e">
        <f t="shared" ca="1" si="4"/>
        <v>#DIV/0!</v>
      </c>
      <c r="N115" s="20" t="str">
        <f ca="1">IFERROR(__xludf.DUMMYFUNCTION("IF(COUNTIFS($C$2:C115, C115, $A$2:A115, ""&lt;="" &amp; A115) &lt; 30, STDEV.P(FILTER($G$2:G115, $C$2:C115 = C115)), STDEV.P(FILTER($G$2:G115, $C$2:C115 = C115, $A$2:A115 &gt;= A115 - 30)))
"),"#DIV/0!")</f>
        <v>#DIV/0!</v>
      </c>
    </row>
    <row r="116" spans="1:14" x14ac:dyDescent="0.2">
      <c r="A116" s="34"/>
      <c r="B116" s="5"/>
      <c r="C116" s="35"/>
      <c r="D116" s="19"/>
      <c r="E116" s="19"/>
      <c r="F116" s="19"/>
      <c r="G116" s="19" t="e">
        <f t="shared" si="0"/>
        <v>#DIV/0!</v>
      </c>
      <c r="H116" s="20" t="str">
        <f ca="1">IFERROR(__xludf.DUMMYFUNCTION("IF(COUNTIFS($C$2:C116, C116, $A$2:A116, ""&lt;="" &amp; A116) &lt; 30, AVERAGEIF($C$2:C116, C116, $G$2:G116), AVERAGE(FILTER($G$2:G116, $C$2:C116 = C116, $A$2:A116 &gt;= A116 - 30)))
"),"#DIV/0!")</f>
        <v>#DIV/0!</v>
      </c>
      <c r="I116" s="20" t="e">
        <f t="shared" ca="1" si="1"/>
        <v>#DIV/0!</v>
      </c>
      <c r="J116" s="20" t="str">
        <f ca="1">IFERROR(__xludf.DUMMYFUNCTION("IF(OR($I116=2, $I116=3), 0, IFERROR(COUNTIFS($C$2:C116, $C116, $A$2:A117, ""&gt;""&amp;IFERROR(MAX(FILTER($A$2:A117, $C$2:C116=$C116, $I$2:I116&lt;&gt;1)), 0), $I$2:I116, 1),1))
"),"#DIV/0!")</f>
        <v>#DIV/0!</v>
      </c>
      <c r="K116" s="20" t="e">
        <f t="shared" ca="1" si="2"/>
        <v>#DIV/0!</v>
      </c>
      <c r="L116" s="20" t="e">
        <f t="shared" ca="1" si="3"/>
        <v>#DIV/0!</v>
      </c>
      <c r="M116" s="21" t="e">
        <f t="shared" ca="1" si="4"/>
        <v>#DIV/0!</v>
      </c>
      <c r="N116" s="20" t="str">
        <f ca="1">IFERROR(__xludf.DUMMYFUNCTION("IF(COUNTIFS($C$2:C116, C116, $A$2:A116, ""&lt;="" &amp; A116) &lt; 30, STDEV.P(FILTER($G$2:G116, $C$2:C116 = C116)), STDEV.P(FILTER($G$2:G116, $C$2:C116 = C116, $A$2:A116 &gt;= A116 - 30)))
"),"#DIV/0!")</f>
        <v>#DIV/0!</v>
      </c>
    </row>
    <row r="117" spans="1:14" x14ac:dyDescent="0.2">
      <c r="A117" s="34"/>
      <c r="B117" s="5"/>
      <c r="C117" s="35"/>
      <c r="D117" s="19"/>
      <c r="E117" s="19"/>
      <c r="F117" s="19"/>
      <c r="G117" s="19" t="e">
        <f t="shared" si="0"/>
        <v>#DIV/0!</v>
      </c>
      <c r="H117" s="20" t="str">
        <f ca="1">IFERROR(__xludf.DUMMYFUNCTION("IF(COUNTIFS($C$2:C117, C117, $A$2:A117, ""&lt;="" &amp; A117) &lt; 30, AVERAGEIF($C$2:C117, C117, $G$2:G117), AVERAGE(FILTER($G$2:G117, $C$2:C117 = C117, $A$2:A117 &gt;= A117 - 30)))
"),"#DIV/0!")</f>
        <v>#DIV/0!</v>
      </c>
      <c r="I117" s="20" t="e">
        <f t="shared" ca="1" si="1"/>
        <v>#DIV/0!</v>
      </c>
      <c r="J117" s="20" t="str">
        <f ca="1">IFERROR(__xludf.DUMMYFUNCTION("IF(OR($I117=2, $I117=3), 0, IFERROR(COUNTIFS($C$2:C117, $C117, $A$2:A118, ""&gt;""&amp;IFERROR(MAX(FILTER($A$2:A118, $C$2:C117=$C117, $I$2:I117&lt;&gt;1)), 0), $I$2:I117, 1),1))
"),"#DIV/0!")</f>
        <v>#DIV/0!</v>
      </c>
      <c r="K117" s="20" t="e">
        <f t="shared" ca="1" si="2"/>
        <v>#DIV/0!</v>
      </c>
      <c r="L117" s="20" t="e">
        <f t="shared" ca="1" si="3"/>
        <v>#DIV/0!</v>
      </c>
      <c r="M117" s="21" t="e">
        <f t="shared" ca="1" si="4"/>
        <v>#DIV/0!</v>
      </c>
      <c r="N117" s="20" t="str">
        <f ca="1">IFERROR(__xludf.DUMMYFUNCTION("IF(COUNTIFS($C$2:C117, C117, $A$2:A117, ""&lt;="" &amp; A117) &lt; 30, STDEV.P(FILTER($G$2:G117, $C$2:C117 = C117)), STDEV.P(FILTER($G$2:G117, $C$2:C117 = C117, $A$2:A117 &gt;= A117 - 30)))
"),"#DIV/0!")</f>
        <v>#DIV/0!</v>
      </c>
    </row>
    <row r="118" spans="1:14" x14ac:dyDescent="0.2">
      <c r="A118" s="34"/>
      <c r="B118" s="5"/>
      <c r="C118" s="35"/>
      <c r="D118" s="19"/>
      <c r="E118" s="19"/>
      <c r="F118" s="19"/>
      <c r="G118" s="19" t="e">
        <f t="shared" si="0"/>
        <v>#DIV/0!</v>
      </c>
      <c r="H118" s="20" t="str">
        <f ca="1">IFERROR(__xludf.DUMMYFUNCTION("IF(COUNTIFS($C$2:C118, C118, $A$2:A118, ""&lt;="" &amp; A118) &lt; 30, AVERAGEIF($C$2:C118, C118, $G$2:G118), AVERAGE(FILTER($G$2:G118, $C$2:C118 = C118, $A$2:A118 &gt;= A118 - 30)))
"),"#DIV/0!")</f>
        <v>#DIV/0!</v>
      </c>
      <c r="I118" s="20" t="e">
        <f t="shared" ca="1" si="1"/>
        <v>#DIV/0!</v>
      </c>
      <c r="J118" s="20" t="str">
        <f ca="1">IFERROR(__xludf.DUMMYFUNCTION("IF(OR($I118=2, $I118=3), 0, IFERROR(COUNTIFS($C$2:C118, $C118, $A$2:A119, ""&gt;""&amp;IFERROR(MAX(FILTER($A$2:A119, $C$2:C118=$C118, $I$2:I118&lt;&gt;1)), 0), $I$2:I118, 1),1))
"),"#DIV/0!")</f>
        <v>#DIV/0!</v>
      </c>
      <c r="K118" s="20" t="e">
        <f t="shared" ca="1" si="2"/>
        <v>#DIV/0!</v>
      </c>
      <c r="L118" s="20" t="e">
        <f t="shared" ca="1" si="3"/>
        <v>#DIV/0!</v>
      </c>
      <c r="M118" s="21" t="e">
        <f t="shared" ca="1" si="4"/>
        <v>#DIV/0!</v>
      </c>
      <c r="N118" s="36" t="str">
        <f ca="1">IFERROR(__xludf.DUMMYFUNCTION("IF(COUNTIFS($C$2:C118, C118, $A$2:A118, ""&lt;="" &amp; A118) &lt; 30, STDEV.P(FILTER($G$2:G118, $C$2:C118 = C118)), STDEV.P(FILTER($G$2:G118, $C$2:C118 = C118, $A$2:A118 &gt;= A118 - 30)))
"),"#DIV/0!")</f>
        <v>#DIV/0!</v>
      </c>
    </row>
    <row r="119" spans="1:14" x14ac:dyDescent="0.2">
      <c r="A119" s="34"/>
      <c r="B119" s="5"/>
      <c r="C119" s="35"/>
      <c r="D119" s="19"/>
      <c r="E119" s="19"/>
      <c r="F119" s="19"/>
      <c r="G119" s="19" t="e">
        <f t="shared" si="0"/>
        <v>#DIV/0!</v>
      </c>
      <c r="H119" s="20" t="str">
        <f ca="1">IFERROR(__xludf.DUMMYFUNCTION("IF(COUNTIFS($C$2:C119, C119, $A$2:A119, ""&lt;="" &amp; A119) &lt; 30, AVERAGEIF($C$2:C119, C119, $G$2:G119), AVERAGE(FILTER($G$2:G119, $C$2:C119 = C119, $A$2:A119 &gt;= A119 - 30)))
"),"#DIV/0!")</f>
        <v>#DIV/0!</v>
      </c>
      <c r="I119" s="20" t="e">
        <f t="shared" ca="1" si="1"/>
        <v>#DIV/0!</v>
      </c>
      <c r="J119" s="20" t="str">
        <f ca="1">IFERROR(__xludf.DUMMYFUNCTION("IF(OR($I119=2, $I119=3), 0, IFERROR(COUNTIFS($C$2:C119, $C119, $A$2:A120, ""&gt;""&amp;IFERROR(MAX(FILTER($A$2:A120, $C$2:C119=$C119, $I$2:I119&lt;&gt;1)), 0), $I$2:I119, 1),1))
"),"#DIV/0!")</f>
        <v>#DIV/0!</v>
      </c>
      <c r="K119" s="20" t="e">
        <f t="shared" ca="1" si="2"/>
        <v>#DIV/0!</v>
      </c>
      <c r="L119" s="20" t="e">
        <f t="shared" ca="1" si="3"/>
        <v>#DIV/0!</v>
      </c>
      <c r="M119" s="21" t="e">
        <f t="shared" ca="1" si="4"/>
        <v>#DIV/0!</v>
      </c>
      <c r="N119" s="36" t="str">
        <f ca="1">IFERROR(__xludf.DUMMYFUNCTION("IF(COUNTIFS($C$2:C119, C119, $A$2:A119, ""&lt;="" &amp; A119) &lt; 30, STDEV.P(FILTER($G$2:G119, $C$2:C119 = C119)), STDEV.P(FILTER($G$2:G119, $C$2:C119 = C119, $A$2:A119 &gt;= A119 - 30)))
"),"#DIV/0!")</f>
        <v>#DIV/0!</v>
      </c>
    </row>
    <row r="120" spans="1:14" x14ac:dyDescent="0.2">
      <c r="A120" s="34"/>
      <c r="B120" s="7"/>
      <c r="C120" s="35"/>
      <c r="D120" s="19"/>
      <c r="E120" s="19"/>
      <c r="F120" s="19"/>
      <c r="G120" s="19" t="e">
        <f t="shared" si="0"/>
        <v>#DIV/0!</v>
      </c>
      <c r="H120" s="20" t="str">
        <f ca="1">IFERROR(__xludf.DUMMYFUNCTION("IF(COUNTIFS($C$2:C120, C120, $A$2:A120, ""&lt;="" &amp; A120) &lt; 30, AVERAGEIF($C$2:C120, C120, $G$2:G120), AVERAGE(FILTER($G$2:G120, $C$2:C120 = C120, $A$2:A120 &gt;= A120 - 30)))
"),"#DIV/0!")</f>
        <v>#DIV/0!</v>
      </c>
      <c r="I120" s="20" t="e">
        <f t="shared" ca="1" si="1"/>
        <v>#DIV/0!</v>
      </c>
      <c r="J120" s="20" t="str">
        <f ca="1">IFERROR(__xludf.DUMMYFUNCTION("IF(OR($I120=2, $I120=3), 0, IFERROR(COUNTIFS($C$2:C120, $C120, $A$2:A121, ""&gt;""&amp;IFERROR(MAX(FILTER($A$2:A121, $C$2:C120=$C120, $I$2:I120&lt;&gt;1)), 0), $I$2:I120, 1),1))
"),"#DIV/0!")</f>
        <v>#DIV/0!</v>
      </c>
      <c r="K120" s="20" t="e">
        <f t="shared" ca="1" si="2"/>
        <v>#DIV/0!</v>
      </c>
      <c r="L120" s="20" t="e">
        <f t="shared" ca="1" si="3"/>
        <v>#DIV/0!</v>
      </c>
      <c r="M120" s="21" t="e">
        <f t="shared" ca="1" si="4"/>
        <v>#DIV/0!</v>
      </c>
      <c r="N120" s="36" t="str">
        <f ca="1">IFERROR(__xludf.DUMMYFUNCTION("IF(COUNTIFS($C$2:C120, C120, $A$2:A120, ""&lt;="" &amp; A120) &lt; 30, STDEV.P(FILTER($G$2:G120, $C$2:C120 = C120)), STDEV.P(FILTER($G$2:G120, $C$2:C120 = C120, $A$2:A120 &gt;= A120 - 30)))
"),"#DIV/0!")</f>
        <v>#DIV/0!</v>
      </c>
    </row>
    <row r="121" spans="1:14" x14ac:dyDescent="0.2">
      <c r="A121" s="34"/>
      <c r="B121" s="5"/>
      <c r="C121" s="35"/>
      <c r="D121" s="19"/>
      <c r="E121" s="19"/>
      <c r="F121" s="19"/>
      <c r="G121" s="19" t="e">
        <f t="shared" si="0"/>
        <v>#DIV/0!</v>
      </c>
      <c r="H121" s="20" t="str">
        <f ca="1">IFERROR(__xludf.DUMMYFUNCTION("IF(COUNTIFS($C$2:C121, C121, $A$2:A121, ""&lt;="" &amp; A121) &lt; 30, AVERAGEIF($C$2:C121, C121, $G$2:G121), AVERAGE(FILTER($G$2:G121, $C$2:C121 = C121, $A$2:A121 &gt;= A121 - 30)))
"),"#DIV/0!")</f>
        <v>#DIV/0!</v>
      </c>
      <c r="I121" s="20" t="e">
        <f t="shared" ca="1" si="1"/>
        <v>#DIV/0!</v>
      </c>
      <c r="J121" s="20" t="str">
        <f ca="1">IFERROR(__xludf.DUMMYFUNCTION("IF(OR($I121=2, $I121=3), 0, IFERROR(COUNTIFS($C$2:C121, $C121, $A$2:A122, ""&gt;""&amp;IFERROR(MAX(FILTER($A$2:A122, $C$2:C121=$C121, $I$2:I121&lt;&gt;1)), 0), $I$2:I121, 1),1))
"),"#DIV/0!")</f>
        <v>#DIV/0!</v>
      </c>
      <c r="K121" s="20" t="e">
        <f t="shared" ca="1" si="2"/>
        <v>#DIV/0!</v>
      </c>
      <c r="L121" s="20" t="e">
        <f t="shared" ca="1" si="3"/>
        <v>#DIV/0!</v>
      </c>
      <c r="M121" s="21" t="e">
        <f t="shared" ca="1" si="4"/>
        <v>#DIV/0!</v>
      </c>
      <c r="N121" s="36" t="str">
        <f ca="1">IFERROR(__xludf.DUMMYFUNCTION("IF(COUNTIFS($C$2:C121, C121, $A$2:A121, ""&lt;="" &amp; A121) &lt; 30, STDEV.P(FILTER($G$2:G121, $C$2:C121 = C121)), STDEV.P(FILTER($G$2:G121, $C$2:C121 = C121, $A$2:A121 &gt;= A121 - 30)))
"),"#DIV/0!")</f>
        <v>#DIV/0!</v>
      </c>
    </row>
    <row r="122" spans="1:14" x14ac:dyDescent="0.2">
      <c r="A122" s="34"/>
      <c r="B122" s="5"/>
      <c r="C122" s="35"/>
      <c r="D122" s="19"/>
      <c r="E122" s="19"/>
      <c r="F122" s="19"/>
      <c r="G122" s="19" t="e">
        <f t="shared" si="0"/>
        <v>#DIV/0!</v>
      </c>
      <c r="H122" s="20" t="str">
        <f ca="1">IFERROR(__xludf.DUMMYFUNCTION("IF(COUNTIFS($C$2:C122, C122, $A$2:A122, ""&lt;="" &amp; A122) &lt; 30, AVERAGEIF($C$2:C122, C122, $G$2:G122), AVERAGE(FILTER($G$2:G122, $C$2:C122 = C122, $A$2:A122 &gt;= A122 - 30)))
"),"#DIV/0!")</f>
        <v>#DIV/0!</v>
      </c>
      <c r="I122" s="20" t="e">
        <f t="shared" ca="1" si="1"/>
        <v>#DIV/0!</v>
      </c>
      <c r="J122" s="20" t="str">
        <f ca="1">IFERROR(__xludf.DUMMYFUNCTION("IF(OR($I122=2, $I122=3), 0, IFERROR(COUNTIFS($C$2:C122, $C122, $A$2:A123, ""&gt;""&amp;IFERROR(MAX(FILTER($A$2:A123, $C$2:C122=$C122, $I$2:I122&lt;&gt;1)), 0), $I$2:I122, 1),1))
"),"#DIV/0!")</f>
        <v>#DIV/0!</v>
      </c>
      <c r="K122" s="20" t="e">
        <f t="shared" ca="1" si="2"/>
        <v>#DIV/0!</v>
      </c>
      <c r="L122" s="20" t="e">
        <f t="shared" ca="1" si="3"/>
        <v>#DIV/0!</v>
      </c>
      <c r="M122" s="21" t="e">
        <f t="shared" ca="1" si="4"/>
        <v>#DIV/0!</v>
      </c>
      <c r="N122" s="36" t="str">
        <f ca="1">IFERROR(__xludf.DUMMYFUNCTION("IF(COUNTIFS($C$2:C122, C122, $A$2:A122, ""&lt;="" &amp; A122) &lt; 30, STDEV.P(FILTER($G$2:G122, $C$2:C122 = C122)), STDEV.P(FILTER($G$2:G122, $C$2:C122 = C122, $A$2:A122 &gt;= A122 - 30)))
"),"#DIV/0!")</f>
        <v>#DIV/0!</v>
      </c>
    </row>
    <row r="123" spans="1:14" x14ac:dyDescent="0.2">
      <c r="A123" s="34"/>
      <c r="B123" s="5"/>
      <c r="C123" s="35"/>
      <c r="D123" s="19"/>
      <c r="E123" s="19"/>
      <c r="F123" s="19"/>
      <c r="G123" s="19" t="e">
        <f t="shared" si="0"/>
        <v>#DIV/0!</v>
      </c>
      <c r="H123" s="20" t="str">
        <f ca="1">IFERROR(__xludf.DUMMYFUNCTION("IF(COUNTIFS($C$2:C123, C123, $A$2:A123, ""&lt;="" &amp; A123) &lt; 30, AVERAGEIF($C$2:C123, C123, $G$2:G123), AVERAGE(FILTER($G$2:G123, $C$2:C123 = C123, $A$2:A123 &gt;= A123 - 30)))
"),"#DIV/0!")</f>
        <v>#DIV/0!</v>
      </c>
      <c r="I123" s="20" t="e">
        <f t="shared" ca="1" si="1"/>
        <v>#DIV/0!</v>
      </c>
      <c r="J123" s="20" t="str">
        <f ca="1">IFERROR(__xludf.DUMMYFUNCTION("IF(OR($I123=2, $I123=3), 0, IFERROR(COUNTIFS($C$2:C123, $C123, $A$2:A124, ""&gt;""&amp;IFERROR(MAX(FILTER($A$2:A124, $C$2:C123=$C123, $I$2:I123&lt;&gt;1)), 0), $I$2:I123, 1),1))
"),"#DIV/0!")</f>
        <v>#DIV/0!</v>
      </c>
      <c r="K123" s="20" t="e">
        <f t="shared" ca="1" si="2"/>
        <v>#DIV/0!</v>
      </c>
      <c r="L123" s="20" t="e">
        <f t="shared" ca="1" si="3"/>
        <v>#DIV/0!</v>
      </c>
      <c r="M123" s="21" t="e">
        <f t="shared" ca="1" si="4"/>
        <v>#DIV/0!</v>
      </c>
      <c r="N123" s="36" t="str">
        <f ca="1">IFERROR(__xludf.DUMMYFUNCTION("IF(COUNTIFS($C$2:C123, C123, $A$2:A123, ""&lt;="" &amp; A123) &lt; 30, STDEV.P(FILTER($G$2:G123, $C$2:C123 = C123)), STDEV.P(FILTER($G$2:G123, $C$2:C123 = C123, $A$2:A123 &gt;= A123 - 30)))
"),"#DIV/0!")</f>
        <v>#DIV/0!</v>
      </c>
    </row>
    <row r="124" spans="1:14" x14ac:dyDescent="0.2">
      <c r="A124" s="34"/>
      <c r="B124" s="5"/>
      <c r="C124" s="35"/>
      <c r="D124" s="19"/>
      <c r="E124" s="19"/>
      <c r="F124" s="19"/>
      <c r="G124" s="19" t="e">
        <f t="shared" si="0"/>
        <v>#DIV/0!</v>
      </c>
      <c r="H124" s="20" t="str">
        <f ca="1">IFERROR(__xludf.DUMMYFUNCTION("IF(COUNTIFS($C$2:C124, C124, $A$2:A124, ""&lt;="" &amp; A124) &lt; 30, AVERAGEIF($C$2:C124, C124, $G$2:G124), AVERAGE(FILTER($G$2:G124, $C$2:C124 = C124, $A$2:A124 &gt;= A124 - 30)))
"),"#DIV/0!")</f>
        <v>#DIV/0!</v>
      </c>
      <c r="I124" s="20" t="e">
        <f t="shared" ca="1" si="1"/>
        <v>#DIV/0!</v>
      </c>
      <c r="J124" s="20" t="str">
        <f ca="1">IFERROR(__xludf.DUMMYFUNCTION("IF(OR($I124=2, $I124=3), 0, IFERROR(COUNTIFS($C$2:C124, $C124, $A$2:A125, ""&gt;""&amp;IFERROR(MAX(FILTER($A$2:A125, $C$2:C124=$C124, $I$2:I124&lt;&gt;1)), 0), $I$2:I124, 1),1))
"),"#DIV/0!")</f>
        <v>#DIV/0!</v>
      </c>
      <c r="K124" s="20" t="e">
        <f t="shared" ca="1" si="2"/>
        <v>#DIV/0!</v>
      </c>
      <c r="L124" s="20" t="e">
        <f t="shared" ca="1" si="3"/>
        <v>#DIV/0!</v>
      </c>
      <c r="M124" s="21" t="e">
        <f t="shared" ca="1" si="4"/>
        <v>#DIV/0!</v>
      </c>
      <c r="N124" s="36" t="str">
        <f ca="1">IFERROR(__xludf.DUMMYFUNCTION("IF(COUNTIFS($C$2:C124, C124, $A$2:A124, ""&lt;="" &amp; A124) &lt; 30, STDEV.P(FILTER($G$2:G124, $C$2:C124 = C124)), STDEV.P(FILTER($G$2:G124, $C$2:C124 = C124, $A$2:A124 &gt;= A124 - 30)))
"),"#DIV/0!")</f>
        <v>#DIV/0!</v>
      </c>
    </row>
    <row r="125" spans="1:14" x14ac:dyDescent="0.2">
      <c r="A125" s="34"/>
      <c r="B125" s="5"/>
      <c r="C125" s="35"/>
      <c r="D125" s="19"/>
      <c r="E125" s="19"/>
      <c r="F125" s="19"/>
      <c r="G125" s="19" t="e">
        <f t="shared" si="0"/>
        <v>#DIV/0!</v>
      </c>
      <c r="H125" s="20" t="str">
        <f ca="1">IFERROR(__xludf.DUMMYFUNCTION("IF(COUNTIFS($C$2:C125, C125, $A$2:A125, ""&lt;="" &amp; A125) &lt; 30, AVERAGEIF($C$2:C125, C125, $G$2:G125), AVERAGE(FILTER($G$2:G125, $C$2:C125 = C125, $A$2:A125 &gt;= A125 - 30)))
"),"#DIV/0!")</f>
        <v>#DIV/0!</v>
      </c>
      <c r="I125" s="20" t="e">
        <f t="shared" ca="1" si="1"/>
        <v>#DIV/0!</v>
      </c>
      <c r="J125" s="20" t="str">
        <f ca="1">IFERROR(__xludf.DUMMYFUNCTION("IF(OR($I125=2, $I125=3), 0, IFERROR(COUNTIFS($C$2:C125, $C125, $A$2:A126, ""&gt;""&amp;IFERROR(MAX(FILTER($A$2:A126, $C$2:C125=$C125, $I$2:I125&lt;&gt;1)), 0), $I$2:I125, 1),1))
"),"#DIV/0!")</f>
        <v>#DIV/0!</v>
      </c>
      <c r="K125" s="20" t="e">
        <f t="shared" ca="1" si="2"/>
        <v>#DIV/0!</v>
      </c>
      <c r="L125" s="20" t="e">
        <f t="shared" ca="1" si="3"/>
        <v>#DIV/0!</v>
      </c>
      <c r="M125" s="21" t="e">
        <f t="shared" ca="1" si="4"/>
        <v>#DIV/0!</v>
      </c>
      <c r="N125" s="36" t="str">
        <f ca="1">IFERROR(__xludf.DUMMYFUNCTION("IF(COUNTIFS($C$2:C125, C125, $A$2:A125, ""&lt;="" &amp; A125) &lt; 30, STDEV.P(FILTER($G$2:G125, $C$2:C125 = C125)), STDEV.P(FILTER($G$2:G125, $C$2:C125 = C125, $A$2:A125 &gt;= A125 - 30)))
"),"#DIV/0!")</f>
        <v>#DIV/0!</v>
      </c>
    </row>
    <row r="126" spans="1:14" x14ac:dyDescent="0.2">
      <c r="A126" s="34"/>
      <c r="B126" s="5"/>
      <c r="C126" s="35"/>
      <c r="D126" s="19"/>
      <c r="E126" s="19"/>
      <c r="F126" s="19"/>
      <c r="G126" s="19" t="e">
        <f t="shared" si="0"/>
        <v>#DIV/0!</v>
      </c>
      <c r="H126" s="20" t="str">
        <f ca="1">IFERROR(__xludf.DUMMYFUNCTION("IF(COUNTIFS($C$2:C126, C126, $A$2:A126, ""&lt;="" &amp; A126) &lt; 30, AVERAGEIF($C$2:C126, C126, $G$2:G126), AVERAGE(FILTER($G$2:G126, $C$2:C126 = C126, $A$2:A126 &gt;= A126 - 30)))
"),"#DIV/0!")</f>
        <v>#DIV/0!</v>
      </c>
      <c r="I126" s="20" t="e">
        <f t="shared" ca="1" si="1"/>
        <v>#DIV/0!</v>
      </c>
      <c r="J126" s="20" t="str">
        <f ca="1">IFERROR(__xludf.DUMMYFUNCTION("IF(OR($I126=2, $I126=3), 0, IFERROR(COUNTIFS($C$2:C126, $C126, $A$2:A127, ""&gt;""&amp;IFERROR(MAX(FILTER($A$2:A127, $C$2:C126=$C126, $I$2:I126&lt;&gt;1)), 0), $I$2:I126, 1),1))
"),"#DIV/0!")</f>
        <v>#DIV/0!</v>
      </c>
      <c r="K126" s="20" t="e">
        <f t="shared" ca="1" si="2"/>
        <v>#DIV/0!</v>
      </c>
      <c r="L126" s="20" t="e">
        <f t="shared" ca="1" si="3"/>
        <v>#DIV/0!</v>
      </c>
      <c r="M126" s="21" t="e">
        <f t="shared" ca="1" si="4"/>
        <v>#DIV/0!</v>
      </c>
      <c r="N126" s="36" t="str">
        <f ca="1">IFERROR(__xludf.DUMMYFUNCTION("IF(COUNTIFS($C$2:C126, C126, $A$2:A126, ""&lt;="" &amp; A126) &lt; 30, STDEV.P(FILTER($G$2:G126, $C$2:C126 = C126)), STDEV.P(FILTER($G$2:G126, $C$2:C126 = C126, $A$2:A126 &gt;= A126 - 30)))
"),"#DIV/0!")</f>
        <v>#DIV/0!</v>
      </c>
    </row>
    <row r="127" spans="1:14" x14ac:dyDescent="0.2">
      <c r="A127" s="34"/>
      <c r="B127" s="5"/>
      <c r="C127" s="35"/>
      <c r="D127" s="19"/>
      <c r="E127" s="19"/>
      <c r="F127" s="19"/>
      <c r="G127" s="19" t="e">
        <f t="shared" si="0"/>
        <v>#DIV/0!</v>
      </c>
      <c r="H127" s="20" t="str">
        <f ca="1">IFERROR(__xludf.DUMMYFUNCTION("IF(COUNTIFS($C$2:C127, C127, $A$2:A127, ""&lt;="" &amp; A127) &lt; 30, AVERAGEIF($C$2:C127, C127, $G$2:G127), AVERAGE(FILTER($G$2:G127, $C$2:C127 = C127, $A$2:A127 &gt;= A127 - 30)))
"),"#DIV/0!")</f>
        <v>#DIV/0!</v>
      </c>
      <c r="I127" s="20" t="e">
        <f t="shared" ca="1" si="1"/>
        <v>#DIV/0!</v>
      </c>
      <c r="J127" s="20" t="str">
        <f ca="1">IFERROR(__xludf.DUMMYFUNCTION("IF(OR($I127=2, $I127=3), 0, IFERROR(COUNTIFS($C$2:C127, $C127, $A$2:A128, ""&gt;""&amp;IFERROR(MAX(FILTER($A$2:A128, $C$2:C127=$C127, $I$2:I127&lt;&gt;1)), 0), $I$2:I127, 1),1))
"),"#DIV/0!")</f>
        <v>#DIV/0!</v>
      </c>
      <c r="K127" s="20" t="e">
        <f t="shared" ca="1" si="2"/>
        <v>#DIV/0!</v>
      </c>
      <c r="L127" s="20" t="e">
        <f t="shared" ca="1" si="3"/>
        <v>#DIV/0!</v>
      </c>
      <c r="M127" s="21" t="e">
        <f t="shared" ca="1" si="4"/>
        <v>#DIV/0!</v>
      </c>
      <c r="N127" s="36" t="str">
        <f ca="1">IFERROR(__xludf.DUMMYFUNCTION("IF(COUNTIFS($C$2:C127, C127, $A$2:A127, ""&lt;="" &amp; A127) &lt; 30, STDEV.P(FILTER($G$2:G127, $C$2:C127 = C127)), STDEV.P(FILTER($G$2:G127, $C$2:C127 = C127, $A$2:A127 &gt;= A127 - 30)))
"),"#DIV/0!")</f>
        <v>#DIV/0!</v>
      </c>
    </row>
    <row r="128" spans="1:14" x14ac:dyDescent="0.2">
      <c r="A128" s="34"/>
      <c r="B128" s="7"/>
      <c r="C128" s="35"/>
      <c r="D128" s="20"/>
      <c r="E128" s="20"/>
      <c r="F128" s="20"/>
      <c r="G128" s="19" t="e">
        <f t="shared" si="0"/>
        <v>#DIV/0!</v>
      </c>
      <c r="H128" s="20" t="str">
        <f ca="1">IFERROR(__xludf.DUMMYFUNCTION("IF(COUNTIFS($C$2:C128, C128, $A$2:A128, ""&lt;="" &amp; A128) &lt; 30, AVERAGEIF($C$2:C128, C128, $G$2:G128), AVERAGE(FILTER($G$2:G128, $C$2:C128 = C128, $A$2:A128 &gt;= A128 - 30)))
"),"#DIV/0!")</f>
        <v>#DIV/0!</v>
      </c>
      <c r="I128" s="20" t="e">
        <f t="shared" ca="1" si="1"/>
        <v>#DIV/0!</v>
      </c>
      <c r="J128" s="20" t="str">
        <f ca="1">IFERROR(__xludf.DUMMYFUNCTION("IF(OR($I128=2, $I128=3), 0, IFERROR(COUNTIFS($C$2:C128, $C128, $A$2:A129, ""&gt;""&amp;IFERROR(MAX(FILTER($A$2:A129, $C$2:C128=$C128, $I$2:I128&lt;&gt;1)), 0), $I$2:I128, 1),1))
"),"#DIV/0!")</f>
        <v>#DIV/0!</v>
      </c>
      <c r="K128" s="20" t="e">
        <f t="shared" ca="1" si="2"/>
        <v>#DIV/0!</v>
      </c>
      <c r="L128" s="20" t="e">
        <f t="shared" ca="1" si="3"/>
        <v>#DIV/0!</v>
      </c>
      <c r="M128" s="21" t="e">
        <f t="shared" ca="1" si="4"/>
        <v>#DIV/0!</v>
      </c>
      <c r="N128" s="36" t="str">
        <f ca="1">IFERROR(__xludf.DUMMYFUNCTION("IF(COUNTIFS($C$2:C128, C128, $A$2:A128, ""&lt;="" &amp; A128) &lt; 30, STDEV.P(FILTER($G$2:G128, $C$2:C128 = C128)), STDEV.P(FILTER($G$2:G128, $C$2:C128 = C128, $A$2:A128 &gt;= A128 - 30)))
"),"#DIV/0!")</f>
        <v>#DIV/0!</v>
      </c>
    </row>
    <row r="129" spans="1:14" x14ac:dyDescent="0.2">
      <c r="A129" s="34"/>
      <c r="B129" s="7"/>
      <c r="C129" s="35"/>
      <c r="D129" s="20"/>
      <c r="E129" s="20"/>
      <c r="F129" s="20"/>
      <c r="G129" s="19" t="e">
        <f t="shared" si="0"/>
        <v>#DIV/0!</v>
      </c>
      <c r="H129" s="20" t="str">
        <f ca="1">IFERROR(__xludf.DUMMYFUNCTION("IF(COUNTIFS($C$2:C129, C129, $A$2:A129, ""&lt;="" &amp; A129) &lt; 30, AVERAGEIF($C$2:C129, C129, $G$2:G129), AVERAGE(FILTER($G$2:G129, $C$2:C129 = C129, $A$2:A129 &gt;= A129 - 30)))
"),"#DIV/0!")</f>
        <v>#DIV/0!</v>
      </c>
      <c r="I129" s="20" t="e">
        <f t="shared" ca="1" si="1"/>
        <v>#DIV/0!</v>
      </c>
      <c r="J129" s="20" t="str">
        <f ca="1">IFERROR(__xludf.DUMMYFUNCTION("IF(OR($I129=2, $I129=3), 0, IFERROR(COUNTIFS($C$2:C129, $C129, $A$2:A130, ""&gt;""&amp;IFERROR(MAX(FILTER($A$2:A130, $C$2:C129=$C129, $I$2:I129&lt;&gt;1)), 0), $I$2:I129, 1),1))
"),"#DIV/0!")</f>
        <v>#DIV/0!</v>
      </c>
      <c r="K129" s="20" t="e">
        <f t="shared" ca="1" si="2"/>
        <v>#DIV/0!</v>
      </c>
      <c r="L129" s="20" t="e">
        <f t="shared" ca="1" si="3"/>
        <v>#DIV/0!</v>
      </c>
      <c r="M129" s="21" t="e">
        <f t="shared" ca="1" si="4"/>
        <v>#DIV/0!</v>
      </c>
      <c r="N129" s="36" t="str">
        <f ca="1">IFERROR(__xludf.DUMMYFUNCTION("IF(COUNTIFS($C$2:C129, C129, $A$2:A129, ""&lt;="" &amp; A129) &lt; 30, STDEV.P(FILTER($G$2:G129, $C$2:C129 = C129)), STDEV.P(FILTER($G$2:G129, $C$2:C129 = C129, $A$2:A129 &gt;= A129 - 30)))
"),"#DIV/0!")</f>
        <v>#DIV/0!</v>
      </c>
    </row>
    <row r="130" spans="1:14" x14ac:dyDescent="0.2">
      <c r="A130" s="34"/>
      <c r="B130" s="7"/>
      <c r="C130" s="35"/>
      <c r="D130" s="20"/>
      <c r="E130" s="20"/>
      <c r="F130" s="20"/>
      <c r="G130" s="19" t="e">
        <f t="shared" si="0"/>
        <v>#DIV/0!</v>
      </c>
      <c r="H130" s="20" t="str">
        <f ca="1">IFERROR(__xludf.DUMMYFUNCTION("IF(COUNTIFS($C$2:C130, C130, $A$2:A130, ""&lt;="" &amp; A130) &lt; 30, AVERAGEIF($C$2:C130, C130, $G$2:G130), AVERAGE(FILTER($G$2:G130, $C$2:C130 = C130, $A$2:A130 &gt;= A130 - 30)))
"),"#DIV/0!")</f>
        <v>#DIV/0!</v>
      </c>
      <c r="I130" s="20" t="e">
        <f t="shared" ca="1" si="1"/>
        <v>#DIV/0!</v>
      </c>
      <c r="J130" s="20" t="str">
        <f ca="1">IFERROR(__xludf.DUMMYFUNCTION("IF(OR($I130=2, $I130=3), 0, IFERROR(COUNTIFS($C$2:C130, $C130, $A$2:A131, ""&gt;""&amp;IFERROR(MAX(FILTER($A$2:A131, $C$2:C130=$C130, $I$2:I130&lt;&gt;1)), 0), $I$2:I130, 1),1))
"),"#DIV/0!")</f>
        <v>#DIV/0!</v>
      </c>
      <c r="K130" s="20" t="e">
        <f t="shared" ca="1" si="2"/>
        <v>#DIV/0!</v>
      </c>
      <c r="L130" s="20" t="e">
        <f t="shared" ca="1" si="3"/>
        <v>#DIV/0!</v>
      </c>
      <c r="M130" s="21" t="e">
        <f t="shared" ca="1" si="4"/>
        <v>#DIV/0!</v>
      </c>
      <c r="N130" s="36" t="str">
        <f ca="1">IFERROR(__xludf.DUMMYFUNCTION("IF(COUNTIFS($C$2:C130, C130, $A$2:A130, ""&lt;="" &amp; A130) &lt; 30, STDEV.P(FILTER($G$2:G130, $C$2:C130 = C130)), STDEV.P(FILTER($G$2:G130, $C$2:C130 = C130, $A$2:A130 &gt;= A130 - 30)))
"),"#DIV/0!")</f>
        <v>#DIV/0!</v>
      </c>
    </row>
    <row r="131" spans="1:14" x14ac:dyDescent="0.2">
      <c r="A131" s="34"/>
      <c r="B131" s="7"/>
      <c r="C131" s="35"/>
      <c r="D131" s="20"/>
      <c r="E131" s="20"/>
      <c r="F131" s="20"/>
      <c r="G131" s="19" t="e">
        <f t="shared" si="0"/>
        <v>#DIV/0!</v>
      </c>
      <c r="H131" s="20" t="str">
        <f ca="1">IFERROR(__xludf.DUMMYFUNCTION("IF(COUNTIFS($C$2:C131, C131, $A$2:A131, ""&lt;="" &amp; A131) &lt; 30, AVERAGEIF($C$2:C131, C131, $G$2:G131), AVERAGE(FILTER($G$2:G131, $C$2:C131 = C131, $A$2:A131 &gt;= A131 - 30)))
"),"#DIV/0!")</f>
        <v>#DIV/0!</v>
      </c>
      <c r="I131" s="20" t="e">
        <f t="shared" ca="1" si="1"/>
        <v>#DIV/0!</v>
      </c>
      <c r="J131" s="20" t="str">
        <f ca="1">IFERROR(__xludf.DUMMYFUNCTION("IF(OR($I131=2, $I131=3), 0, IFERROR(COUNTIFS($C$2:C131, $C131, $A$2:A132, ""&gt;""&amp;IFERROR(MAX(FILTER($A$2:A132, $C$2:C131=$C131, $I$2:I131&lt;&gt;1)), 0), $I$2:I131, 1),1))
"),"#DIV/0!")</f>
        <v>#DIV/0!</v>
      </c>
      <c r="K131" s="20" t="e">
        <f t="shared" ca="1" si="2"/>
        <v>#DIV/0!</v>
      </c>
      <c r="L131" s="20" t="e">
        <f t="shared" ca="1" si="3"/>
        <v>#DIV/0!</v>
      </c>
      <c r="M131" s="21" t="e">
        <f t="shared" ca="1" si="4"/>
        <v>#DIV/0!</v>
      </c>
      <c r="N131" s="36" t="str">
        <f ca="1">IFERROR(__xludf.DUMMYFUNCTION("IF(COUNTIFS($C$2:C131, C131, $A$2:A131, ""&lt;="" &amp; A131) &lt; 30, STDEV.P(FILTER($G$2:G131, $C$2:C131 = C131)), STDEV.P(FILTER($G$2:G131, $C$2:C131 = C131, $A$2:A131 &gt;= A131 - 30)))
"),"#DIV/0!")</f>
        <v>#DIV/0!</v>
      </c>
    </row>
    <row r="132" spans="1:14" x14ac:dyDescent="0.2">
      <c r="A132" s="34"/>
      <c r="B132" s="7"/>
      <c r="C132" s="35"/>
      <c r="D132" s="20"/>
      <c r="E132" s="20"/>
      <c r="F132" s="20"/>
      <c r="G132" s="19" t="e">
        <f t="shared" si="0"/>
        <v>#DIV/0!</v>
      </c>
      <c r="H132" s="20" t="str">
        <f ca="1">IFERROR(__xludf.DUMMYFUNCTION("IF(COUNTIFS($C$2:C132, C132, $A$2:A132, ""&lt;="" &amp; A132) &lt; 30, AVERAGEIF($C$2:C132, C132, $G$2:G132), AVERAGE(FILTER($G$2:G132, $C$2:C132 = C132, $A$2:A132 &gt;= A132 - 30)))
"),"#DIV/0!")</f>
        <v>#DIV/0!</v>
      </c>
      <c r="I132" s="20" t="e">
        <f t="shared" ca="1" si="1"/>
        <v>#DIV/0!</v>
      </c>
      <c r="J132" s="20" t="str">
        <f ca="1">IFERROR(__xludf.DUMMYFUNCTION("IF(OR($I132=2, $I132=3), 0, IFERROR(COUNTIFS($C$2:C132, $C132, $A$2:A133, ""&gt;""&amp;IFERROR(MAX(FILTER($A$2:A133, $C$2:C132=$C132, $I$2:I132&lt;&gt;1)), 0), $I$2:I132, 1),1))
"),"#DIV/0!")</f>
        <v>#DIV/0!</v>
      </c>
      <c r="K132" s="20" t="e">
        <f t="shared" ca="1" si="2"/>
        <v>#DIV/0!</v>
      </c>
      <c r="L132" s="20" t="e">
        <f t="shared" ca="1" si="3"/>
        <v>#DIV/0!</v>
      </c>
      <c r="M132" s="21" t="e">
        <f t="shared" ca="1" si="4"/>
        <v>#DIV/0!</v>
      </c>
      <c r="N132" s="36" t="str">
        <f ca="1">IFERROR(__xludf.DUMMYFUNCTION("IF(COUNTIFS($C$2:C132, C132, $A$2:A132, ""&lt;="" &amp; A132) &lt; 30, STDEV.P(FILTER($G$2:G132, $C$2:C132 = C132)), STDEV.P(FILTER($G$2:G132, $C$2:C132 = C132, $A$2:A132 &gt;= A132 - 30)))
"),"#DIV/0!")</f>
        <v>#DIV/0!</v>
      </c>
    </row>
    <row r="133" spans="1:14" x14ac:dyDescent="0.2">
      <c r="A133" s="34"/>
      <c r="B133" s="5"/>
      <c r="C133" s="35"/>
      <c r="D133" s="20"/>
      <c r="E133" s="20"/>
      <c r="F133" s="20"/>
      <c r="G133" s="19" t="e">
        <f t="shared" si="0"/>
        <v>#DIV/0!</v>
      </c>
      <c r="H133" s="20" t="str">
        <f ca="1">IFERROR(__xludf.DUMMYFUNCTION("IF(COUNTIFS($C$2:C133, C133, $A$2:A133, ""&lt;="" &amp; A133) &lt; 30, AVERAGEIF($C$2:C133, C133, $G$2:G133), AVERAGE(FILTER($G$2:G133, $C$2:C133 = C133, $A$2:A133 &gt;= A133 - 30)))
"),"#DIV/0!")</f>
        <v>#DIV/0!</v>
      </c>
      <c r="I133" s="20" t="e">
        <f t="shared" ca="1" si="1"/>
        <v>#DIV/0!</v>
      </c>
      <c r="J133" s="20" t="str">
        <f ca="1">IFERROR(__xludf.DUMMYFUNCTION("IF(OR($I133=2, $I133=3), 0, IFERROR(COUNTIFS($C$2:C133, $C133, $A$2:A134, ""&gt;""&amp;IFERROR(MAX(FILTER($A$2:A134, $C$2:C133=$C133, $I$2:I133&lt;&gt;1)), 0), $I$2:I133, 1),1))
"),"#DIV/0!")</f>
        <v>#DIV/0!</v>
      </c>
      <c r="K133" s="20" t="e">
        <f t="shared" ca="1" si="2"/>
        <v>#DIV/0!</v>
      </c>
      <c r="L133" s="20" t="e">
        <f t="shared" ca="1" si="3"/>
        <v>#DIV/0!</v>
      </c>
      <c r="M133" s="21" t="e">
        <f t="shared" ca="1" si="4"/>
        <v>#DIV/0!</v>
      </c>
      <c r="N133" s="36" t="str">
        <f ca="1">IFERROR(__xludf.DUMMYFUNCTION("IF(COUNTIFS($C$2:C133, C133, $A$2:A133, ""&lt;="" &amp; A133) &lt; 30, STDEV.P(FILTER($G$2:G133, $C$2:C133 = C133)), STDEV.P(FILTER($G$2:G133, $C$2:C133 = C133, $A$2:A133 &gt;= A133 - 30)))
"),"#DIV/0!")</f>
        <v>#DIV/0!</v>
      </c>
    </row>
    <row r="134" spans="1:14" x14ac:dyDescent="0.2">
      <c r="A134" s="34"/>
      <c r="B134" s="5"/>
      <c r="C134" s="35"/>
      <c r="D134" s="20"/>
      <c r="E134" s="20"/>
      <c r="F134" s="20"/>
      <c r="G134" s="19" t="e">
        <f t="shared" si="0"/>
        <v>#DIV/0!</v>
      </c>
      <c r="H134" s="20" t="str">
        <f ca="1">IFERROR(__xludf.DUMMYFUNCTION("IF(COUNTIFS($C$2:C134, C134, $A$2:A134, ""&lt;="" &amp; A134) &lt; 30, AVERAGEIF($C$2:C134, C134, $G$2:G134), AVERAGE(FILTER($G$2:G134, $C$2:C134 = C134, $A$2:A134 &gt;= A134 - 30)))
"),"#DIV/0!")</f>
        <v>#DIV/0!</v>
      </c>
      <c r="I134" s="20" t="e">
        <f t="shared" ca="1" si="1"/>
        <v>#DIV/0!</v>
      </c>
      <c r="J134" s="20" t="str">
        <f ca="1">IFERROR(__xludf.DUMMYFUNCTION("IF(OR($I134=2, $I134=3), 0, IFERROR(COUNTIFS($C$2:C134, $C134, $A$2:A135, ""&gt;""&amp;IFERROR(MAX(FILTER($A$2:A135, $C$2:C134=$C134, $I$2:I134&lt;&gt;1)), 0), $I$2:I134, 1),1))
"),"#DIV/0!")</f>
        <v>#DIV/0!</v>
      </c>
      <c r="K134" s="20" t="e">
        <f t="shared" ca="1" si="2"/>
        <v>#DIV/0!</v>
      </c>
      <c r="L134" s="20" t="e">
        <f t="shared" ca="1" si="3"/>
        <v>#DIV/0!</v>
      </c>
      <c r="M134" s="21" t="e">
        <f t="shared" ca="1" si="4"/>
        <v>#DIV/0!</v>
      </c>
      <c r="N134" s="36" t="str">
        <f ca="1">IFERROR(__xludf.DUMMYFUNCTION("IF(COUNTIFS($C$2:C134, C134, $A$2:A134, ""&lt;="" &amp; A134) &lt; 30, STDEV.P(FILTER($G$2:G134, $C$2:C134 = C134)), STDEV.P(FILTER($G$2:G134, $C$2:C134 = C134, $A$2:A134 &gt;= A134 - 30)))
"),"#DIV/0!")</f>
        <v>#DIV/0!</v>
      </c>
    </row>
    <row r="135" spans="1:14" x14ac:dyDescent="0.2">
      <c r="A135" s="34"/>
      <c r="B135" s="5"/>
      <c r="C135" s="35"/>
      <c r="D135" s="20"/>
      <c r="E135" s="20"/>
      <c r="F135" s="20"/>
      <c r="G135" s="19" t="e">
        <f t="shared" si="0"/>
        <v>#DIV/0!</v>
      </c>
      <c r="H135" s="20" t="str">
        <f ca="1">IFERROR(__xludf.DUMMYFUNCTION("IF(COUNTIFS($C$2:C135, C135, $A$2:A135, ""&lt;="" &amp; A135) &lt; 30, AVERAGEIF($C$2:C135, C135, $G$2:G135), AVERAGE(FILTER($G$2:G135, $C$2:C135 = C135, $A$2:A135 &gt;= A135 - 30)))
"),"#DIV/0!")</f>
        <v>#DIV/0!</v>
      </c>
      <c r="I135" s="20" t="e">
        <f t="shared" ca="1" si="1"/>
        <v>#DIV/0!</v>
      </c>
      <c r="J135" s="20" t="str">
        <f ca="1">IFERROR(__xludf.DUMMYFUNCTION("IF(OR($I135=2, $I135=3), 0, IFERROR(COUNTIFS($C$2:C135, $C135, $A$2:A136, ""&gt;""&amp;IFERROR(MAX(FILTER($A$2:A136, $C$2:C135=$C135, $I$2:I135&lt;&gt;1)), 0), $I$2:I135, 1),1))
"),"#DIV/0!")</f>
        <v>#DIV/0!</v>
      </c>
      <c r="K135" s="20" t="e">
        <f t="shared" ca="1" si="2"/>
        <v>#DIV/0!</v>
      </c>
      <c r="L135" s="20" t="e">
        <f t="shared" ca="1" si="3"/>
        <v>#DIV/0!</v>
      </c>
      <c r="M135" s="21" t="e">
        <f t="shared" ca="1" si="4"/>
        <v>#DIV/0!</v>
      </c>
      <c r="N135" s="36" t="str">
        <f ca="1">IFERROR(__xludf.DUMMYFUNCTION("IF(COUNTIFS($C$2:C135, C135, $A$2:A135, ""&lt;="" &amp; A135) &lt; 30, STDEV.P(FILTER($G$2:G135, $C$2:C135 = C135)), STDEV.P(FILTER($G$2:G135, $C$2:C135 = C135, $A$2:A135 &gt;= A135 - 30)))
"),"#DIV/0!")</f>
        <v>#DIV/0!</v>
      </c>
    </row>
    <row r="136" spans="1:14" x14ac:dyDescent="0.2">
      <c r="A136" s="34"/>
      <c r="B136" s="5"/>
      <c r="C136" s="35"/>
      <c r="D136" s="20"/>
      <c r="E136" s="20"/>
      <c r="F136" s="20"/>
      <c r="G136" s="19" t="e">
        <f t="shared" si="0"/>
        <v>#DIV/0!</v>
      </c>
      <c r="H136" s="20" t="str">
        <f ca="1">IFERROR(__xludf.DUMMYFUNCTION("IF(COUNTIFS($C$2:C136, C136, $A$2:A136, ""&lt;="" &amp; A136) &lt; 30, AVERAGEIF($C$2:C136, C136, $G$2:G136), AVERAGE(FILTER($G$2:G136, $C$2:C136 = C136, $A$2:A136 &gt;= A136 - 30)))
"),"#DIV/0!")</f>
        <v>#DIV/0!</v>
      </c>
      <c r="I136" s="20" t="e">
        <f t="shared" ca="1" si="1"/>
        <v>#DIV/0!</v>
      </c>
      <c r="J136" s="20" t="str">
        <f ca="1">IFERROR(__xludf.DUMMYFUNCTION("IF(OR($I136=2, $I136=3), 0, IFERROR(COUNTIFS($C$2:C136, $C136, $A$2:A137, ""&gt;""&amp;IFERROR(MAX(FILTER($A$2:A137, $C$2:C136=$C136, $I$2:I136&lt;&gt;1)), 0), $I$2:I136, 1),1))
"),"#DIV/0!")</f>
        <v>#DIV/0!</v>
      </c>
      <c r="K136" s="20" t="e">
        <f t="shared" ca="1" si="2"/>
        <v>#DIV/0!</v>
      </c>
      <c r="L136" s="20" t="e">
        <f t="shared" ca="1" si="3"/>
        <v>#DIV/0!</v>
      </c>
      <c r="M136" s="21" t="e">
        <f t="shared" ca="1" si="4"/>
        <v>#DIV/0!</v>
      </c>
      <c r="N136" s="36" t="str">
        <f ca="1">IFERROR(__xludf.DUMMYFUNCTION("IF(COUNTIFS($C$2:C136, C136, $A$2:A136, ""&lt;="" &amp; A136) &lt; 30, STDEV.P(FILTER($G$2:G136, $C$2:C136 = C136)), STDEV.P(FILTER($G$2:G136, $C$2:C136 = C136, $A$2:A136 &gt;= A136 - 30)))
"),"#DIV/0!")</f>
        <v>#DIV/0!</v>
      </c>
    </row>
    <row r="137" spans="1:14" x14ac:dyDescent="0.2">
      <c r="A137" s="34"/>
      <c r="B137" s="5"/>
      <c r="C137" s="35"/>
      <c r="D137" s="20"/>
      <c r="E137" s="20"/>
      <c r="F137" s="20"/>
      <c r="G137" s="19" t="e">
        <f t="shared" si="0"/>
        <v>#DIV/0!</v>
      </c>
      <c r="H137" s="20" t="str">
        <f ca="1">IFERROR(__xludf.DUMMYFUNCTION("IF(COUNTIFS($C$2:C137, C137, $A$2:A137, ""&lt;="" &amp; A137) &lt; 30, AVERAGEIF($C$2:C137, C137, $G$2:G137), AVERAGE(FILTER($G$2:G137, $C$2:C137 = C137, $A$2:A137 &gt;= A137 - 30)))
"),"#DIV/0!")</f>
        <v>#DIV/0!</v>
      </c>
      <c r="I137" s="20" t="e">
        <f t="shared" ca="1" si="1"/>
        <v>#DIV/0!</v>
      </c>
      <c r="J137" s="20" t="str">
        <f ca="1">IFERROR(__xludf.DUMMYFUNCTION("IF(OR($I137=2, $I137=3), 0, IFERROR(COUNTIFS($C$2:C137, $C137, $A$2:A138, ""&gt;""&amp;IFERROR(MAX(FILTER($A$2:A138, $C$2:C137=$C137, $I$2:I137&lt;&gt;1)), 0), $I$2:I137, 1),1))
"),"#DIV/0!")</f>
        <v>#DIV/0!</v>
      </c>
      <c r="K137" s="20" t="e">
        <f t="shared" ca="1" si="2"/>
        <v>#DIV/0!</v>
      </c>
      <c r="L137" s="20" t="e">
        <f t="shared" ca="1" si="3"/>
        <v>#DIV/0!</v>
      </c>
      <c r="M137" s="21" t="e">
        <f t="shared" ca="1" si="4"/>
        <v>#DIV/0!</v>
      </c>
      <c r="N137" s="36" t="str">
        <f ca="1">IFERROR(__xludf.DUMMYFUNCTION("IF(COUNTIFS($C$2:C137, C137, $A$2:A137, ""&lt;="" &amp; A137) &lt; 30, STDEV.P(FILTER($G$2:G137, $C$2:C137 = C137)), STDEV.P(FILTER($G$2:G137, $C$2:C137 = C137, $A$2:A137 &gt;= A137 - 30)))
"),"#DIV/0!")</f>
        <v>#DIV/0!</v>
      </c>
    </row>
    <row r="138" spans="1:14" x14ac:dyDescent="0.2">
      <c r="A138" s="34"/>
      <c r="B138" s="5"/>
      <c r="C138" s="35"/>
      <c r="D138" s="20"/>
      <c r="E138" s="20"/>
      <c r="F138" s="20"/>
      <c r="G138" s="19" t="e">
        <f t="shared" si="0"/>
        <v>#DIV/0!</v>
      </c>
      <c r="H138" s="20" t="str">
        <f ca="1">IFERROR(__xludf.DUMMYFUNCTION("IF(COUNTIFS($C$2:C138, C138, $A$2:A138, ""&lt;="" &amp; A138) &lt; 30, AVERAGEIF($C$2:C138, C138, $G$2:G138), AVERAGE(FILTER($G$2:G138, $C$2:C138 = C138, $A$2:A138 &gt;= A138 - 30)))
"),"#DIV/0!")</f>
        <v>#DIV/0!</v>
      </c>
      <c r="I138" s="20" t="e">
        <f t="shared" ca="1" si="1"/>
        <v>#DIV/0!</v>
      </c>
      <c r="J138" s="20" t="str">
        <f ca="1">IFERROR(__xludf.DUMMYFUNCTION("IF(OR($I138=2, $I138=3), 0, IFERROR(COUNTIFS($C$2:C138, $C138, $A$2:A139, ""&gt;""&amp;IFERROR(MAX(FILTER($A$2:A139, $C$2:C138=$C138, $I$2:I138&lt;&gt;1)), 0), $I$2:I138, 1),1))
"),"#DIV/0!")</f>
        <v>#DIV/0!</v>
      </c>
      <c r="K138" s="20" t="e">
        <f t="shared" ca="1" si="2"/>
        <v>#DIV/0!</v>
      </c>
      <c r="L138" s="20" t="e">
        <f t="shared" ca="1" si="3"/>
        <v>#DIV/0!</v>
      </c>
      <c r="M138" s="21" t="e">
        <f t="shared" ca="1" si="4"/>
        <v>#DIV/0!</v>
      </c>
      <c r="N138" s="36" t="str">
        <f ca="1">IFERROR(__xludf.DUMMYFUNCTION("IF(COUNTIFS($C$2:C138, C138, $A$2:A138, ""&lt;="" &amp; A138) &lt; 30, STDEV.P(FILTER($G$2:G138, $C$2:C138 = C138)), STDEV.P(FILTER($G$2:G138, $C$2:C138 = C138, $A$2:A138 &gt;= A138 - 30)))
"),"#DIV/0!")</f>
        <v>#DIV/0!</v>
      </c>
    </row>
    <row r="139" spans="1:14" x14ac:dyDescent="0.2">
      <c r="A139" s="34"/>
      <c r="B139" s="5"/>
      <c r="C139" s="35"/>
      <c r="D139" s="20"/>
      <c r="E139" s="20"/>
      <c r="F139" s="20"/>
      <c r="G139" s="19" t="e">
        <f t="shared" si="0"/>
        <v>#DIV/0!</v>
      </c>
      <c r="H139" s="20" t="str">
        <f ca="1">IFERROR(__xludf.DUMMYFUNCTION("IF(COUNTIFS($C$2:C139, C139, $A$2:A139, ""&lt;="" &amp; A139) &lt; 30, AVERAGEIF($C$2:C139, C139, $G$2:G139), AVERAGE(FILTER($G$2:G139, $C$2:C139 = C139, $A$2:A139 &gt;= A139 - 30)))
"),"#DIV/0!")</f>
        <v>#DIV/0!</v>
      </c>
      <c r="I139" s="20" t="e">
        <f t="shared" ca="1" si="1"/>
        <v>#DIV/0!</v>
      </c>
      <c r="J139" s="20" t="str">
        <f ca="1">IFERROR(__xludf.DUMMYFUNCTION("IF(OR($I139=2, $I139=3), 0, IFERROR(COUNTIFS($C$2:C139, $C139, $A$2:A140, ""&gt;""&amp;IFERROR(MAX(FILTER($A$2:A140, $C$2:C139=$C139, $I$2:I139&lt;&gt;1)), 0), $I$2:I139, 1),1))
"),"#DIV/0!")</f>
        <v>#DIV/0!</v>
      </c>
      <c r="K139" s="20" t="e">
        <f t="shared" ca="1" si="2"/>
        <v>#DIV/0!</v>
      </c>
      <c r="L139" s="20" t="e">
        <f t="shared" ca="1" si="3"/>
        <v>#DIV/0!</v>
      </c>
      <c r="M139" s="21" t="e">
        <f t="shared" ca="1" si="4"/>
        <v>#DIV/0!</v>
      </c>
      <c r="N139" s="36" t="str">
        <f ca="1">IFERROR(__xludf.DUMMYFUNCTION("IF(COUNTIFS($C$2:C139, C139, $A$2:A139, ""&lt;="" &amp; A139) &lt; 30, STDEV.P(FILTER($G$2:G139, $C$2:C139 = C139)), STDEV.P(FILTER($G$2:G139, $C$2:C139 = C139, $A$2:A139 &gt;= A139 - 30)))
"),"#DIV/0!")</f>
        <v>#DIV/0!</v>
      </c>
    </row>
    <row r="140" spans="1:14" x14ac:dyDescent="0.2">
      <c r="A140" s="34"/>
      <c r="B140" s="7"/>
      <c r="C140" s="35"/>
      <c r="D140" s="20"/>
      <c r="E140" s="20"/>
      <c r="F140" s="20"/>
      <c r="G140" s="19" t="e">
        <f t="shared" si="0"/>
        <v>#DIV/0!</v>
      </c>
      <c r="H140" s="20" t="str">
        <f ca="1">IFERROR(__xludf.DUMMYFUNCTION("IF(COUNTIFS($C$2:C140, C140, $A$2:A140, ""&lt;="" &amp; A140) &lt; 30, AVERAGEIF($C$2:C140, C140, $G$2:G140), AVERAGE(FILTER($G$2:G140, $C$2:C140 = C140, $A$2:A140 &gt;= A140 - 30)))
"),"#DIV/0!")</f>
        <v>#DIV/0!</v>
      </c>
      <c r="I140" s="20" t="e">
        <f t="shared" ca="1" si="1"/>
        <v>#DIV/0!</v>
      </c>
      <c r="J140" s="20" t="str">
        <f ca="1">IFERROR(__xludf.DUMMYFUNCTION("IF(OR($I140=2, $I140=3), 0, IFERROR(COUNTIFS($C$2:C140, $C140, $A$2:A141, ""&gt;""&amp;IFERROR(MAX(FILTER($A$2:A141, $C$2:C140=$C140, $I$2:I140&lt;&gt;1)), 0), $I$2:I140, 1),1))
"),"#DIV/0!")</f>
        <v>#DIV/0!</v>
      </c>
      <c r="K140" s="20" t="e">
        <f t="shared" ca="1" si="2"/>
        <v>#DIV/0!</v>
      </c>
      <c r="L140" s="20" t="e">
        <f t="shared" ca="1" si="3"/>
        <v>#DIV/0!</v>
      </c>
      <c r="M140" s="21" t="e">
        <f t="shared" ca="1" si="4"/>
        <v>#DIV/0!</v>
      </c>
      <c r="N140" s="36" t="str">
        <f ca="1">IFERROR(__xludf.DUMMYFUNCTION("IF(COUNTIFS($C$2:C140, C140, $A$2:A140, ""&lt;="" &amp; A140) &lt; 30, STDEV.P(FILTER($G$2:G140, $C$2:C140 = C140)), STDEV.P(FILTER($G$2:G140, $C$2:C140 = C140, $A$2:A140 &gt;= A140 - 30)))
"),"#DIV/0!")</f>
        <v>#DIV/0!</v>
      </c>
    </row>
    <row r="141" spans="1:14" x14ac:dyDescent="0.2">
      <c r="A141" s="34"/>
      <c r="B141" s="7"/>
      <c r="C141" s="35"/>
      <c r="D141" s="20"/>
      <c r="E141" s="20"/>
      <c r="F141" s="20"/>
      <c r="G141" s="19" t="e">
        <f t="shared" si="0"/>
        <v>#DIV/0!</v>
      </c>
      <c r="H141" s="20" t="str">
        <f ca="1">IFERROR(__xludf.DUMMYFUNCTION("IF(COUNTIFS($C$2:C141, C141, $A$2:A141, ""&lt;="" &amp; A141) &lt; 30, AVERAGEIF($C$2:C141, C141, $G$2:G141), AVERAGE(FILTER($G$2:G141, $C$2:C141 = C141, $A$2:A141 &gt;= A141 - 30)))
"),"#DIV/0!")</f>
        <v>#DIV/0!</v>
      </c>
      <c r="I141" s="20" t="e">
        <f t="shared" ca="1" si="1"/>
        <v>#DIV/0!</v>
      </c>
      <c r="J141" s="20" t="str">
        <f ca="1">IFERROR(__xludf.DUMMYFUNCTION("IF(OR($I141=2, $I141=3), 0, IFERROR(COUNTIFS($C$2:C141, $C141, $A$2:A142, ""&gt;""&amp;IFERROR(MAX(FILTER($A$2:A142, $C$2:C141=$C141, $I$2:I141&lt;&gt;1)), 0), $I$2:I141, 1),1))
"),"#DIV/0!")</f>
        <v>#DIV/0!</v>
      </c>
      <c r="K141" s="20" t="e">
        <f t="shared" ca="1" si="2"/>
        <v>#DIV/0!</v>
      </c>
      <c r="L141" s="20" t="e">
        <f t="shared" ca="1" si="3"/>
        <v>#DIV/0!</v>
      </c>
      <c r="M141" s="21" t="e">
        <f t="shared" ca="1" si="4"/>
        <v>#DIV/0!</v>
      </c>
      <c r="N141" s="36" t="str">
        <f ca="1">IFERROR(__xludf.DUMMYFUNCTION("IF(COUNTIFS($C$2:C141, C141, $A$2:A141, ""&lt;="" &amp; A141) &lt; 30, STDEV.P(FILTER($G$2:G141, $C$2:C141 = C141)), STDEV.P(FILTER($G$2:G141, $C$2:C141 = C141, $A$2:A141 &gt;= A141 - 30)))
"),"#DIV/0!")</f>
        <v>#DIV/0!</v>
      </c>
    </row>
    <row r="142" spans="1:14" x14ac:dyDescent="0.2">
      <c r="A142" s="34"/>
      <c r="B142" s="7"/>
      <c r="C142" s="35"/>
      <c r="D142" s="20"/>
      <c r="E142" s="20"/>
      <c r="F142" s="20"/>
      <c r="G142" s="19" t="e">
        <f t="shared" si="0"/>
        <v>#DIV/0!</v>
      </c>
      <c r="H142" s="20" t="str">
        <f ca="1">IFERROR(__xludf.DUMMYFUNCTION("IF(COUNTIFS($C$2:C142, C142, $A$2:A142, ""&lt;="" &amp; A142) &lt; 30, AVERAGEIF($C$2:C142, C142, $G$2:G142), AVERAGE(FILTER($G$2:G142, $C$2:C142 = C142, $A$2:A142 &gt;= A142 - 30)))
"),"#DIV/0!")</f>
        <v>#DIV/0!</v>
      </c>
      <c r="I142" s="20" t="e">
        <f t="shared" ca="1" si="1"/>
        <v>#DIV/0!</v>
      </c>
      <c r="J142" s="20" t="str">
        <f ca="1">IFERROR(__xludf.DUMMYFUNCTION("IF(OR($I142=2, $I142=3), 0, IFERROR(COUNTIFS($C$2:C142, $C142, $A$2:A143, ""&gt;""&amp;IFERROR(MAX(FILTER($A$2:A143, $C$2:C142=$C142, $I$2:I142&lt;&gt;1)), 0), $I$2:I142, 1),1))
"),"#DIV/0!")</f>
        <v>#DIV/0!</v>
      </c>
      <c r="K142" s="20" t="e">
        <f t="shared" ca="1" si="2"/>
        <v>#DIV/0!</v>
      </c>
      <c r="L142" s="20" t="e">
        <f t="shared" ca="1" si="3"/>
        <v>#DIV/0!</v>
      </c>
      <c r="M142" s="21" t="e">
        <f t="shared" ca="1" si="4"/>
        <v>#DIV/0!</v>
      </c>
      <c r="N142" s="36" t="str">
        <f ca="1">IFERROR(__xludf.DUMMYFUNCTION("IF(COUNTIFS($C$2:C142, C142, $A$2:A142, ""&lt;="" &amp; A142) &lt; 30, STDEV.P(FILTER($G$2:G142, $C$2:C142 = C142)), STDEV.P(FILTER($G$2:G142, $C$2:C142 = C142, $A$2:A142 &gt;= A142 - 30)))
"),"#DIV/0!")</f>
        <v>#DIV/0!</v>
      </c>
    </row>
    <row r="143" spans="1:14" x14ac:dyDescent="0.2">
      <c r="A143" s="34"/>
      <c r="B143" s="7"/>
      <c r="C143" s="35"/>
      <c r="D143" s="20"/>
      <c r="E143" s="20"/>
      <c r="F143" s="20"/>
      <c r="G143" s="19" t="e">
        <f t="shared" si="0"/>
        <v>#DIV/0!</v>
      </c>
      <c r="H143" s="20" t="str">
        <f ca="1">IFERROR(__xludf.DUMMYFUNCTION("IF(COUNTIFS($C$2:C143, C143, $A$2:A143, ""&lt;="" &amp; A143) &lt; 30, AVERAGEIF($C$2:C143, C143, $G$2:G143), AVERAGE(FILTER($G$2:G143, $C$2:C143 = C143, $A$2:A143 &gt;= A143 - 30)))
"),"#DIV/0!")</f>
        <v>#DIV/0!</v>
      </c>
      <c r="I143" s="20" t="e">
        <f t="shared" ca="1" si="1"/>
        <v>#DIV/0!</v>
      </c>
      <c r="J143" s="20" t="str">
        <f ca="1">IFERROR(__xludf.DUMMYFUNCTION("IF(OR($I143=2, $I143=3), 0, IFERROR(COUNTIFS($C$2:C143, $C143, $A$2:A144, ""&gt;""&amp;IFERROR(MAX(FILTER($A$2:A144, $C$2:C143=$C143, $I$2:I143&lt;&gt;1)), 0), $I$2:I143, 1),1))
"),"#DIV/0!")</f>
        <v>#DIV/0!</v>
      </c>
      <c r="K143" s="20" t="e">
        <f t="shared" ca="1" si="2"/>
        <v>#DIV/0!</v>
      </c>
      <c r="L143" s="20" t="e">
        <f t="shared" ca="1" si="3"/>
        <v>#DIV/0!</v>
      </c>
      <c r="M143" s="21" t="e">
        <f t="shared" ca="1" si="4"/>
        <v>#DIV/0!</v>
      </c>
      <c r="N143" s="36" t="str">
        <f ca="1">IFERROR(__xludf.DUMMYFUNCTION("IF(COUNTIFS($C$2:C143, C143, $A$2:A143, ""&lt;="" &amp; A143) &lt; 30, STDEV.P(FILTER($G$2:G143, $C$2:C143 = C143)), STDEV.P(FILTER($G$2:G143, $C$2:C143 = C143, $A$2:A143 &gt;= A143 - 30)))
"),"#DIV/0!")</f>
        <v>#DIV/0!</v>
      </c>
    </row>
    <row r="144" spans="1:14" x14ac:dyDescent="0.2">
      <c r="A144" s="34"/>
      <c r="B144" s="7"/>
      <c r="C144" s="35"/>
      <c r="D144" s="20"/>
      <c r="E144" s="20"/>
      <c r="F144" s="20"/>
      <c r="G144" s="19" t="e">
        <f t="shared" si="0"/>
        <v>#DIV/0!</v>
      </c>
      <c r="H144" s="20" t="str">
        <f ca="1">IFERROR(__xludf.DUMMYFUNCTION("IF(COUNTIFS($C$2:C144, C144, $A$2:A144, ""&lt;="" &amp; A144) &lt; 30, AVERAGEIF($C$2:C144, C144, $G$2:G144), AVERAGE(FILTER($G$2:G144, $C$2:C144 = C144, $A$2:A144 &gt;= A144 - 30)))
"),"#DIV/0!")</f>
        <v>#DIV/0!</v>
      </c>
      <c r="I144" s="20" t="e">
        <f t="shared" ca="1" si="1"/>
        <v>#DIV/0!</v>
      </c>
      <c r="J144" s="20" t="str">
        <f ca="1">IFERROR(__xludf.DUMMYFUNCTION("IF(OR($I144=2, $I144=3), 0, IFERROR(COUNTIFS($C$2:C144, $C144, $A$2:A145, ""&gt;""&amp;IFERROR(MAX(FILTER($A$2:A145, $C$2:C144=$C144, $I$2:I144&lt;&gt;1)), 0), $I$2:I144, 1),1))
"),"#DIV/0!")</f>
        <v>#DIV/0!</v>
      </c>
      <c r="K144" s="20" t="e">
        <f t="shared" ca="1" si="2"/>
        <v>#DIV/0!</v>
      </c>
      <c r="L144" s="20" t="e">
        <f t="shared" ca="1" si="3"/>
        <v>#DIV/0!</v>
      </c>
      <c r="M144" s="21" t="e">
        <f t="shared" ca="1" si="4"/>
        <v>#DIV/0!</v>
      </c>
      <c r="N144" s="36" t="str">
        <f ca="1">IFERROR(__xludf.DUMMYFUNCTION("IF(COUNTIFS($C$2:C144, C144, $A$2:A144, ""&lt;="" &amp; A144) &lt; 30, STDEV.P(FILTER($G$2:G144, $C$2:C144 = C144)), STDEV.P(FILTER($G$2:G144, $C$2:C144 = C144, $A$2:A144 &gt;= A144 - 30)))
"),"#DIV/0!")</f>
        <v>#DIV/0!</v>
      </c>
    </row>
    <row r="145" spans="1:14" x14ac:dyDescent="0.2">
      <c r="A145" s="34"/>
      <c r="B145" s="5"/>
      <c r="C145" s="35"/>
      <c r="D145" s="19"/>
      <c r="E145" s="19"/>
      <c r="F145" s="19"/>
      <c r="G145" s="19" t="e">
        <f t="shared" si="0"/>
        <v>#DIV/0!</v>
      </c>
      <c r="H145" s="20" t="str">
        <f ca="1">IFERROR(__xludf.DUMMYFUNCTION("IF(COUNTIFS($C$2:C145, C145, $A$2:A145, ""&lt;="" &amp; A145) &lt; 30, AVERAGEIF($C$2:C145, C145, $G$2:G145), AVERAGE(FILTER($G$2:G145, $C$2:C145 = C145, $A$2:A145 &gt;= A145 - 30)))
"),"#DIV/0!")</f>
        <v>#DIV/0!</v>
      </c>
      <c r="I145" s="20" t="e">
        <f t="shared" ca="1" si="1"/>
        <v>#DIV/0!</v>
      </c>
      <c r="J145" s="20" t="str">
        <f ca="1">IFERROR(__xludf.DUMMYFUNCTION("IF(OR($I145=2, $I145=3), 0, IFERROR(COUNTIFS($C$2:C145, $C145, $A$2:A146, ""&gt;""&amp;IFERROR(MAX(FILTER($A$2:A146, $C$2:C145=$C145, $I$2:I145&lt;&gt;1)), 0), $I$2:I145, 1),1))
"),"#DIV/0!")</f>
        <v>#DIV/0!</v>
      </c>
      <c r="K145" s="20" t="e">
        <f t="shared" ca="1" si="2"/>
        <v>#DIV/0!</v>
      </c>
      <c r="L145" s="20" t="e">
        <f t="shared" ca="1" si="3"/>
        <v>#DIV/0!</v>
      </c>
      <c r="M145" s="21" t="e">
        <f t="shared" ca="1" si="4"/>
        <v>#DIV/0!</v>
      </c>
      <c r="N145" s="36" t="str">
        <f ca="1">IFERROR(__xludf.DUMMYFUNCTION("IF(COUNTIFS($C$2:C145, C145, $A$2:A145, ""&lt;="" &amp; A145) &lt; 30, STDEV.P(FILTER($G$2:G145, $C$2:C145 = C145)), STDEV.P(FILTER($G$2:G145, $C$2:C145 = C145, $A$2:A145 &gt;= A145 - 30)))
"),"#DIV/0!")</f>
        <v>#DIV/0!</v>
      </c>
    </row>
    <row r="146" spans="1:14" x14ac:dyDescent="0.2">
      <c r="A146" s="34"/>
      <c r="B146" s="5"/>
      <c r="C146" s="35"/>
      <c r="D146" s="19"/>
      <c r="E146" s="19"/>
      <c r="F146" s="19"/>
      <c r="G146" s="19" t="e">
        <f t="shared" si="0"/>
        <v>#DIV/0!</v>
      </c>
      <c r="H146" s="20" t="str">
        <f ca="1">IFERROR(__xludf.DUMMYFUNCTION("IF(COUNTIFS($C$2:C146, C146, $A$2:A146, ""&lt;="" &amp; A146) &lt; 30, AVERAGEIF($C$2:C146, C146, $G$2:G146), AVERAGE(FILTER($G$2:G146, $C$2:C146 = C146, $A$2:A146 &gt;= A146 - 30)))
"),"#DIV/0!")</f>
        <v>#DIV/0!</v>
      </c>
      <c r="I146" s="20" t="e">
        <f t="shared" ca="1" si="1"/>
        <v>#DIV/0!</v>
      </c>
      <c r="J146" s="20" t="str">
        <f ca="1">IFERROR(__xludf.DUMMYFUNCTION("IF(OR($I146=2, $I146=3), 0, IFERROR(COUNTIFS($C$2:C146, $C146, $A$2:A147, ""&gt;""&amp;IFERROR(MAX(FILTER($A$2:A147, $C$2:C146=$C146, $I$2:I146&lt;&gt;1)), 0), $I$2:I146, 1),1))
"),"#DIV/0!")</f>
        <v>#DIV/0!</v>
      </c>
      <c r="K146" s="20" t="e">
        <f t="shared" ca="1" si="2"/>
        <v>#DIV/0!</v>
      </c>
      <c r="L146" s="20" t="e">
        <f t="shared" ca="1" si="3"/>
        <v>#DIV/0!</v>
      </c>
      <c r="M146" s="21" t="e">
        <f t="shared" ca="1" si="4"/>
        <v>#DIV/0!</v>
      </c>
      <c r="N146" s="36" t="str">
        <f ca="1">IFERROR(__xludf.DUMMYFUNCTION("IF(COUNTIFS($C$2:C146, C146, $A$2:A146, ""&lt;="" &amp; A146) &lt; 30, STDEV.P(FILTER($G$2:G146, $C$2:C146 = C146)), STDEV.P(FILTER($G$2:G146, $C$2:C146 = C146, $A$2:A146 &gt;= A146 - 30)))
"),"#DIV/0!")</f>
        <v>#DIV/0!</v>
      </c>
    </row>
    <row r="147" spans="1:14" x14ac:dyDescent="0.2">
      <c r="A147" s="34"/>
      <c r="B147" s="5"/>
      <c r="C147" s="35"/>
      <c r="D147" s="19"/>
      <c r="E147" s="19"/>
      <c r="F147" s="19"/>
      <c r="G147" s="19" t="e">
        <f t="shared" si="0"/>
        <v>#DIV/0!</v>
      </c>
      <c r="H147" s="20" t="str">
        <f ca="1">IFERROR(__xludf.DUMMYFUNCTION("IF(COUNTIFS($C$2:C147, C147, $A$2:A147, ""&lt;="" &amp; A147) &lt; 30, AVERAGEIF($C$2:C147, C147, $G$2:G147), AVERAGE(FILTER($G$2:G147, $C$2:C147 = C147, $A$2:A147 &gt;= A147 - 30)))
"),"#DIV/0!")</f>
        <v>#DIV/0!</v>
      </c>
      <c r="I147" s="20" t="e">
        <f t="shared" ca="1" si="1"/>
        <v>#DIV/0!</v>
      </c>
      <c r="J147" s="20" t="str">
        <f ca="1">IFERROR(__xludf.DUMMYFUNCTION("IF(OR($I147=2, $I147=3), 0, IFERROR(COUNTIFS($C$2:C147, $C147, $A$2:A148, ""&gt;""&amp;IFERROR(MAX(FILTER($A$2:A148, $C$2:C147=$C147, $I$2:I147&lt;&gt;1)), 0), $I$2:I147, 1),1))
"),"#DIV/0!")</f>
        <v>#DIV/0!</v>
      </c>
      <c r="K147" s="20" t="e">
        <f t="shared" ca="1" si="2"/>
        <v>#DIV/0!</v>
      </c>
      <c r="L147" s="20" t="e">
        <f t="shared" ca="1" si="3"/>
        <v>#DIV/0!</v>
      </c>
      <c r="M147" s="21" t="e">
        <f t="shared" ca="1" si="4"/>
        <v>#DIV/0!</v>
      </c>
      <c r="N147" s="36" t="str">
        <f ca="1">IFERROR(__xludf.DUMMYFUNCTION("IF(COUNTIFS($C$2:C147, C147, $A$2:A147, ""&lt;="" &amp; A147) &lt; 30, STDEV.P(FILTER($G$2:G147, $C$2:C147 = C147)), STDEV.P(FILTER($G$2:G147, $C$2:C147 = C147, $A$2:A147 &gt;= A147 - 30)))
"),"#DIV/0!")</f>
        <v>#DIV/0!</v>
      </c>
    </row>
    <row r="148" spans="1:14" x14ac:dyDescent="0.2">
      <c r="A148" s="34"/>
      <c r="B148" s="5"/>
      <c r="C148" s="35"/>
      <c r="D148" s="19"/>
      <c r="E148" s="19"/>
      <c r="F148" s="19"/>
      <c r="G148" s="19" t="e">
        <f t="shared" si="0"/>
        <v>#DIV/0!</v>
      </c>
      <c r="H148" s="20" t="str">
        <f ca="1">IFERROR(__xludf.DUMMYFUNCTION("IF(COUNTIFS($C$2:C148, C148, $A$2:A148, ""&lt;="" &amp; A148) &lt; 30, AVERAGEIF($C$2:C148, C148, $G$2:G148), AVERAGE(FILTER($G$2:G148, $C$2:C148 = C148, $A$2:A148 &gt;= A148 - 30)))
"),"#DIV/0!")</f>
        <v>#DIV/0!</v>
      </c>
      <c r="I148" s="20" t="e">
        <f t="shared" ca="1" si="1"/>
        <v>#DIV/0!</v>
      </c>
      <c r="J148" s="20" t="str">
        <f ca="1">IFERROR(__xludf.DUMMYFUNCTION("IF(OR($I148=2, $I148=3), 0, IFERROR(COUNTIFS($C$2:C148, $C148, $A$2:A149, ""&gt;""&amp;IFERROR(MAX(FILTER($A$2:A149, $C$2:C148=$C148, $I$2:I148&lt;&gt;1)), 0), $I$2:I148, 1),1))
"),"#DIV/0!")</f>
        <v>#DIV/0!</v>
      </c>
      <c r="K148" s="20" t="e">
        <f t="shared" ca="1" si="2"/>
        <v>#DIV/0!</v>
      </c>
      <c r="L148" s="20" t="e">
        <f t="shared" ca="1" si="3"/>
        <v>#DIV/0!</v>
      </c>
      <c r="M148" s="21" t="e">
        <f t="shared" ca="1" si="4"/>
        <v>#DIV/0!</v>
      </c>
      <c r="N148" s="36" t="str">
        <f ca="1">IFERROR(__xludf.DUMMYFUNCTION("IF(COUNTIFS($C$2:C148, C148, $A$2:A148, ""&lt;="" &amp; A148) &lt; 30, STDEV.P(FILTER($G$2:G148, $C$2:C148 = C148)), STDEV.P(FILTER($G$2:G148, $C$2:C148 = C148, $A$2:A148 &gt;= A148 - 30)))
"),"#DIV/0!")</f>
        <v>#DIV/0!</v>
      </c>
    </row>
    <row r="149" spans="1:14" x14ac:dyDescent="0.2">
      <c r="A149" s="37"/>
      <c r="B149" s="5"/>
      <c r="C149" s="35"/>
      <c r="D149" s="19"/>
      <c r="E149" s="19"/>
      <c r="F149" s="19"/>
      <c r="G149" s="19" t="e">
        <f t="shared" si="0"/>
        <v>#DIV/0!</v>
      </c>
      <c r="H149" s="20" t="str">
        <f ca="1">IFERROR(__xludf.DUMMYFUNCTION("IF(COUNTIFS($C$2:C149, C149, $A$2:A149, ""&lt;="" &amp; A149) &lt; 30, AVERAGEIF($C$2:C149, C149, $G$2:G149), AVERAGE(FILTER($G$2:G149, $C$2:C149 = C149, $A$2:A149 &gt;= A149 - 30)))
"),"#DIV/0!")</f>
        <v>#DIV/0!</v>
      </c>
      <c r="I149" s="20" t="e">
        <f t="shared" ca="1" si="1"/>
        <v>#DIV/0!</v>
      </c>
      <c r="J149" s="20" t="str">
        <f ca="1">IFERROR(__xludf.DUMMYFUNCTION("IF(OR($I149=2, $I149=3), 0, IFERROR(COUNTIFS($C$2:C149, $C149, $A$2:A150, ""&gt;""&amp;IFERROR(MAX(FILTER($A$2:A150, $C$2:C149=$C149, $I$2:I149&lt;&gt;1)), 0), $I$2:I149, 1),1))
"),"#DIV/0!")</f>
        <v>#DIV/0!</v>
      </c>
      <c r="K149" s="20" t="e">
        <f t="shared" ca="1" si="2"/>
        <v>#DIV/0!</v>
      </c>
      <c r="L149" s="20" t="e">
        <f t="shared" ca="1" si="3"/>
        <v>#DIV/0!</v>
      </c>
      <c r="M149" s="21" t="e">
        <f t="shared" ca="1" si="4"/>
        <v>#DIV/0!</v>
      </c>
      <c r="N149" s="36" t="str">
        <f ca="1">IFERROR(__xludf.DUMMYFUNCTION("IF(COUNTIFS($C$2:C149, C149, $A$2:A149, ""&lt;="" &amp; A149) &lt; 30, STDEV.P(FILTER($G$2:G149, $C$2:C149 = C149)), STDEV.P(FILTER($G$2:G149, $C$2:C149 = C149, $A$2:A149 &gt;= A149 - 30)))
"),"#DIV/0!")</f>
        <v>#DIV/0!</v>
      </c>
    </row>
    <row r="150" spans="1:14" x14ac:dyDescent="0.2">
      <c r="A150" s="37"/>
      <c r="B150" s="5"/>
      <c r="C150" s="35"/>
      <c r="D150" s="19"/>
      <c r="E150" s="19"/>
      <c r="F150" s="19"/>
      <c r="G150" s="19" t="e">
        <f t="shared" si="0"/>
        <v>#DIV/0!</v>
      </c>
      <c r="H150" s="20" t="str">
        <f ca="1">IFERROR(__xludf.DUMMYFUNCTION("IF(COUNTIFS($C$2:C150, C150, $A$2:A150, ""&lt;="" &amp; A150) &lt; 30, AVERAGEIF($C$2:C150, C150, $G$2:G150), AVERAGE(FILTER($G$2:G150, $C$2:C150 = C150, $A$2:A150 &gt;= A150 - 30)))
"),"#DIV/0!")</f>
        <v>#DIV/0!</v>
      </c>
      <c r="I150" s="20" t="e">
        <f t="shared" ca="1" si="1"/>
        <v>#DIV/0!</v>
      </c>
      <c r="J150" s="20" t="str">
        <f ca="1">IFERROR(__xludf.DUMMYFUNCTION("IF(OR($I150=2, $I150=3), 0, IFERROR(COUNTIFS($C$2:C150, $C150, $A$2:A151, ""&gt;""&amp;IFERROR(MAX(FILTER($A$2:A151, $C$2:C150=$C150, $I$2:I150&lt;&gt;1)), 0), $I$2:I150, 1),1))
"),"#DIV/0!")</f>
        <v>#DIV/0!</v>
      </c>
      <c r="K150" s="20" t="e">
        <f t="shared" ca="1" si="2"/>
        <v>#DIV/0!</v>
      </c>
      <c r="L150" s="20" t="e">
        <f t="shared" ca="1" si="3"/>
        <v>#DIV/0!</v>
      </c>
      <c r="M150" s="21" t="e">
        <f t="shared" ca="1" si="4"/>
        <v>#DIV/0!</v>
      </c>
      <c r="N150" s="36" t="str">
        <f ca="1">IFERROR(__xludf.DUMMYFUNCTION("IF(COUNTIFS($C$2:C150, C150, $A$2:A150, ""&lt;="" &amp; A150) &lt; 30, STDEV.P(FILTER($G$2:G150, $C$2:C150 = C150)), STDEV.P(FILTER($G$2:G150, $C$2:C150 = C150, $A$2:A150 &gt;= A150 - 30)))
"),"#DIV/0!")</f>
        <v>#DIV/0!</v>
      </c>
    </row>
    <row r="151" spans="1:14" x14ac:dyDescent="0.2">
      <c r="A151" s="37"/>
      <c r="B151" s="7"/>
      <c r="C151" s="35"/>
      <c r="D151" s="20"/>
      <c r="E151" s="20"/>
      <c r="F151" s="20"/>
      <c r="G151" s="19" t="e">
        <f t="shared" si="0"/>
        <v>#DIV/0!</v>
      </c>
      <c r="H151" s="20" t="str">
        <f ca="1">IFERROR(__xludf.DUMMYFUNCTION("IF(COUNTIFS($C$2:C151, C151, $A$2:A151, ""&lt;="" &amp; A151) &lt; 30, AVERAGEIF($C$2:C151, C151, $G$2:G151), AVERAGE(FILTER($G$2:G151, $C$2:C151 = C151, $A$2:A151 &gt;= A151 - 30)))
"),"#DIV/0!")</f>
        <v>#DIV/0!</v>
      </c>
      <c r="I151" s="20" t="e">
        <f t="shared" ca="1" si="1"/>
        <v>#DIV/0!</v>
      </c>
      <c r="J151" s="20" t="str">
        <f ca="1">IFERROR(__xludf.DUMMYFUNCTION("IF(OR($I151=2, $I151=3), 0, IFERROR(COUNTIFS($C$2:C151, $C151, $A$2:A152, ""&gt;""&amp;IFERROR(MAX(FILTER($A$2:A152, $C$2:C151=$C151, $I$2:I151&lt;&gt;1)), 0), $I$2:I151, 1),1))
"),"#DIV/0!")</f>
        <v>#DIV/0!</v>
      </c>
      <c r="K151" s="20" t="e">
        <f t="shared" ca="1" si="2"/>
        <v>#DIV/0!</v>
      </c>
      <c r="L151" s="20" t="e">
        <f t="shared" ca="1" si="3"/>
        <v>#DIV/0!</v>
      </c>
      <c r="M151" s="21" t="e">
        <f t="shared" ca="1" si="4"/>
        <v>#DIV/0!</v>
      </c>
      <c r="N151" s="36" t="str">
        <f ca="1">IFERROR(__xludf.DUMMYFUNCTION("IF(COUNTIFS($C$2:C151, C151, $A$2:A151, ""&lt;="" &amp; A151) &lt; 30, STDEV.P(FILTER($G$2:G151, $C$2:C151 = C151)), STDEV.P(FILTER($G$2:G151, $C$2:C151 = C151, $A$2:A151 &gt;= A151 - 30)))
"),"#DIV/0!")</f>
        <v>#DIV/0!</v>
      </c>
    </row>
    <row r="152" spans="1:14" x14ac:dyDescent="0.2">
      <c r="A152" s="37"/>
      <c r="B152" s="5"/>
      <c r="C152" s="35"/>
      <c r="D152" s="19"/>
      <c r="E152" s="19"/>
      <c r="F152" s="19"/>
      <c r="G152" s="19" t="e">
        <f t="shared" si="0"/>
        <v>#DIV/0!</v>
      </c>
      <c r="H152" s="20" t="str">
        <f ca="1">IFERROR(__xludf.DUMMYFUNCTION("IF(COUNTIFS($C$2:C152, C152, $A$2:A152, ""&lt;="" &amp; A152) &lt; 30, AVERAGEIF($C$2:C152, C152, $G$2:G152), AVERAGE(FILTER($G$2:G152, $C$2:C152 = C152, $A$2:A152 &gt;= A152 - 30)))
"),"#DIV/0!")</f>
        <v>#DIV/0!</v>
      </c>
      <c r="I152" s="20" t="e">
        <f t="shared" ca="1" si="1"/>
        <v>#DIV/0!</v>
      </c>
      <c r="J152" s="20" t="str">
        <f ca="1">IFERROR(__xludf.DUMMYFUNCTION("IF(OR($I152=2, $I152=3), 0, IFERROR(COUNTIFS($C$2:C152, $C152, $A$2:A153, ""&gt;""&amp;IFERROR(MAX(FILTER($A$2:A153, $C$2:C152=$C152, $I$2:I152&lt;&gt;1)), 0), $I$2:I152, 1),1))
"),"#DIV/0!")</f>
        <v>#DIV/0!</v>
      </c>
      <c r="K152" s="20" t="e">
        <f t="shared" ca="1" si="2"/>
        <v>#DIV/0!</v>
      </c>
      <c r="L152" s="20" t="e">
        <f t="shared" ca="1" si="3"/>
        <v>#DIV/0!</v>
      </c>
      <c r="M152" s="21" t="e">
        <f t="shared" ca="1" si="4"/>
        <v>#DIV/0!</v>
      </c>
      <c r="N152" s="36" t="str">
        <f ca="1">IFERROR(__xludf.DUMMYFUNCTION("IF(COUNTIFS($C$2:C152, C152, $A$2:A152, ""&lt;="" &amp; A152) &lt; 30, STDEV.P(FILTER($G$2:G152, $C$2:C152 = C152)), STDEV.P(FILTER($G$2:G152, $C$2:C152 = C152, $A$2:A152 &gt;= A152 - 30)))
"),"#DIV/0!")</f>
        <v>#DIV/0!</v>
      </c>
    </row>
    <row r="153" spans="1:14" x14ac:dyDescent="0.2">
      <c r="A153" s="37"/>
      <c r="B153" s="5"/>
      <c r="C153" s="35"/>
      <c r="D153" s="19"/>
      <c r="E153" s="19"/>
      <c r="F153" s="19"/>
      <c r="G153" s="19" t="e">
        <f t="shared" si="0"/>
        <v>#DIV/0!</v>
      </c>
      <c r="H153" s="20" t="str">
        <f ca="1">IFERROR(__xludf.DUMMYFUNCTION("IF(COUNTIFS($C$2:C153, C153, $A$2:A153, ""&lt;="" &amp; A153) &lt; 30, AVERAGEIF($C$2:C153, C153, $G$2:G153), AVERAGE(FILTER($G$2:G153, $C$2:C153 = C153, $A$2:A153 &gt;= A153 - 30)))
"),"#DIV/0!")</f>
        <v>#DIV/0!</v>
      </c>
      <c r="I153" s="20" t="e">
        <f t="shared" ca="1" si="1"/>
        <v>#DIV/0!</v>
      </c>
      <c r="J153" s="20" t="str">
        <f ca="1">IFERROR(__xludf.DUMMYFUNCTION("IF(OR($I153=2, $I153=3), 0, IFERROR(COUNTIFS($C$2:C153, $C153, $A$2:A154, ""&gt;""&amp;IFERROR(MAX(FILTER($A$2:A154, $C$2:C153=$C153, $I$2:I153&lt;&gt;1)), 0), $I$2:I153, 1),1))
"),"#DIV/0!")</f>
        <v>#DIV/0!</v>
      </c>
      <c r="K153" s="20" t="e">
        <f t="shared" ca="1" si="2"/>
        <v>#DIV/0!</v>
      </c>
      <c r="L153" s="20" t="e">
        <f t="shared" ca="1" si="3"/>
        <v>#DIV/0!</v>
      </c>
      <c r="M153" s="21" t="e">
        <f t="shared" ca="1" si="4"/>
        <v>#DIV/0!</v>
      </c>
      <c r="N153" s="36" t="str">
        <f ca="1">IFERROR(__xludf.DUMMYFUNCTION("IF(COUNTIFS($C$2:C153, C153, $A$2:A153, ""&lt;="" &amp; A153) &lt; 30, STDEV.P(FILTER($G$2:G153, $C$2:C153 = C153)), STDEV.P(FILTER($G$2:G153, $C$2:C153 = C153, $A$2:A153 &gt;= A153 - 30)))
"),"#DIV/0!")</f>
        <v>#DIV/0!</v>
      </c>
    </row>
    <row r="154" spans="1:14" x14ac:dyDescent="0.2">
      <c r="A154" s="37"/>
      <c r="B154" s="5"/>
      <c r="C154" s="35"/>
      <c r="D154" s="19"/>
      <c r="E154" s="19"/>
      <c r="F154" s="19"/>
      <c r="G154" s="19" t="e">
        <f t="shared" si="0"/>
        <v>#DIV/0!</v>
      </c>
      <c r="H154" s="20" t="str">
        <f ca="1">IFERROR(__xludf.DUMMYFUNCTION("IF(COUNTIFS($C$2:C154, C154, $A$2:A154, ""&lt;="" &amp; A154) &lt; 30, AVERAGEIF($C$2:C154, C154, $G$2:G154), AVERAGE(FILTER($G$2:G154, $C$2:C154 = C154, $A$2:A154 &gt;= A154 - 30)))
"),"#DIV/0!")</f>
        <v>#DIV/0!</v>
      </c>
      <c r="I154" s="20" t="e">
        <f t="shared" ca="1" si="1"/>
        <v>#DIV/0!</v>
      </c>
      <c r="J154" s="20" t="str">
        <f ca="1">IFERROR(__xludf.DUMMYFUNCTION("IF(OR($I154=2, $I154=3), 0, IFERROR(COUNTIFS($C$2:C154, $C154, $A$2:A155, ""&gt;""&amp;IFERROR(MAX(FILTER($A$2:A155, $C$2:C154=$C154, $I$2:I154&lt;&gt;1)), 0), $I$2:I154, 1),1))
"),"#DIV/0!")</f>
        <v>#DIV/0!</v>
      </c>
      <c r="K154" s="20" t="e">
        <f t="shared" ca="1" si="2"/>
        <v>#DIV/0!</v>
      </c>
      <c r="L154" s="20" t="e">
        <f t="shared" ca="1" si="3"/>
        <v>#DIV/0!</v>
      </c>
      <c r="M154" s="21" t="e">
        <f t="shared" ca="1" si="4"/>
        <v>#DIV/0!</v>
      </c>
      <c r="N154" s="36" t="str">
        <f ca="1">IFERROR(__xludf.DUMMYFUNCTION("IF(COUNTIFS($C$2:C154, C154, $A$2:A154, ""&lt;="" &amp; A154) &lt; 30, STDEV.P(FILTER($G$2:G154, $C$2:C154 = C154)), STDEV.P(FILTER($G$2:G154, $C$2:C154 = C154, $A$2:A154 &gt;= A154 - 30)))
"),"#DIV/0!")</f>
        <v>#DIV/0!</v>
      </c>
    </row>
    <row r="155" spans="1:14" x14ac:dyDescent="0.2">
      <c r="A155" s="37"/>
      <c r="B155" s="5"/>
      <c r="C155" s="35"/>
      <c r="D155" s="19"/>
      <c r="E155" s="19"/>
      <c r="F155" s="19"/>
      <c r="G155" s="19" t="e">
        <f t="shared" si="0"/>
        <v>#DIV/0!</v>
      </c>
      <c r="H155" s="20" t="str">
        <f ca="1">IFERROR(__xludf.DUMMYFUNCTION("IF(COUNTIFS($C$2:C155, C155, $A$2:A155, ""&lt;="" &amp; A155) &lt; 30, AVERAGEIF($C$2:C155, C155, $G$2:G155), AVERAGE(FILTER($G$2:G155, $C$2:C155 = C155, $A$2:A155 &gt;= A155 - 30)))
"),"#DIV/0!")</f>
        <v>#DIV/0!</v>
      </c>
      <c r="I155" s="20" t="e">
        <f t="shared" ca="1" si="1"/>
        <v>#DIV/0!</v>
      </c>
      <c r="J155" s="20" t="str">
        <f ca="1">IFERROR(__xludf.DUMMYFUNCTION("IF(OR($I155=2, $I155=3), 0, IFERROR(COUNTIFS($C$2:C155, $C155, $A$2:A156, ""&gt;""&amp;IFERROR(MAX(FILTER($A$2:A156, $C$2:C155=$C155, $I$2:I155&lt;&gt;1)), 0), $I$2:I155, 1),1))
"),"#DIV/0!")</f>
        <v>#DIV/0!</v>
      </c>
      <c r="K155" s="20" t="e">
        <f t="shared" ca="1" si="2"/>
        <v>#DIV/0!</v>
      </c>
      <c r="L155" s="20" t="e">
        <f t="shared" ca="1" si="3"/>
        <v>#DIV/0!</v>
      </c>
      <c r="M155" s="21" t="e">
        <f t="shared" ca="1" si="4"/>
        <v>#DIV/0!</v>
      </c>
      <c r="N155" s="36" t="str">
        <f ca="1">IFERROR(__xludf.DUMMYFUNCTION("IF(COUNTIFS($C$2:C155, C155, $A$2:A155, ""&lt;="" &amp; A155) &lt; 30, STDEV.P(FILTER($G$2:G155, $C$2:C155 = C155)), STDEV.P(FILTER($G$2:G155, $C$2:C155 = C155, $A$2:A155 &gt;= A155 - 30)))
"),"#DIV/0!")</f>
        <v>#DIV/0!</v>
      </c>
    </row>
    <row r="156" spans="1:14" x14ac:dyDescent="0.2">
      <c r="A156" s="37"/>
      <c r="B156" s="5"/>
      <c r="C156" s="35"/>
      <c r="D156" s="19"/>
      <c r="E156" s="19"/>
      <c r="F156" s="19"/>
      <c r="G156" s="19" t="e">
        <f t="shared" si="0"/>
        <v>#DIV/0!</v>
      </c>
      <c r="H156" s="20" t="str">
        <f ca="1">IFERROR(__xludf.DUMMYFUNCTION("IF(COUNTIFS($C$2:C156, C156, $A$2:A156, ""&lt;="" &amp; A156) &lt; 30, AVERAGEIF($C$2:C156, C156, $G$2:G156), AVERAGE(FILTER($G$2:G156, $C$2:C156 = C156, $A$2:A156 &gt;= A156 - 30)))
"),"#DIV/0!")</f>
        <v>#DIV/0!</v>
      </c>
      <c r="I156" s="20" t="e">
        <f t="shared" ca="1" si="1"/>
        <v>#DIV/0!</v>
      </c>
      <c r="J156" s="20" t="str">
        <f ca="1">IFERROR(__xludf.DUMMYFUNCTION("IF(OR($I156=2, $I156=3), 0, IFERROR(COUNTIFS($C$2:C156, $C156, $A$2:A157, ""&gt;""&amp;IFERROR(MAX(FILTER($A$2:A157, $C$2:C156=$C156, $I$2:I156&lt;&gt;1)), 0), $I$2:I156, 1),1))
"),"#DIV/0!")</f>
        <v>#DIV/0!</v>
      </c>
      <c r="K156" s="20" t="e">
        <f t="shared" ca="1" si="2"/>
        <v>#DIV/0!</v>
      </c>
      <c r="L156" s="20" t="e">
        <f t="shared" ca="1" si="3"/>
        <v>#DIV/0!</v>
      </c>
      <c r="M156" s="21" t="e">
        <f t="shared" ca="1" si="4"/>
        <v>#DIV/0!</v>
      </c>
      <c r="N156" s="36" t="str">
        <f ca="1">IFERROR(__xludf.DUMMYFUNCTION("IF(COUNTIFS($C$2:C156, C156, $A$2:A156, ""&lt;="" &amp; A156) &lt; 30, STDEV.P(FILTER($G$2:G156, $C$2:C156 = C156)), STDEV.P(FILTER($G$2:G156, $C$2:C156 = C156, $A$2:A156 &gt;= A156 - 30)))
"),"#DIV/0!")</f>
        <v>#DIV/0!</v>
      </c>
    </row>
    <row r="157" spans="1:14" x14ac:dyDescent="0.2">
      <c r="A157" s="37"/>
      <c r="B157" s="5"/>
      <c r="C157" s="35"/>
      <c r="D157" s="19"/>
      <c r="E157" s="19"/>
      <c r="F157" s="19"/>
      <c r="G157" s="19" t="e">
        <f t="shared" si="0"/>
        <v>#DIV/0!</v>
      </c>
      <c r="H157" s="20" t="str">
        <f ca="1">IFERROR(__xludf.DUMMYFUNCTION("IF(COUNTIFS($C$2:C157, C157, $A$2:A157, ""&lt;="" &amp; A157) &lt; 30, AVERAGEIF($C$2:C157, C157, $G$2:G157), AVERAGE(FILTER($G$2:G157, $C$2:C157 = C157, $A$2:A157 &gt;= A157 - 30)))
"),"#DIV/0!")</f>
        <v>#DIV/0!</v>
      </c>
      <c r="I157" s="20" t="e">
        <f t="shared" ca="1" si="1"/>
        <v>#DIV/0!</v>
      </c>
      <c r="J157" s="20" t="str">
        <f ca="1">IFERROR(__xludf.DUMMYFUNCTION("IF(OR($I157=2, $I157=3), 0, IFERROR(COUNTIFS($C$2:C157, $C157, $A$2:A158, ""&gt;""&amp;IFERROR(MAX(FILTER($A$2:A158, $C$2:C157=$C157, $I$2:I157&lt;&gt;1)), 0), $I$2:I157, 1),1))
"),"#DIV/0!")</f>
        <v>#DIV/0!</v>
      </c>
      <c r="K157" s="20" t="e">
        <f t="shared" ca="1" si="2"/>
        <v>#DIV/0!</v>
      </c>
      <c r="L157" s="20" t="e">
        <f t="shared" ca="1" si="3"/>
        <v>#DIV/0!</v>
      </c>
      <c r="M157" s="21" t="e">
        <f t="shared" ca="1" si="4"/>
        <v>#DIV/0!</v>
      </c>
      <c r="N157" s="36" t="str">
        <f ca="1">IFERROR(__xludf.DUMMYFUNCTION("IF(COUNTIFS($C$2:C157, C157, $A$2:A157, ""&lt;="" &amp; A157) &lt; 30, STDEV.P(FILTER($G$2:G157, $C$2:C157 = C157)), STDEV.P(FILTER($G$2:G157, $C$2:C157 = C157, $A$2:A157 &gt;= A157 - 30)))
"),"#DIV/0!")</f>
        <v>#DIV/0!</v>
      </c>
    </row>
    <row r="158" spans="1:14" x14ac:dyDescent="0.2">
      <c r="A158" s="37"/>
      <c r="B158" s="5"/>
      <c r="C158" s="35"/>
      <c r="D158" s="19"/>
      <c r="E158" s="19"/>
      <c r="F158" s="19"/>
      <c r="G158" s="19" t="e">
        <f t="shared" si="0"/>
        <v>#DIV/0!</v>
      </c>
      <c r="H158" s="20" t="str">
        <f ca="1">IFERROR(__xludf.DUMMYFUNCTION("IF(COUNTIFS($C$2:C158, C158, $A$2:A158, ""&lt;="" &amp; A158) &lt; 30, AVERAGEIF($C$2:C158, C158, $G$2:G158), AVERAGE(FILTER($G$2:G158, $C$2:C158 = C158, $A$2:A158 &gt;= A158 - 30)))
"),"#DIV/0!")</f>
        <v>#DIV/0!</v>
      </c>
      <c r="I158" s="20" t="e">
        <f t="shared" ca="1" si="1"/>
        <v>#DIV/0!</v>
      </c>
      <c r="J158" s="20" t="str">
        <f ca="1">IFERROR(__xludf.DUMMYFUNCTION("IF(OR($I158=2, $I158=3), 0, IFERROR(COUNTIFS($C$2:C158, $C158, $A$2:A159, ""&gt;""&amp;IFERROR(MAX(FILTER($A$2:A159, $C$2:C158=$C158, $I$2:I158&lt;&gt;1)), 0), $I$2:I158, 1),1))
"),"#DIV/0!")</f>
        <v>#DIV/0!</v>
      </c>
      <c r="K158" s="20" t="e">
        <f t="shared" ca="1" si="2"/>
        <v>#DIV/0!</v>
      </c>
      <c r="L158" s="20" t="e">
        <f t="shared" ca="1" si="3"/>
        <v>#DIV/0!</v>
      </c>
      <c r="M158" s="21" t="e">
        <f t="shared" ca="1" si="4"/>
        <v>#DIV/0!</v>
      </c>
      <c r="N158" s="36" t="str">
        <f ca="1">IFERROR(__xludf.DUMMYFUNCTION("IF(COUNTIFS($C$2:C158, C158, $A$2:A158, ""&lt;="" &amp; A158) &lt; 30, STDEV.P(FILTER($G$2:G158, $C$2:C158 = C158)), STDEV.P(FILTER($G$2:G158, $C$2:C158 = C158, $A$2:A158 &gt;= A158 - 30)))
"),"#DIV/0!")</f>
        <v>#DIV/0!</v>
      </c>
    </row>
    <row r="159" spans="1:14" x14ac:dyDescent="0.2">
      <c r="A159" s="37"/>
      <c r="B159" s="7"/>
      <c r="C159" s="35"/>
      <c r="D159" s="20"/>
      <c r="E159" s="20"/>
      <c r="F159" s="20"/>
      <c r="G159" s="19" t="e">
        <f t="shared" si="0"/>
        <v>#DIV/0!</v>
      </c>
      <c r="H159" s="20" t="str">
        <f ca="1">IFERROR(__xludf.DUMMYFUNCTION("IF(COUNTIFS($C$2:C159, C159, $A$2:A159, ""&lt;="" &amp; A159) &lt; 30, AVERAGEIF($C$2:C159, C159, $G$2:G159), AVERAGE(FILTER($G$2:G159, $C$2:C159 = C159, $A$2:A159 &gt;= A159 - 30)))
"),"#DIV/0!")</f>
        <v>#DIV/0!</v>
      </c>
      <c r="I159" s="20" t="e">
        <f t="shared" ca="1" si="1"/>
        <v>#DIV/0!</v>
      </c>
      <c r="J159" s="20" t="str">
        <f ca="1">IFERROR(__xludf.DUMMYFUNCTION("IF(OR($I159=2, $I159=3), 0, IFERROR(COUNTIFS($C$2:C159, $C159, $A$2:A160, ""&gt;""&amp;IFERROR(MAX(FILTER($A$2:A160, $C$2:C159=$C159, $I$2:I159&lt;&gt;1)), 0), $I$2:I159, 1),1))
"),"#DIV/0!")</f>
        <v>#DIV/0!</v>
      </c>
      <c r="K159" s="20" t="e">
        <f t="shared" ca="1" si="2"/>
        <v>#DIV/0!</v>
      </c>
      <c r="L159" s="20" t="e">
        <f t="shared" ca="1" si="3"/>
        <v>#DIV/0!</v>
      </c>
      <c r="M159" s="21" t="e">
        <f t="shared" ca="1" si="4"/>
        <v>#DIV/0!</v>
      </c>
      <c r="N159" s="36" t="str">
        <f ca="1">IFERROR(__xludf.DUMMYFUNCTION("IF(COUNTIFS($C$2:C159, C159, $A$2:A159, ""&lt;="" &amp; A159) &lt; 30, STDEV.P(FILTER($G$2:G159, $C$2:C159 = C159)), STDEV.P(FILTER($G$2:G159, $C$2:C159 = C159, $A$2:A159 &gt;= A159 - 30)))
"),"#DIV/0!")</f>
        <v>#DIV/0!</v>
      </c>
    </row>
    <row r="160" spans="1:14" x14ac:dyDescent="0.2">
      <c r="A160" s="37"/>
      <c r="B160" s="7"/>
      <c r="C160" s="35"/>
      <c r="D160" s="20"/>
      <c r="E160" s="20"/>
      <c r="F160" s="20"/>
      <c r="G160" s="19" t="e">
        <f t="shared" si="0"/>
        <v>#DIV/0!</v>
      </c>
      <c r="H160" s="20" t="str">
        <f ca="1">IFERROR(__xludf.DUMMYFUNCTION("IF(COUNTIFS($C$2:C160, C160, $A$2:A160, ""&lt;="" &amp; A160) &lt; 30, AVERAGEIF($C$2:C160, C160, $G$2:G160), AVERAGE(FILTER($G$2:G160, $C$2:C160 = C160, $A$2:A160 &gt;= A160 - 30)))
"),"#DIV/0!")</f>
        <v>#DIV/0!</v>
      </c>
      <c r="I160" s="20" t="e">
        <f t="shared" ca="1" si="1"/>
        <v>#DIV/0!</v>
      </c>
      <c r="J160" s="20" t="str">
        <f ca="1">IFERROR(__xludf.DUMMYFUNCTION("IF(OR($I160=2, $I160=3), 0, IFERROR(COUNTIFS($C$2:C160, $C160, $A$2:A161, ""&gt;""&amp;IFERROR(MAX(FILTER($A$2:A161, $C$2:C160=$C160, $I$2:I160&lt;&gt;1)), 0), $I$2:I160, 1),1))
"),"#DIV/0!")</f>
        <v>#DIV/0!</v>
      </c>
      <c r="K160" s="20" t="e">
        <f t="shared" ca="1" si="2"/>
        <v>#DIV/0!</v>
      </c>
      <c r="L160" s="20" t="e">
        <f t="shared" ca="1" si="3"/>
        <v>#DIV/0!</v>
      </c>
      <c r="M160" s="21" t="e">
        <f t="shared" ca="1" si="4"/>
        <v>#DIV/0!</v>
      </c>
      <c r="N160" s="36" t="str">
        <f ca="1">IFERROR(__xludf.DUMMYFUNCTION("IF(COUNTIFS($C$2:C160, C160, $A$2:A160, ""&lt;="" &amp; A160) &lt; 30, STDEV.P(FILTER($G$2:G160, $C$2:C160 = C160)), STDEV.P(FILTER($G$2:G160, $C$2:C160 = C160, $A$2:A160 &gt;= A160 - 30)))
"),"#DIV/0!")</f>
        <v>#DIV/0!</v>
      </c>
    </row>
    <row r="161" spans="1:14" x14ac:dyDescent="0.2">
      <c r="A161" s="37"/>
      <c r="B161" s="7"/>
      <c r="C161" s="35"/>
      <c r="D161" s="20"/>
      <c r="E161" s="20"/>
      <c r="F161" s="20"/>
      <c r="G161" s="19" t="e">
        <f t="shared" si="0"/>
        <v>#DIV/0!</v>
      </c>
      <c r="H161" s="20" t="str">
        <f ca="1">IFERROR(__xludf.DUMMYFUNCTION("IF(COUNTIFS($C$2:C161, C161, $A$2:A161, ""&lt;="" &amp; A161) &lt; 30, AVERAGEIF($C$2:C161, C161, $G$2:G161), AVERAGE(FILTER($G$2:G161, $C$2:C161 = C161, $A$2:A161 &gt;= A161 - 30)))
"),"#DIV/0!")</f>
        <v>#DIV/0!</v>
      </c>
      <c r="I161" s="20" t="e">
        <f t="shared" ca="1" si="1"/>
        <v>#DIV/0!</v>
      </c>
      <c r="J161" s="20" t="str">
        <f ca="1">IFERROR(__xludf.DUMMYFUNCTION("IF(OR($I161=2, $I161=3), 0, IFERROR(COUNTIFS($C$2:C161, $C161, $A$2:A162, ""&gt;""&amp;IFERROR(MAX(FILTER($A$2:A162, $C$2:C161=$C161, $I$2:I161&lt;&gt;1)), 0), $I$2:I161, 1),1))
"),"#DIV/0!")</f>
        <v>#DIV/0!</v>
      </c>
      <c r="K161" s="20" t="e">
        <f t="shared" ca="1" si="2"/>
        <v>#DIV/0!</v>
      </c>
      <c r="L161" s="20" t="e">
        <f t="shared" ca="1" si="3"/>
        <v>#DIV/0!</v>
      </c>
      <c r="M161" s="21" t="e">
        <f t="shared" ca="1" si="4"/>
        <v>#DIV/0!</v>
      </c>
      <c r="N161" s="36" t="str">
        <f ca="1">IFERROR(__xludf.DUMMYFUNCTION("IF(COUNTIFS($C$2:C161, C161, $A$2:A161, ""&lt;="" &amp; A161) &lt; 30, STDEV.P(FILTER($G$2:G161, $C$2:C161 = C161)), STDEV.P(FILTER($G$2:G161, $C$2:C161 = C161, $A$2:A161 &gt;= A161 - 30)))
"),"#DIV/0!")</f>
        <v>#DIV/0!</v>
      </c>
    </row>
    <row r="162" spans="1:14" x14ac:dyDescent="0.2">
      <c r="A162" s="37"/>
      <c r="B162" s="7"/>
      <c r="C162" s="35"/>
      <c r="D162" s="20"/>
      <c r="E162" s="20"/>
      <c r="F162" s="20"/>
      <c r="G162" s="19" t="e">
        <f t="shared" si="0"/>
        <v>#DIV/0!</v>
      </c>
      <c r="H162" s="20" t="str">
        <f ca="1">IFERROR(__xludf.DUMMYFUNCTION("IF(COUNTIFS($C$2:C162, C162, $A$2:A162, ""&lt;="" &amp; A162) &lt; 30, AVERAGEIF($C$2:C162, C162, $G$2:G162), AVERAGE(FILTER($G$2:G162, $C$2:C162 = C162, $A$2:A162 &gt;= A162 - 30)))
"),"#DIV/0!")</f>
        <v>#DIV/0!</v>
      </c>
      <c r="I162" s="20" t="e">
        <f t="shared" ca="1" si="1"/>
        <v>#DIV/0!</v>
      </c>
      <c r="J162" s="20" t="str">
        <f ca="1">IFERROR(__xludf.DUMMYFUNCTION("IF(OR($I162=2, $I162=3), 0, IFERROR(COUNTIFS($C$2:C162, $C162, $A$2:A163, ""&gt;""&amp;IFERROR(MAX(FILTER($A$2:A163, $C$2:C162=$C162, $I$2:I162&lt;&gt;1)), 0), $I$2:I162, 1),1))
"),"#DIV/0!")</f>
        <v>#DIV/0!</v>
      </c>
      <c r="K162" s="20" t="e">
        <f t="shared" ca="1" si="2"/>
        <v>#DIV/0!</v>
      </c>
      <c r="L162" s="20" t="e">
        <f t="shared" ca="1" si="3"/>
        <v>#DIV/0!</v>
      </c>
      <c r="M162" s="21" t="e">
        <f t="shared" ca="1" si="4"/>
        <v>#DIV/0!</v>
      </c>
      <c r="N162" s="36" t="str">
        <f ca="1">IFERROR(__xludf.DUMMYFUNCTION("IF(COUNTIFS($C$2:C162, C162, $A$2:A162, ""&lt;="" &amp; A162) &lt; 30, STDEV.P(FILTER($G$2:G162, $C$2:C162 = C162)), STDEV.P(FILTER($G$2:G162, $C$2:C162 = C162, $A$2:A162 &gt;= A162 - 30)))
"),"#DIV/0!")</f>
        <v>#DIV/0!</v>
      </c>
    </row>
    <row r="163" spans="1:14" x14ac:dyDescent="0.2">
      <c r="A163" s="37"/>
      <c r="B163" s="5"/>
      <c r="C163" s="35"/>
      <c r="D163" s="19"/>
      <c r="E163" s="19"/>
      <c r="F163" s="19"/>
      <c r="G163" s="19" t="e">
        <f t="shared" si="0"/>
        <v>#DIV/0!</v>
      </c>
      <c r="H163" s="20" t="str">
        <f ca="1">IFERROR(__xludf.DUMMYFUNCTION("IF(COUNTIFS($C$2:C163, C163, $A$2:A163, ""&lt;="" &amp; A163) &lt; 30, AVERAGEIF($C$2:C163, C163, $G$2:G163), AVERAGE(FILTER($G$2:G163, $C$2:C163 = C163, $A$2:A163 &gt;= A163 - 30)))
"),"#DIV/0!")</f>
        <v>#DIV/0!</v>
      </c>
      <c r="I163" s="20" t="e">
        <f t="shared" ca="1" si="1"/>
        <v>#DIV/0!</v>
      </c>
      <c r="J163" s="20" t="str">
        <f ca="1">IFERROR(__xludf.DUMMYFUNCTION("IF(OR($I163=2, $I163=3), 0, IFERROR(COUNTIFS($C$2:C163, $C163, $A$2:A164, ""&gt;""&amp;IFERROR(MAX(FILTER($A$2:A164, $C$2:C163=$C163, $I$2:I163&lt;&gt;1)), 0), $I$2:I163, 1),1))
"),"#DIV/0!")</f>
        <v>#DIV/0!</v>
      </c>
      <c r="K163" s="20" t="e">
        <f t="shared" ca="1" si="2"/>
        <v>#DIV/0!</v>
      </c>
      <c r="L163" s="20" t="e">
        <f t="shared" ca="1" si="3"/>
        <v>#DIV/0!</v>
      </c>
      <c r="M163" s="21" t="e">
        <f t="shared" ca="1" si="4"/>
        <v>#DIV/0!</v>
      </c>
      <c r="N163" s="36" t="str">
        <f ca="1">IFERROR(__xludf.DUMMYFUNCTION("IF(COUNTIFS($C$2:C163, C163, $A$2:A163, ""&lt;="" &amp; A163) &lt; 30, STDEV.P(FILTER($G$2:G163, $C$2:C163 = C163)), STDEV.P(FILTER($G$2:G163, $C$2:C163 = C163, $A$2:A163 &gt;= A163 - 30)))
"),"#DIV/0!")</f>
        <v>#DIV/0!</v>
      </c>
    </row>
    <row r="164" spans="1:14" x14ac:dyDescent="0.2">
      <c r="A164" s="37"/>
      <c r="B164" s="5"/>
      <c r="C164" s="35"/>
      <c r="D164" s="19"/>
      <c r="E164" s="19"/>
      <c r="F164" s="19"/>
      <c r="G164" s="19" t="e">
        <f t="shared" si="0"/>
        <v>#DIV/0!</v>
      </c>
      <c r="H164" s="20" t="str">
        <f ca="1">IFERROR(__xludf.DUMMYFUNCTION("IF(COUNTIFS($C$2:C164, C164, $A$2:A164, ""&lt;="" &amp; A164) &lt; 30, AVERAGEIF($C$2:C164, C164, $G$2:G164), AVERAGE(FILTER($G$2:G164, $C$2:C164 = C164, $A$2:A164 &gt;= A164 - 30)))
"),"#DIV/0!")</f>
        <v>#DIV/0!</v>
      </c>
      <c r="I164" s="20" t="e">
        <f t="shared" ca="1" si="1"/>
        <v>#DIV/0!</v>
      </c>
      <c r="J164" s="20" t="str">
        <f ca="1">IFERROR(__xludf.DUMMYFUNCTION("IF(OR($I164=2, $I164=3), 0, IFERROR(COUNTIFS($C$2:C164, $C164, $A$2:A165, ""&gt;""&amp;IFERROR(MAX(FILTER($A$2:A165, $C$2:C164=$C164, $I$2:I164&lt;&gt;1)), 0), $I$2:I164, 1),1))
"),"#DIV/0!")</f>
        <v>#DIV/0!</v>
      </c>
      <c r="K164" s="20" t="e">
        <f t="shared" ca="1" si="2"/>
        <v>#DIV/0!</v>
      </c>
      <c r="L164" s="20" t="e">
        <f t="shared" ca="1" si="3"/>
        <v>#DIV/0!</v>
      </c>
      <c r="M164" s="21" t="e">
        <f t="shared" ca="1" si="4"/>
        <v>#DIV/0!</v>
      </c>
      <c r="N164" s="36" t="str">
        <f ca="1">IFERROR(__xludf.DUMMYFUNCTION("IF(COUNTIFS($C$2:C164, C164, $A$2:A164, ""&lt;="" &amp; A164) &lt; 30, STDEV.P(FILTER($G$2:G164, $C$2:C164 = C164)), STDEV.P(FILTER($G$2:G164, $C$2:C164 = C164, $A$2:A164 &gt;= A164 - 30)))
"),"#DIV/0!")</f>
        <v>#DIV/0!</v>
      </c>
    </row>
    <row r="165" spans="1:14" x14ac:dyDescent="0.2">
      <c r="A165" s="37"/>
      <c r="B165" s="5"/>
      <c r="C165" s="35"/>
      <c r="D165" s="19"/>
      <c r="E165" s="19"/>
      <c r="F165" s="19"/>
      <c r="G165" s="19" t="e">
        <f t="shared" si="0"/>
        <v>#DIV/0!</v>
      </c>
      <c r="H165" s="20" t="str">
        <f ca="1">IFERROR(__xludf.DUMMYFUNCTION("IF(COUNTIFS($C$2:C165, C165, $A$2:A165, ""&lt;="" &amp; A165) &lt; 30, AVERAGEIF($C$2:C165, C165, $G$2:G165), AVERAGE(FILTER($G$2:G165, $C$2:C165 = C165, $A$2:A165 &gt;= A165 - 30)))
"),"#DIV/0!")</f>
        <v>#DIV/0!</v>
      </c>
      <c r="I165" s="20" t="e">
        <f t="shared" ca="1" si="1"/>
        <v>#DIV/0!</v>
      </c>
      <c r="J165" s="20" t="str">
        <f ca="1">IFERROR(__xludf.DUMMYFUNCTION("IF(OR($I165=2, $I165=3), 0, IFERROR(COUNTIFS($C$2:C165, $C165, $A$2:A166, ""&gt;""&amp;IFERROR(MAX(FILTER($A$2:A166, $C$2:C165=$C165, $I$2:I165&lt;&gt;1)), 0), $I$2:I165, 1),1))
"),"#DIV/0!")</f>
        <v>#DIV/0!</v>
      </c>
      <c r="K165" s="20" t="e">
        <f t="shared" ca="1" si="2"/>
        <v>#DIV/0!</v>
      </c>
      <c r="L165" s="20" t="e">
        <f t="shared" ca="1" si="3"/>
        <v>#DIV/0!</v>
      </c>
      <c r="M165" s="21" t="e">
        <f t="shared" ca="1" si="4"/>
        <v>#DIV/0!</v>
      </c>
      <c r="N165" s="36" t="str">
        <f ca="1">IFERROR(__xludf.DUMMYFUNCTION("IF(COUNTIFS($C$2:C165, C165, $A$2:A165, ""&lt;="" &amp; A165) &lt; 30, STDEV.P(FILTER($G$2:G165, $C$2:C165 = C165)), STDEV.P(FILTER($G$2:G165, $C$2:C165 = C165, $A$2:A165 &gt;= A165 - 30)))
"),"#DIV/0!")</f>
        <v>#DIV/0!</v>
      </c>
    </row>
    <row r="166" spans="1:14" x14ac:dyDescent="0.2">
      <c r="A166" s="37"/>
      <c r="B166" s="5"/>
      <c r="C166" s="35"/>
      <c r="D166" s="19"/>
      <c r="E166" s="19"/>
      <c r="F166" s="19"/>
      <c r="G166" s="19" t="e">
        <f t="shared" si="0"/>
        <v>#DIV/0!</v>
      </c>
      <c r="H166" s="20" t="str">
        <f ca="1">IFERROR(__xludf.DUMMYFUNCTION("IF(COUNTIFS($C$2:C166, C166, $A$2:A166, ""&lt;="" &amp; A166) &lt; 30, AVERAGEIF($C$2:C166, C166, $G$2:G166), AVERAGE(FILTER($G$2:G166, $C$2:C166 = C166, $A$2:A166 &gt;= A166 - 30)))
"),"#DIV/0!")</f>
        <v>#DIV/0!</v>
      </c>
      <c r="I166" s="20" t="e">
        <f t="shared" ca="1" si="1"/>
        <v>#DIV/0!</v>
      </c>
      <c r="J166" s="20" t="str">
        <f ca="1">IFERROR(__xludf.DUMMYFUNCTION("IF(OR($I166=2, $I166=3), 0, IFERROR(COUNTIFS($C$2:C166, $C166, $A$2:A167, ""&gt;""&amp;IFERROR(MAX(FILTER($A$2:A167, $C$2:C166=$C166, $I$2:I166&lt;&gt;1)), 0), $I$2:I166, 1),1))
"),"#DIV/0!")</f>
        <v>#DIV/0!</v>
      </c>
      <c r="K166" s="20" t="e">
        <f t="shared" ca="1" si="2"/>
        <v>#DIV/0!</v>
      </c>
      <c r="L166" s="20" t="e">
        <f t="shared" ca="1" si="3"/>
        <v>#DIV/0!</v>
      </c>
      <c r="M166" s="21" t="e">
        <f t="shared" ca="1" si="4"/>
        <v>#DIV/0!</v>
      </c>
      <c r="N166" s="36" t="str">
        <f ca="1">IFERROR(__xludf.DUMMYFUNCTION("IF(COUNTIFS($C$2:C166, C166, $A$2:A166, ""&lt;="" &amp; A166) &lt; 30, STDEV.P(FILTER($G$2:G166, $C$2:C166 = C166)), STDEV.P(FILTER($G$2:G166, $C$2:C166 = C166, $A$2:A166 &gt;= A166 - 30)))
"),"#DIV/0!")</f>
        <v>#DIV/0!</v>
      </c>
    </row>
    <row r="167" spans="1:14" x14ac:dyDescent="0.2">
      <c r="A167" s="37"/>
      <c r="B167" s="5"/>
      <c r="C167" s="35"/>
      <c r="D167" s="19"/>
      <c r="E167" s="19"/>
      <c r="F167" s="19"/>
      <c r="G167" s="19" t="e">
        <f t="shared" si="0"/>
        <v>#DIV/0!</v>
      </c>
      <c r="H167" s="20" t="str">
        <f ca="1">IFERROR(__xludf.DUMMYFUNCTION("IF(COUNTIFS($C$2:C167, C167, $A$2:A167, ""&lt;="" &amp; A167) &lt; 30, AVERAGEIF($C$2:C167, C167, $G$2:G167), AVERAGE(FILTER($G$2:G167, $C$2:C167 = C167, $A$2:A167 &gt;= A167 - 30)))
"),"#DIV/0!")</f>
        <v>#DIV/0!</v>
      </c>
      <c r="I167" s="20" t="e">
        <f t="shared" ca="1" si="1"/>
        <v>#DIV/0!</v>
      </c>
      <c r="J167" s="20" t="str">
        <f ca="1">IFERROR(__xludf.DUMMYFUNCTION("IF(OR($I167=2, $I167=3), 0, IFERROR(COUNTIFS($C$2:C167, $C167, $A$2:A168, ""&gt;""&amp;IFERROR(MAX(FILTER($A$2:A168, $C$2:C167=$C167, $I$2:I167&lt;&gt;1)), 0), $I$2:I167, 1),1))
"),"#DIV/0!")</f>
        <v>#DIV/0!</v>
      </c>
      <c r="K167" s="20" t="e">
        <f t="shared" ca="1" si="2"/>
        <v>#DIV/0!</v>
      </c>
      <c r="L167" s="20" t="e">
        <f t="shared" ca="1" si="3"/>
        <v>#DIV/0!</v>
      </c>
      <c r="M167" s="21" t="e">
        <f t="shared" ca="1" si="4"/>
        <v>#DIV/0!</v>
      </c>
      <c r="N167" s="36" t="str">
        <f ca="1">IFERROR(__xludf.DUMMYFUNCTION("IF(COUNTIFS($C$2:C167, C167, $A$2:A167, ""&lt;="" &amp; A167) &lt; 30, STDEV.P(FILTER($G$2:G167, $C$2:C167 = C167)), STDEV.P(FILTER($G$2:G167, $C$2:C167 = C167, $A$2:A167 &gt;= A167 - 30)))
"),"#DIV/0!")</f>
        <v>#DIV/0!</v>
      </c>
    </row>
    <row r="168" spans="1:14" x14ac:dyDescent="0.2">
      <c r="A168" s="37"/>
      <c r="B168" s="5"/>
      <c r="C168" s="35"/>
      <c r="D168" s="19"/>
      <c r="E168" s="19"/>
      <c r="F168" s="19"/>
      <c r="G168" s="19" t="e">
        <f t="shared" si="0"/>
        <v>#DIV/0!</v>
      </c>
      <c r="H168" s="20" t="str">
        <f ca="1">IFERROR(__xludf.DUMMYFUNCTION("IF(COUNTIFS($C$2:C168, C168, $A$2:A168, ""&lt;="" &amp; A168) &lt; 30, AVERAGEIF($C$2:C168, C168, $G$2:G168), AVERAGE(FILTER($G$2:G168, $C$2:C168 = C168, $A$2:A168 &gt;= A168 - 30)))
"),"#DIV/0!")</f>
        <v>#DIV/0!</v>
      </c>
      <c r="I168" s="20" t="e">
        <f t="shared" ca="1" si="1"/>
        <v>#DIV/0!</v>
      </c>
      <c r="J168" s="20" t="str">
        <f ca="1">IFERROR(__xludf.DUMMYFUNCTION("IF(OR($I168=2, $I168=3), 0, IFERROR(COUNTIFS($C$2:C168, $C168, $A$2:A169, ""&gt;""&amp;IFERROR(MAX(FILTER($A$2:A169, $C$2:C168=$C168, $I$2:I168&lt;&gt;1)), 0), $I$2:I168, 1),1))
"),"#DIV/0!")</f>
        <v>#DIV/0!</v>
      </c>
      <c r="K168" s="20" t="e">
        <f t="shared" ca="1" si="2"/>
        <v>#DIV/0!</v>
      </c>
      <c r="L168" s="20" t="e">
        <f t="shared" ca="1" si="3"/>
        <v>#DIV/0!</v>
      </c>
      <c r="M168" s="21" t="e">
        <f t="shared" ca="1" si="4"/>
        <v>#DIV/0!</v>
      </c>
      <c r="N168" s="36" t="str">
        <f ca="1">IFERROR(__xludf.DUMMYFUNCTION("IF(COUNTIFS($C$2:C168, C168, $A$2:A168, ""&lt;="" &amp; A168) &lt; 30, STDEV.P(FILTER($G$2:G168, $C$2:C168 = C168)), STDEV.P(FILTER($G$2:G168, $C$2:C168 = C168, $A$2:A168 &gt;= A168 - 30)))
"),"#DIV/0!")</f>
        <v>#DIV/0!</v>
      </c>
    </row>
    <row r="169" spans="1:14" x14ac:dyDescent="0.2">
      <c r="A169" s="37"/>
      <c r="B169" s="7"/>
      <c r="C169" s="35"/>
      <c r="D169" s="20"/>
      <c r="E169" s="20"/>
      <c r="F169" s="20"/>
      <c r="G169" s="19" t="e">
        <f t="shared" si="0"/>
        <v>#DIV/0!</v>
      </c>
      <c r="H169" s="20" t="str">
        <f ca="1">IFERROR(__xludf.DUMMYFUNCTION("IF(COUNTIFS($C$2:C169, C169, $A$2:A169, ""&lt;="" &amp; A169) &lt; 30, AVERAGEIF($C$2:C169, C169, $G$2:G169), AVERAGE(FILTER($G$2:G169, $C$2:C169 = C169, $A$2:A169 &gt;= A169 - 30)))
"),"#DIV/0!")</f>
        <v>#DIV/0!</v>
      </c>
      <c r="I169" s="20" t="e">
        <f t="shared" ca="1" si="1"/>
        <v>#DIV/0!</v>
      </c>
      <c r="J169" s="20" t="str">
        <f ca="1">IFERROR(__xludf.DUMMYFUNCTION("IF(OR($I169=2, $I169=3), 0, IFERROR(COUNTIFS($C$2:C169, $C169, $A$2:A170, ""&gt;""&amp;IFERROR(MAX(FILTER($A$2:A170, $C$2:C169=$C169, $I$2:I169&lt;&gt;1)), 0), $I$2:I169, 1),1))
"),"#DIV/0!")</f>
        <v>#DIV/0!</v>
      </c>
      <c r="K169" s="20" t="e">
        <f t="shared" ca="1" si="2"/>
        <v>#DIV/0!</v>
      </c>
      <c r="L169" s="20" t="e">
        <f t="shared" ca="1" si="3"/>
        <v>#DIV/0!</v>
      </c>
      <c r="M169" s="21" t="e">
        <f t="shared" ca="1" si="4"/>
        <v>#DIV/0!</v>
      </c>
      <c r="N169" s="36" t="str">
        <f ca="1">IFERROR(__xludf.DUMMYFUNCTION("IF(COUNTIFS($C$2:C169, C169, $A$2:A169, ""&lt;="" &amp; A169) &lt; 30, STDEV.P(FILTER($G$2:G169, $C$2:C169 = C169)), STDEV.P(FILTER($G$2:G169, $C$2:C169 = C169, $A$2:A169 &gt;= A169 - 30)))
"),"#DIV/0!")</f>
        <v>#DIV/0!</v>
      </c>
    </row>
    <row r="170" spans="1:14" x14ac:dyDescent="0.2">
      <c r="A170" s="37"/>
      <c r="B170" s="7"/>
      <c r="C170" s="35"/>
      <c r="D170" s="20"/>
      <c r="E170" s="20"/>
      <c r="F170" s="20"/>
      <c r="G170" s="19" t="e">
        <f t="shared" si="0"/>
        <v>#DIV/0!</v>
      </c>
      <c r="H170" s="20" t="str">
        <f ca="1">IFERROR(__xludf.DUMMYFUNCTION("IF(COUNTIFS($C$2:C170, C170, $A$2:A170, ""&lt;="" &amp; A170) &lt; 30, AVERAGEIF($C$2:C170, C170, $G$2:G170), AVERAGE(FILTER($G$2:G170, $C$2:C170 = C170, $A$2:A170 &gt;= A170 - 30)))
"),"#DIV/0!")</f>
        <v>#DIV/0!</v>
      </c>
      <c r="I170" s="20" t="e">
        <f t="shared" ca="1" si="1"/>
        <v>#DIV/0!</v>
      </c>
      <c r="J170" s="20" t="str">
        <f ca="1">IFERROR(__xludf.DUMMYFUNCTION("IF(OR($I170=2, $I170=3), 0, IFERROR(COUNTIFS($C$2:C170, $C170, $A$2:A171, ""&gt;""&amp;IFERROR(MAX(FILTER($A$2:A171, $C$2:C170=$C170, $I$2:I170&lt;&gt;1)), 0), $I$2:I170, 1),1))
"),"#DIV/0!")</f>
        <v>#DIV/0!</v>
      </c>
      <c r="K170" s="20" t="e">
        <f t="shared" ca="1" si="2"/>
        <v>#DIV/0!</v>
      </c>
      <c r="L170" s="20" t="e">
        <f t="shared" ca="1" si="3"/>
        <v>#DIV/0!</v>
      </c>
      <c r="M170" s="21" t="e">
        <f t="shared" ca="1" si="4"/>
        <v>#DIV/0!</v>
      </c>
      <c r="N170" s="36" t="str">
        <f ca="1">IFERROR(__xludf.DUMMYFUNCTION("IF(COUNTIFS($C$2:C170, C170, $A$2:A170, ""&lt;="" &amp; A170) &lt; 30, STDEV.P(FILTER($G$2:G170, $C$2:C170 = C170)), STDEV.P(FILTER($G$2:G170, $C$2:C170 = C170, $A$2:A170 &gt;= A170 - 30)))
"),"#DIV/0!")</f>
        <v>#DIV/0!</v>
      </c>
    </row>
    <row r="171" spans="1:14" x14ac:dyDescent="0.2">
      <c r="A171" s="37"/>
      <c r="B171" s="7"/>
      <c r="C171" s="35"/>
      <c r="D171" s="20"/>
      <c r="E171" s="20"/>
      <c r="F171" s="20"/>
      <c r="G171" s="19" t="e">
        <f t="shared" si="0"/>
        <v>#DIV/0!</v>
      </c>
      <c r="H171" s="20" t="str">
        <f ca="1">IFERROR(__xludf.DUMMYFUNCTION("IF(COUNTIFS($C$2:C171, C171, $A$2:A171, ""&lt;="" &amp; A171) &lt; 30, AVERAGEIF($C$2:C171, C171, $G$2:G171), AVERAGE(FILTER($G$2:G171, $C$2:C171 = C171, $A$2:A171 &gt;= A171 - 30)))
"),"#DIV/0!")</f>
        <v>#DIV/0!</v>
      </c>
      <c r="I171" s="20" t="e">
        <f t="shared" ca="1" si="1"/>
        <v>#DIV/0!</v>
      </c>
      <c r="J171" s="20" t="str">
        <f ca="1">IFERROR(__xludf.DUMMYFUNCTION("IF(OR($I171=2, $I171=3), 0, IFERROR(COUNTIFS($C$2:C171, $C171, $A$2:A172, ""&gt;""&amp;IFERROR(MAX(FILTER($A$2:A172, $C$2:C171=$C171, $I$2:I171&lt;&gt;1)), 0), $I$2:I171, 1),1))
"),"#DIV/0!")</f>
        <v>#DIV/0!</v>
      </c>
      <c r="K171" s="20" t="e">
        <f t="shared" ca="1" si="2"/>
        <v>#DIV/0!</v>
      </c>
      <c r="L171" s="20" t="e">
        <f t="shared" ca="1" si="3"/>
        <v>#DIV/0!</v>
      </c>
      <c r="M171" s="21" t="e">
        <f t="shared" ca="1" si="4"/>
        <v>#DIV/0!</v>
      </c>
      <c r="N171" s="36" t="str">
        <f ca="1">IFERROR(__xludf.DUMMYFUNCTION("IF(COUNTIFS($C$2:C171, C171, $A$2:A171, ""&lt;="" &amp; A171) &lt; 30, STDEV.P(FILTER($G$2:G171, $C$2:C171 = C171)), STDEV.P(FILTER($G$2:G171, $C$2:C171 = C171, $A$2:A171 &gt;= A171 - 30)))
"),"#DIV/0!")</f>
        <v>#DIV/0!</v>
      </c>
    </row>
    <row r="172" spans="1:14" x14ac:dyDescent="0.2">
      <c r="A172" s="37"/>
      <c r="B172" s="7"/>
      <c r="C172" s="35"/>
      <c r="D172" s="20"/>
      <c r="E172" s="20"/>
      <c r="F172" s="20"/>
      <c r="G172" s="19" t="e">
        <f t="shared" si="0"/>
        <v>#DIV/0!</v>
      </c>
      <c r="H172" s="20" t="str">
        <f ca="1">IFERROR(__xludf.DUMMYFUNCTION("IF(COUNTIFS($C$2:C172, C172, $A$2:A172, ""&lt;="" &amp; A172) &lt; 30, AVERAGEIF($C$2:C172, C172, $G$2:G172), AVERAGE(FILTER($G$2:G172, $C$2:C172 = C172, $A$2:A172 &gt;= A172 - 30)))
"),"#DIV/0!")</f>
        <v>#DIV/0!</v>
      </c>
      <c r="I172" s="20" t="e">
        <f t="shared" ca="1" si="1"/>
        <v>#DIV/0!</v>
      </c>
      <c r="J172" s="20" t="str">
        <f ca="1">IFERROR(__xludf.DUMMYFUNCTION("IF(OR($I172=2, $I172=3), 0, IFERROR(COUNTIFS($C$2:C172, $C172, $A$2:A173, ""&gt;""&amp;IFERROR(MAX(FILTER($A$2:A173, $C$2:C172=$C172, $I$2:I172&lt;&gt;1)), 0), $I$2:I172, 1),1))
"),"#DIV/0!")</f>
        <v>#DIV/0!</v>
      </c>
      <c r="K172" s="20" t="e">
        <f t="shared" ca="1" si="2"/>
        <v>#DIV/0!</v>
      </c>
      <c r="L172" s="20" t="e">
        <f t="shared" ca="1" si="3"/>
        <v>#DIV/0!</v>
      </c>
      <c r="M172" s="21" t="e">
        <f t="shared" ca="1" si="4"/>
        <v>#DIV/0!</v>
      </c>
      <c r="N172" s="36" t="str">
        <f ca="1">IFERROR(__xludf.DUMMYFUNCTION("IF(COUNTIFS($C$2:C172, C172, $A$2:A172, ""&lt;="" &amp; A172) &lt; 30, STDEV.P(FILTER($G$2:G172, $C$2:C172 = C172)), STDEV.P(FILTER($G$2:G172, $C$2:C172 = C172, $A$2:A172 &gt;= A172 - 30)))
"),"#DIV/0!")</f>
        <v>#DIV/0!</v>
      </c>
    </row>
    <row r="173" spans="1:14" x14ac:dyDescent="0.2">
      <c r="A173" s="37"/>
      <c r="B173" s="7"/>
      <c r="C173" s="35"/>
      <c r="D173" s="20"/>
      <c r="E173" s="20"/>
      <c r="F173" s="20"/>
      <c r="G173" s="19" t="e">
        <f t="shared" si="0"/>
        <v>#DIV/0!</v>
      </c>
      <c r="H173" s="20" t="str">
        <f ca="1">IFERROR(__xludf.DUMMYFUNCTION("IF(COUNTIFS($C$2:C173, C173, $A$2:A173, ""&lt;="" &amp; A173) &lt; 30, AVERAGEIF($C$2:C173, C173, $G$2:G173), AVERAGE(FILTER($G$2:G173, $C$2:C173 = C173, $A$2:A173 &gt;= A173 - 30)))
"),"#DIV/0!")</f>
        <v>#DIV/0!</v>
      </c>
      <c r="I173" s="20" t="e">
        <f t="shared" ca="1" si="1"/>
        <v>#DIV/0!</v>
      </c>
      <c r="J173" s="20" t="str">
        <f ca="1">IFERROR(__xludf.DUMMYFUNCTION("IF(OR($I173=2, $I173=3), 0, IFERROR(COUNTIFS($C$2:C173, $C173, $A$2:A174, ""&gt;""&amp;IFERROR(MAX(FILTER($A$2:A174, $C$2:C173=$C173, $I$2:I173&lt;&gt;1)), 0), $I$2:I173, 1),1))
"),"#DIV/0!")</f>
        <v>#DIV/0!</v>
      </c>
      <c r="K173" s="20" t="e">
        <f t="shared" ca="1" si="2"/>
        <v>#DIV/0!</v>
      </c>
      <c r="L173" s="20" t="e">
        <f t="shared" ca="1" si="3"/>
        <v>#DIV/0!</v>
      </c>
      <c r="M173" s="21" t="e">
        <f t="shared" ca="1" si="4"/>
        <v>#DIV/0!</v>
      </c>
      <c r="N173" s="36" t="str">
        <f ca="1">IFERROR(__xludf.DUMMYFUNCTION("IF(COUNTIFS($C$2:C173, C173, $A$2:A173, ""&lt;="" &amp; A173) &lt; 30, STDEV.P(FILTER($G$2:G173, $C$2:C173 = C173)), STDEV.P(FILTER($G$2:G173, $C$2:C173 = C173, $A$2:A173 &gt;= A173 - 30)))
"),"#DIV/0!")</f>
        <v>#DIV/0!</v>
      </c>
    </row>
    <row r="174" spans="1:14" x14ac:dyDescent="0.2">
      <c r="A174" s="37"/>
      <c r="B174" s="7"/>
      <c r="C174" s="35"/>
      <c r="D174" s="20"/>
      <c r="E174" s="20"/>
      <c r="F174" s="20"/>
      <c r="G174" s="19" t="e">
        <f t="shared" si="0"/>
        <v>#DIV/0!</v>
      </c>
      <c r="H174" s="20" t="str">
        <f ca="1">IFERROR(__xludf.DUMMYFUNCTION("IF(COUNTIFS($C$2:C174, C174, $A$2:A174, ""&lt;="" &amp; A174) &lt; 30, AVERAGEIF($C$2:C174, C174, $G$2:G174), AVERAGE(FILTER($G$2:G174, $C$2:C174 = C174, $A$2:A174 &gt;= A174 - 30)))
"),"#DIV/0!")</f>
        <v>#DIV/0!</v>
      </c>
      <c r="I174" s="20" t="e">
        <f t="shared" ca="1" si="1"/>
        <v>#DIV/0!</v>
      </c>
      <c r="J174" s="20" t="str">
        <f ca="1">IFERROR(__xludf.DUMMYFUNCTION("IF(OR($I174=2, $I174=3), 0, IFERROR(COUNTIFS($C$2:C174, $C174, $A$2:A175, ""&gt;""&amp;IFERROR(MAX(FILTER($A$2:A175, $C$2:C174=$C174, $I$2:I174&lt;&gt;1)), 0), $I$2:I174, 1),1))
"),"#DIV/0!")</f>
        <v>#DIV/0!</v>
      </c>
      <c r="K174" s="20" t="e">
        <f t="shared" ca="1" si="2"/>
        <v>#DIV/0!</v>
      </c>
      <c r="L174" s="20" t="e">
        <f t="shared" ca="1" si="3"/>
        <v>#DIV/0!</v>
      </c>
      <c r="M174" s="21" t="e">
        <f t="shared" ca="1" si="4"/>
        <v>#DIV/0!</v>
      </c>
      <c r="N174" s="36" t="str">
        <f ca="1">IFERROR(__xludf.DUMMYFUNCTION("IF(COUNTIFS($C$2:C174, C174, $A$2:A174, ""&lt;="" &amp; A174) &lt; 30, STDEV.P(FILTER($G$2:G174, $C$2:C174 = C174)), STDEV.P(FILTER($G$2:G174, $C$2:C174 = C174, $A$2:A174 &gt;= A174 - 30)))
"),"#DIV/0!")</f>
        <v>#DIV/0!</v>
      </c>
    </row>
    <row r="175" spans="1:14" x14ac:dyDescent="0.2">
      <c r="A175" s="37"/>
      <c r="B175" s="7"/>
      <c r="C175" s="35"/>
      <c r="D175" s="20"/>
      <c r="E175" s="20"/>
      <c r="F175" s="20"/>
      <c r="G175" s="19" t="e">
        <f t="shared" si="0"/>
        <v>#DIV/0!</v>
      </c>
      <c r="H175" s="20" t="str">
        <f ca="1">IFERROR(__xludf.DUMMYFUNCTION("IF(COUNTIFS($C$2:C175, C175, $A$2:A175, ""&lt;="" &amp; A175) &lt; 30, AVERAGEIF($C$2:C175, C175, $G$2:G175), AVERAGE(FILTER($G$2:G175, $C$2:C175 = C175, $A$2:A175 &gt;= A175 - 30)))
"),"#DIV/0!")</f>
        <v>#DIV/0!</v>
      </c>
      <c r="I175" s="20" t="e">
        <f t="shared" ca="1" si="1"/>
        <v>#DIV/0!</v>
      </c>
      <c r="J175" s="20" t="str">
        <f ca="1">IFERROR(__xludf.DUMMYFUNCTION("IF(OR($I175=2, $I175=3), 0, IFERROR(COUNTIFS($C$2:C175, $C175, $A$2:A176, ""&gt;""&amp;IFERROR(MAX(FILTER($A$2:A176, $C$2:C175=$C175, $I$2:I175&lt;&gt;1)), 0), $I$2:I175, 1),1))
"),"#DIV/0!")</f>
        <v>#DIV/0!</v>
      </c>
      <c r="K175" s="20" t="e">
        <f t="shared" ca="1" si="2"/>
        <v>#DIV/0!</v>
      </c>
      <c r="L175" s="20" t="e">
        <f t="shared" ca="1" si="3"/>
        <v>#DIV/0!</v>
      </c>
      <c r="M175" s="21" t="e">
        <f t="shared" ca="1" si="4"/>
        <v>#DIV/0!</v>
      </c>
      <c r="N175" s="36" t="str">
        <f ca="1">IFERROR(__xludf.DUMMYFUNCTION("IF(COUNTIFS($C$2:C175, C175, $A$2:A175, ""&lt;="" &amp; A175) &lt; 30, STDEV.P(FILTER($G$2:G175, $C$2:C175 = C175)), STDEV.P(FILTER($G$2:G175, $C$2:C175 = C175, $A$2:A175 &gt;= A175 - 30)))
"),"#DIV/0!")</f>
        <v>#DIV/0!</v>
      </c>
    </row>
    <row r="176" spans="1:14" x14ac:dyDescent="0.2">
      <c r="A176" s="37"/>
      <c r="B176" s="5"/>
      <c r="C176" s="35"/>
      <c r="D176" s="20"/>
      <c r="E176" s="20"/>
      <c r="F176" s="20"/>
      <c r="G176" s="19" t="e">
        <f t="shared" si="0"/>
        <v>#DIV/0!</v>
      </c>
      <c r="H176" s="20" t="str">
        <f ca="1">IFERROR(__xludf.DUMMYFUNCTION("IF(COUNTIFS($C$2:C176, C176, $A$2:A176, ""&lt;="" &amp; A176) &lt; 30, AVERAGEIF($C$2:C176, C176, $G$2:G176), AVERAGE(FILTER($G$2:G176, $C$2:C176 = C176, $A$2:A176 &gt;= A176 - 30)))
"),"#DIV/0!")</f>
        <v>#DIV/0!</v>
      </c>
      <c r="I176" s="20" t="e">
        <f t="shared" ca="1" si="1"/>
        <v>#DIV/0!</v>
      </c>
      <c r="J176" s="20" t="str">
        <f ca="1">IFERROR(__xludf.DUMMYFUNCTION("IF(OR($I176=2, $I176=3), 0, IFERROR(COUNTIFS($C$2:C176, $C176, $A$2:A177, ""&gt;""&amp;IFERROR(MAX(FILTER($A$2:A177, $C$2:C176=$C176, $I$2:I176&lt;&gt;1)), 0), $I$2:I176, 1),1))
"),"#DIV/0!")</f>
        <v>#DIV/0!</v>
      </c>
      <c r="K176" s="20" t="e">
        <f t="shared" ca="1" si="2"/>
        <v>#DIV/0!</v>
      </c>
      <c r="L176" s="20" t="e">
        <f t="shared" ca="1" si="3"/>
        <v>#DIV/0!</v>
      </c>
      <c r="M176" s="21" t="e">
        <f t="shared" ca="1" si="4"/>
        <v>#DIV/0!</v>
      </c>
      <c r="N176" s="36" t="str">
        <f ca="1">IFERROR(__xludf.DUMMYFUNCTION("IF(COUNTIFS($C$2:C176, C176, $A$2:A176, ""&lt;="" &amp; A176) &lt; 30, STDEV.P(FILTER($G$2:G176, $C$2:C176 = C176)), STDEV.P(FILTER($G$2:G176, $C$2:C176 = C176, $A$2:A176 &gt;= A176 - 30)))
"),"#DIV/0!")</f>
        <v>#DIV/0!</v>
      </c>
    </row>
    <row r="177" spans="1:14" x14ac:dyDescent="0.2">
      <c r="A177" s="37"/>
      <c r="B177" s="5"/>
      <c r="C177" s="35"/>
      <c r="D177" s="20"/>
      <c r="E177" s="20"/>
      <c r="F177" s="20"/>
      <c r="G177" s="19" t="e">
        <f t="shared" si="0"/>
        <v>#DIV/0!</v>
      </c>
      <c r="H177" s="20" t="str">
        <f ca="1">IFERROR(__xludf.DUMMYFUNCTION("IF(COUNTIFS($C$2:C177, C177, $A$2:A177, ""&lt;="" &amp; A177) &lt; 30, AVERAGEIF($C$2:C177, C177, $G$2:G177), AVERAGE(FILTER($G$2:G177, $C$2:C177 = C177, $A$2:A177 &gt;= A177 - 30)))
"),"#DIV/0!")</f>
        <v>#DIV/0!</v>
      </c>
      <c r="I177" s="20" t="e">
        <f t="shared" ca="1" si="1"/>
        <v>#DIV/0!</v>
      </c>
      <c r="J177" s="20" t="str">
        <f ca="1">IFERROR(__xludf.DUMMYFUNCTION("IF(OR($I177=2, $I177=3), 0, IFERROR(COUNTIFS($C$2:C177, $C177, $A$2:A178, ""&gt;""&amp;IFERROR(MAX(FILTER($A$2:A178, $C$2:C177=$C177, $I$2:I177&lt;&gt;1)), 0), $I$2:I177, 1),1))
"),"#DIV/0!")</f>
        <v>#DIV/0!</v>
      </c>
      <c r="K177" s="20" t="e">
        <f t="shared" ca="1" si="2"/>
        <v>#DIV/0!</v>
      </c>
      <c r="L177" s="20" t="e">
        <f t="shared" ca="1" si="3"/>
        <v>#DIV/0!</v>
      </c>
      <c r="M177" s="21" t="e">
        <f t="shared" ca="1" si="4"/>
        <v>#DIV/0!</v>
      </c>
      <c r="N177" s="36" t="str">
        <f ca="1">IFERROR(__xludf.DUMMYFUNCTION("IF(COUNTIFS($C$2:C177, C177, $A$2:A177, ""&lt;="" &amp; A177) &lt; 30, STDEV.P(FILTER($G$2:G177, $C$2:C177 = C177)), STDEV.P(FILTER($G$2:G177, $C$2:C177 = C177, $A$2:A177 &gt;= A177 - 30)))
"),"#DIV/0!")</f>
        <v>#DIV/0!</v>
      </c>
    </row>
    <row r="178" spans="1:14" x14ac:dyDescent="0.2">
      <c r="A178" s="37"/>
      <c r="B178" s="5"/>
      <c r="C178" s="35"/>
      <c r="D178" s="20"/>
      <c r="E178" s="20"/>
      <c r="F178" s="20"/>
      <c r="G178" s="19" t="e">
        <f t="shared" si="0"/>
        <v>#DIV/0!</v>
      </c>
      <c r="H178" s="20" t="str">
        <f ca="1">IFERROR(__xludf.DUMMYFUNCTION("IF(COUNTIFS($C$2:C178, C178, $A$2:A178, ""&lt;="" &amp; A178) &lt; 30, AVERAGEIF($C$2:C178, C178, $G$2:G178), AVERAGE(FILTER($G$2:G178, $C$2:C178 = C178, $A$2:A178 &gt;= A178 - 30)))
"),"#DIV/0!")</f>
        <v>#DIV/0!</v>
      </c>
      <c r="I178" s="20" t="e">
        <f t="shared" ca="1" si="1"/>
        <v>#DIV/0!</v>
      </c>
      <c r="J178" s="20" t="str">
        <f ca="1">IFERROR(__xludf.DUMMYFUNCTION("IF(OR($I178=2, $I178=3), 0, IFERROR(COUNTIFS($C$2:C178, $C178, $A$2:A179, ""&gt;""&amp;IFERROR(MAX(FILTER($A$2:A179, $C$2:C178=$C178, $I$2:I178&lt;&gt;1)), 0), $I$2:I178, 1),1))
"),"#DIV/0!")</f>
        <v>#DIV/0!</v>
      </c>
      <c r="K178" s="20" t="e">
        <f t="shared" ca="1" si="2"/>
        <v>#DIV/0!</v>
      </c>
      <c r="L178" s="20" t="e">
        <f t="shared" ca="1" si="3"/>
        <v>#DIV/0!</v>
      </c>
      <c r="M178" s="21" t="e">
        <f t="shared" ca="1" si="4"/>
        <v>#DIV/0!</v>
      </c>
      <c r="N178" s="36" t="str">
        <f ca="1">IFERROR(__xludf.DUMMYFUNCTION("IF(COUNTIFS($C$2:C178, C178, $A$2:A178, ""&lt;="" &amp; A178) &lt; 30, STDEV.P(FILTER($G$2:G178, $C$2:C178 = C178)), STDEV.P(FILTER($G$2:G178, $C$2:C178 = C178, $A$2:A178 &gt;= A178 - 30)))
"),"#DIV/0!")</f>
        <v>#DIV/0!</v>
      </c>
    </row>
    <row r="179" spans="1:14" x14ac:dyDescent="0.2">
      <c r="A179" s="37"/>
      <c r="B179" s="5"/>
      <c r="C179" s="35"/>
      <c r="D179" s="19"/>
      <c r="E179" s="19"/>
      <c r="F179" s="19"/>
      <c r="G179" s="19" t="e">
        <f t="shared" si="0"/>
        <v>#DIV/0!</v>
      </c>
      <c r="H179" s="20" t="str">
        <f ca="1">IFERROR(__xludf.DUMMYFUNCTION("IF(COUNTIFS($C$2:C179, C179, $A$2:A179, ""&lt;="" &amp; A179) &lt; 30, AVERAGEIF($C$2:C179, C179, $G$2:G179), AVERAGE(FILTER($G$2:G179, $C$2:C179 = C179, $A$2:A179 &gt;= A179 - 30)))
"),"#DIV/0!")</f>
        <v>#DIV/0!</v>
      </c>
      <c r="I179" s="20" t="e">
        <f t="shared" ca="1" si="1"/>
        <v>#DIV/0!</v>
      </c>
      <c r="J179" s="20" t="str">
        <f ca="1">IFERROR(__xludf.DUMMYFUNCTION("IF(OR($I179=2, $I179=3), 0, IFERROR(COUNTIFS($C$2:C179, $C179, $A$2:A180, ""&gt;""&amp;IFERROR(MAX(FILTER($A$2:A180, $C$2:C179=$C179, $I$2:I179&lt;&gt;1)), 0), $I$2:I179, 1),1))
"),"#DIV/0!")</f>
        <v>#DIV/0!</v>
      </c>
      <c r="K179" s="20" t="e">
        <f t="shared" ca="1" si="2"/>
        <v>#DIV/0!</v>
      </c>
      <c r="L179" s="20" t="e">
        <f t="shared" ca="1" si="3"/>
        <v>#DIV/0!</v>
      </c>
      <c r="M179" s="21" t="e">
        <f t="shared" ca="1" si="4"/>
        <v>#DIV/0!</v>
      </c>
      <c r="N179" s="36" t="str">
        <f ca="1">IFERROR(__xludf.DUMMYFUNCTION("IF(COUNTIFS($C$2:C179, C179, $A$2:A179, ""&lt;="" &amp; A179) &lt; 30, STDEV.P(FILTER($G$2:G179, $C$2:C179 = C179)), STDEV.P(FILTER($G$2:G179, $C$2:C179 = C179, $A$2:A179 &gt;= A179 - 30)))
"),"#DIV/0!")</f>
        <v>#DIV/0!</v>
      </c>
    </row>
    <row r="180" spans="1:14" x14ac:dyDescent="0.2">
      <c r="A180" s="37"/>
      <c r="B180" s="5"/>
      <c r="C180" s="35"/>
      <c r="D180" s="19"/>
      <c r="E180" s="19"/>
      <c r="F180" s="19"/>
      <c r="G180" s="19" t="e">
        <f t="shared" si="0"/>
        <v>#DIV/0!</v>
      </c>
      <c r="H180" s="20" t="str">
        <f ca="1">IFERROR(__xludf.DUMMYFUNCTION("IF(COUNTIFS($C$2:C180, C180, $A$2:A180, ""&lt;="" &amp; A180) &lt; 30, AVERAGEIF($C$2:C180, C180, $G$2:G180), AVERAGE(FILTER($G$2:G180, $C$2:C180 = C180, $A$2:A180 &gt;= A180 - 30)))
"),"#DIV/0!")</f>
        <v>#DIV/0!</v>
      </c>
      <c r="I180" s="20" t="e">
        <f t="shared" ca="1" si="1"/>
        <v>#DIV/0!</v>
      </c>
      <c r="J180" s="20" t="str">
        <f ca="1">IFERROR(__xludf.DUMMYFUNCTION("IF(OR($I180=2, $I180=3), 0, IFERROR(COUNTIFS($C$2:C180, $C180, $A$2:A181, ""&gt;""&amp;IFERROR(MAX(FILTER($A$2:A181, $C$2:C180=$C180, $I$2:I180&lt;&gt;1)), 0), $I$2:I180, 1),1))
"),"#DIV/0!")</f>
        <v>#DIV/0!</v>
      </c>
      <c r="K180" s="20" t="e">
        <f t="shared" ca="1" si="2"/>
        <v>#DIV/0!</v>
      </c>
      <c r="L180" s="20" t="e">
        <f t="shared" ca="1" si="3"/>
        <v>#DIV/0!</v>
      </c>
      <c r="M180" s="21" t="e">
        <f t="shared" ca="1" si="4"/>
        <v>#DIV/0!</v>
      </c>
      <c r="N180" s="36" t="str">
        <f ca="1">IFERROR(__xludf.DUMMYFUNCTION("IF(COUNTIFS($C$2:C180, C180, $A$2:A180, ""&lt;="" &amp; A180) &lt; 30, STDEV.P(FILTER($G$2:G180, $C$2:C180 = C180)), STDEV.P(FILTER($G$2:G180, $C$2:C180 = C180, $A$2:A180 &gt;= A180 - 30)))
"),"#DIV/0!")</f>
        <v>#DIV/0!</v>
      </c>
    </row>
    <row r="181" spans="1:14" x14ac:dyDescent="0.2">
      <c r="A181" s="37"/>
      <c r="B181" s="5"/>
      <c r="C181" s="35"/>
      <c r="D181" s="20"/>
      <c r="E181" s="20"/>
      <c r="F181" s="20"/>
      <c r="G181" s="19" t="e">
        <f t="shared" si="0"/>
        <v>#DIV/0!</v>
      </c>
      <c r="H181" s="20" t="str">
        <f ca="1">IFERROR(__xludf.DUMMYFUNCTION("IF(COUNTIFS($C$2:C181, C181, $A$2:A181, ""&lt;="" &amp; A181) &lt; 30, AVERAGEIF($C$2:C181, C181, $G$2:G181), AVERAGE(FILTER($G$2:G181, $C$2:C181 = C181, $A$2:A181 &gt;= A181 - 30)))
"),"#DIV/0!")</f>
        <v>#DIV/0!</v>
      </c>
      <c r="I181" s="20" t="e">
        <f t="shared" ca="1" si="1"/>
        <v>#DIV/0!</v>
      </c>
      <c r="J181" s="20" t="str">
        <f ca="1">IFERROR(__xludf.DUMMYFUNCTION("IF(OR($I181=2, $I181=3), 0, IFERROR(COUNTIFS($C$2:C181, $C181, $A$2:A182, ""&gt;""&amp;IFERROR(MAX(FILTER($A$2:A182, $C$2:C181=$C181, $I$2:I181&lt;&gt;1)), 0), $I$2:I181, 1),1))
"),"#DIV/0!")</f>
        <v>#DIV/0!</v>
      </c>
      <c r="K181" s="20" t="e">
        <f t="shared" ca="1" si="2"/>
        <v>#DIV/0!</v>
      </c>
      <c r="L181" s="20" t="e">
        <f t="shared" ca="1" si="3"/>
        <v>#DIV/0!</v>
      </c>
      <c r="M181" s="21" t="e">
        <f t="shared" ca="1" si="4"/>
        <v>#DIV/0!</v>
      </c>
      <c r="N181" s="36" t="str">
        <f ca="1">IFERROR(__xludf.DUMMYFUNCTION("IF(COUNTIFS($C$2:C181, C181, $A$2:A181, ""&lt;="" &amp; A181) &lt; 30, STDEV.P(FILTER($G$2:G181, $C$2:C181 = C181)), STDEV.P(FILTER($G$2:G181, $C$2:C181 = C181, $A$2:A181 &gt;= A181 - 30)))
"),"#DIV/0!")</f>
        <v>#DIV/0!</v>
      </c>
    </row>
    <row r="182" spans="1:14" x14ac:dyDescent="0.2">
      <c r="A182" s="37"/>
      <c r="B182" s="5"/>
      <c r="C182" s="35"/>
      <c r="D182" s="19"/>
      <c r="E182" s="19"/>
      <c r="F182" s="19"/>
      <c r="G182" s="19" t="e">
        <f t="shared" si="0"/>
        <v>#DIV/0!</v>
      </c>
      <c r="H182" s="20" t="str">
        <f ca="1">IFERROR(__xludf.DUMMYFUNCTION("IF(COUNTIFS($C$2:C182, C182, $A$2:A182, ""&lt;="" &amp; A182) &lt; 30, AVERAGEIF($C$2:C182, C182, $G$2:G182), AVERAGE(FILTER($G$2:G182, $C$2:C182 = C182, $A$2:A182 &gt;= A182 - 30)))
"),"#DIV/0!")</f>
        <v>#DIV/0!</v>
      </c>
      <c r="I182" s="20" t="e">
        <f t="shared" ca="1" si="1"/>
        <v>#DIV/0!</v>
      </c>
      <c r="J182" s="20" t="str">
        <f ca="1">IFERROR(__xludf.DUMMYFUNCTION("IF(OR($I182=2, $I182=3), 0, IFERROR(COUNTIFS($C$2:C182, $C182, $A$2:A183, ""&gt;""&amp;IFERROR(MAX(FILTER($A$2:A183, $C$2:C182=$C182, $I$2:I182&lt;&gt;1)), 0), $I$2:I182, 1),1))
"),"#DIV/0!")</f>
        <v>#DIV/0!</v>
      </c>
      <c r="K182" s="20" t="e">
        <f t="shared" ca="1" si="2"/>
        <v>#DIV/0!</v>
      </c>
      <c r="L182" s="20" t="e">
        <f t="shared" ca="1" si="3"/>
        <v>#DIV/0!</v>
      </c>
      <c r="M182" s="21" t="e">
        <f t="shared" ca="1" si="4"/>
        <v>#DIV/0!</v>
      </c>
      <c r="N182" s="36" t="str">
        <f ca="1">IFERROR(__xludf.DUMMYFUNCTION("IF(COUNTIFS($C$2:C182, C182, $A$2:A182, ""&lt;="" &amp; A182) &lt; 30, STDEV.P(FILTER($G$2:G182, $C$2:C182 = C182)), STDEV.P(FILTER($G$2:G182, $C$2:C182 = C182, $A$2:A182 &gt;= A182 - 30)))
"),"#DIV/0!")</f>
        <v>#DIV/0!</v>
      </c>
    </row>
    <row r="183" spans="1:14" x14ac:dyDescent="0.2">
      <c r="A183" s="37"/>
      <c r="B183" s="5"/>
      <c r="C183" s="35"/>
      <c r="D183" s="19"/>
      <c r="E183" s="19"/>
      <c r="F183" s="19"/>
      <c r="G183" s="19" t="e">
        <f t="shared" si="0"/>
        <v>#DIV/0!</v>
      </c>
      <c r="H183" s="20" t="str">
        <f ca="1">IFERROR(__xludf.DUMMYFUNCTION("IF(COUNTIFS($C$2:C183, C183, $A$2:A183, ""&lt;="" &amp; A183) &lt; 30, AVERAGEIF($C$2:C183, C183, $G$2:G183), AVERAGE(FILTER($G$2:G183, $C$2:C183 = C183, $A$2:A183 &gt;= A183 - 30)))
"),"#DIV/0!")</f>
        <v>#DIV/0!</v>
      </c>
      <c r="I183" s="20" t="e">
        <f t="shared" ca="1" si="1"/>
        <v>#DIV/0!</v>
      </c>
      <c r="J183" s="20" t="str">
        <f ca="1">IFERROR(__xludf.DUMMYFUNCTION("IF(OR($I183=2, $I183=3), 0, IFERROR(COUNTIFS($C$2:C183, $C183, $A$2:A184, ""&gt;""&amp;IFERROR(MAX(FILTER($A$2:A184, $C$2:C183=$C183, $I$2:I183&lt;&gt;1)), 0), $I$2:I183, 1),1))
"),"#DIV/0!")</f>
        <v>#DIV/0!</v>
      </c>
      <c r="K183" s="20" t="e">
        <f t="shared" ca="1" si="2"/>
        <v>#DIV/0!</v>
      </c>
      <c r="L183" s="20" t="e">
        <f t="shared" ca="1" si="3"/>
        <v>#DIV/0!</v>
      </c>
      <c r="M183" s="21" t="e">
        <f t="shared" ca="1" si="4"/>
        <v>#DIV/0!</v>
      </c>
      <c r="N183" s="36" t="str">
        <f ca="1">IFERROR(__xludf.DUMMYFUNCTION("IF(COUNTIFS($C$2:C183, C183, $A$2:A183, ""&lt;="" &amp; A183) &lt; 30, STDEV.P(FILTER($G$2:G183, $C$2:C183 = C183)), STDEV.P(FILTER($G$2:G183, $C$2:C183 = C183, $A$2:A183 &gt;= A183 - 30)))
"),"#DIV/0!")</f>
        <v>#DIV/0!</v>
      </c>
    </row>
    <row r="184" spans="1:14" x14ac:dyDescent="0.2">
      <c r="A184" s="37"/>
      <c r="B184" s="5"/>
      <c r="C184" s="35"/>
      <c r="D184" s="19"/>
      <c r="E184" s="19"/>
      <c r="F184" s="19"/>
      <c r="G184" s="19" t="e">
        <f t="shared" si="0"/>
        <v>#DIV/0!</v>
      </c>
      <c r="H184" s="20" t="str">
        <f ca="1">IFERROR(__xludf.DUMMYFUNCTION("IF(COUNTIFS($C$2:C184, C184, $A$2:A184, ""&lt;="" &amp; A184) &lt; 30, AVERAGEIF($C$2:C184, C184, $G$2:G184), AVERAGE(FILTER($G$2:G184, $C$2:C184 = C184, $A$2:A184 &gt;= A184 - 30)))
"),"#DIV/0!")</f>
        <v>#DIV/0!</v>
      </c>
      <c r="I184" s="20" t="e">
        <f t="shared" ca="1" si="1"/>
        <v>#DIV/0!</v>
      </c>
      <c r="J184" s="20" t="str">
        <f ca="1">IFERROR(__xludf.DUMMYFUNCTION("IF(OR($I184=2, $I184=3), 0, IFERROR(COUNTIFS($C$2:C184, $C184, $A$2:A185, ""&gt;""&amp;IFERROR(MAX(FILTER($A$2:A185, $C$2:C184=$C184, $I$2:I184&lt;&gt;1)), 0), $I$2:I184, 1),1))
"),"#DIV/0!")</f>
        <v>#DIV/0!</v>
      </c>
      <c r="K184" s="20" t="e">
        <f t="shared" ca="1" si="2"/>
        <v>#DIV/0!</v>
      </c>
      <c r="L184" s="20" t="e">
        <f t="shared" ca="1" si="3"/>
        <v>#DIV/0!</v>
      </c>
      <c r="M184" s="21" t="e">
        <f t="shared" ca="1" si="4"/>
        <v>#DIV/0!</v>
      </c>
      <c r="N184" s="36" t="str">
        <f ca="1">IFERROR(__xludf.DUMMYFUNCTION("IF(COUNTIFS($C$2:C184, C184, $A$2:A184, ""&lt;="" &amp; A184) &lt; 30, STDEV.P(FILTER($G$2:G184, $C$2:C184 = C184)), STDEV.P(FILTER($G$2:G184, $C$2:C184 = C184, $A$2:A184 &gt;= A184 - 30)))
"),"#DIV/0!")</f>
        <v>#DIV/0!</v>
      </c>
    </row>
    <row r="185" spans="1:14" x14ac:dyDescent="0.2">
      <c r="A185" s="37"/>
      <c r="B185" s="5"/>
      <c r="C185" s="35"/>
      <c r="D185" s="19"/>
      <c r="E185" s="19"/>
      <c r="F185" s="19"/>
      <c r="G185" s="19" t="e">
        <f t="shared" si="0"/>
        <v>#DIV/0!</v>
      </c>
      <c r="H185" s="20" t="str">
        <f ca="1">IFERROR(__xludf.DUMMYFUNCTION("IF(COUNTIFS($C$2:C185, C185, $A$2:A185, ""&lt;="" &amp; A185) &lt; 30, AVERAGEIF($C$2:C185, C185, $G$2:G185), AVERAGE(FILTER($G$2:G185, $C$2:C185 = C185, $A$2:A185 &gt;= A185 - 30)))
"),"#DIV/0!")</f>
        <v>#DIV/0!</v>
      </c>
      <c r="I185" s="20" t="e">
        <f t="shared" ca="1" si="1"/>
        <v>#DIV/0!</v>
      </c>
      <c r="J185" s="20" t="str">
        <f ca="1">IFERROR(__xludf.DUMMYFUNCTION("IF(OR($I185=2, $I185=3), 0, IFERROR(COUNTIFS($C$2:C185, $C185, $A$2:A186, ""&gt;""&amp;IFERROR(MAX(FILTER($A$2:A186, $C$2:C185=$C185, $I$2:I185&lt;&gt;1)), 0), $I$2:I185, 1),1))
"),"#DIV/0!")</f>
        <v>#DIV/0!</v>
      </c>
      <c r="K185" s="20" t="e">
        <f t="shared" ca="1" si="2"/>
        <v>#DIV/0!</v>
      </c>
      <c r="L185" s="20" t="e">
        <f t="shared" ca="1" si="3"/>
        <v>#DIV/0!</v>
      </c>
      <c r="M185" s="21" t="e">
        <f t="shared" ca="1" si="4"/>
        <v>#DIV/0!</v>
      </c>
      <c r="N185" s="36" t="str">
        <f ca="1">IFERROR(__xludf.DUMMYFUNCTION("IF(COUNTIFS($C$2:C185, C185, $A$2:A185, ""&lt;="" &amp; A185) &lt; 30, STDEV.P(FILTER($G$2:G185, $C$2:C185 = C185)), STDEV.P(FILTER($G$2:G185, $C$2:C185 = C185, $A$2:A185 &gt;= A185 - 30)))
"),"#DIV/0!")</f>
        <v>#DIV/0!</v>
      </c>
    </row>
    <row r="186" spans="1:14" x14ac:dyDescent="0.2">
      <c r="A186" s="37"/>
      <c r="B186" s="5"/>
      <c r="C186" s="35"/>
      <c r="D186" s="19"/>
      <c r="E186" s="19"/>
      <c r="F186" s="19"/>
      <c r="G186" s="19" t="e">
        <f t="shared" si="0"/>
        <v>#DIV/0!</v>
      </c>
      <c r="H186" s="20" t="str">
        <f ca="1">IFERROR(__xludf.DUMMYFUNCTION("IF(COUNTIFS($C$2:C186, C186, $A$2:A186, ""&lt;="" &amp; A186) &lt; 30, AVERAGEIF($C$2:C186, C186, $G$2:G186), AVERAGE(FILTER($G$2:G186, $C$2:C186 = C186, $A$2:A186 &gt;= A186 - 30)))
"),"#DIV/0!")</f>
        <v>#DIV/0!</v>
      </c>
      <c r="I186" s="20" t="e">
        <f t="shared" ca="1" si="1"/>
        <v>#DIV/0!</v>
      </c>
      <c r="J186" s="20" t="str">
        <f ca="1">IFERROR(__xludf.DUMMYFUNCTION("IF(OR($I186=2, $I186=3), 0, IFERROR(COUNTIFS($C$2:C186, $C186, $A$2:A187, ""&gt;""&amp;IFERROR(MAX(FILTER($A$2:A187, $C$2:C186=$C186, $I$2:I186&lt;&gt;1)), 0), $I$2:I186, 1),1))
"),"#DIV/0!")</f>
        <v>#DIV/0!</v>
      </c>
      <c r="K186" s="20" t="e">
        <f t="shared" ca="1" si="2"/>
        <v>#DIV/0!</v>
      </c>
      <c r="L186" s="20" t="e">
        <f t="shared" ca="1" si="3"/>
        <v>#DIV/0!</v>
      </c>
      <c r="M186" s="21" t="e">
        <f t="shared" ca="1" si="4"/>
        <v>#DIV/0!</v>
      </c>
      <c r="N186" s="36" t="str">
        <f ca="1">IFERROR(__xludf.DUMMYFUNCTION("IF(COUNTIFS($C$2:C186, C186, $A$2:A186, ""&lt;="" &amp; A186) &lt; 30, STDEV.P(FILTER($G$2:G186, $C$2:C186 = C186)), STDEV.P(FILTER($G$2:G186, $C$2:C186 = C186, $A$2:A186 &gt;= A186 - 30)))
"),"#DIV/0!")</f>
        <v>#DIV/0!</v>
      </c>
    </row>
    <row r="187" spans="1:14" x14ac:dyDescent="0.2">
      <c r="A187" s="37"/>
      <c r="B187" s="5"/>
      <c r="C187" s="35"/>
      <c r="D187" s="19"/>
      <c r="E187" s="19"/>
      <c r="F187" s="19"/>
      <c r="G187" s="19" t="e">
        <f t="shared" si="0"/>
        <v>#DIV/0!</v>
      </c>
      <c r="H187" s="20" t="str">
        <f ca="1">IFERROR(__xludf.DUMMYFUNCTION("IF(COUNTIFS($C$2:C187, C187, $A$2:A187, ""&lt;="" &amp; A187) &lt; 30, AVERAGEIF($C$2:C187, C187, $G$2:G187), AVERAGE(FILTER($G$2:G187, $C$2:C187 = C187, $A$2:A187 &gt;= A187 - 30)))
"),"#DIV/0!")</f>
        <v>#DIV/0!</v>
      </c>
      <c r="I187" s="20" t="e">
        <f t="shared" ca="1" si="1"/>
        <v>#DIV/0!</v>
      </c>
      <c r="J187" s="20" t="str">
        <f ca="1">IFERROR(__xludf.DUMMYFUNCTION("IF(OR($I187=2, $I187=3), 0, IFERROR(COUNTIFS($C$2:C187, $C187, $A$2:A188, ""&gt;""&amp;IFERROR(MAX(FILTER($A$2:A188, $C$2:C187=$C187, $I$2:I187&lt;&gt;1)), 0), $I$2:I187, 1),1))
"),"#DIV/0!")</f>
        <v>#DIV/0!</v>
      </c>
      <c r="K187" s="20" t="e">
        <f t="shared" ca="1" si="2"/>
        <v>#DIV/0!</v>
      </c>
      <c r="L187" s="20" t="e">
        <f t="shared" ca="1" si="3"/>
        <v>#DIV/0!</v>
      </c>
      <c r="M187" s="21" t="e">
        <f t="shared" ca="1" si="4"/>
        <v>#DIV/0!</v>
      </c>
      <c r="N187" s="36" t="str">
        <f ca="1">IFERROR(__xludf.DUMMYFUNCTION("IF(COUNTIFS($C$2:C187, C187, $A$2:A187, ""&lt;="" &amp; A187) &lt; 30, STDEV.P(FILTER($G$2:G187, $C$2:C187 = C187)), STDEV.P(FILTER($G$2:G187, $C$2:C187 = C187, $A$2:A187 &gt;= A187 - 30)))
"),"#DIV/0!")</f>
        <v>#DIV/0!</v>
      </c>
    </row>
    <row r="188" spans="1:14" x14ac:dyDescent="0.2">
      <c r="A188" s="37"/>
      <c r="B188" s="5"/>
      <c r="C188" s="35"/>
      <c r="D188" s="19"/>
      <c r="E188" s="19"/>
      <c r="F188" s="19"/>
      <c r="G188" s="19" t="e">
        <f t="shared" si="0"/>
        <v>#DIV/0!</v>
      </c>
      <c r="H188" s="20" t="str">
        <f ca="1">IFERROR(__xludf.DUMMYFUNCTION("IF(COUNTIFS($C$2:C188, C188, $A$2:A188, ""&lt;="" &amp; A188) &lt; 30, AVERAGEIF($C$2:C188, C188, $G$2:G188), AVERAGE(FILTER($G$2:G188, $C$2:C188 = C188, $A$2:A188 &gt;= A188 - 30)))
"),"#DIV/0!")</f>
        <v>#DIV/0!</v>
      </c>
      <c r="I188" s="20" t="e">
        <f t="shared" ca="1" si="1"/>
        <v>#DIV/0!</v>
      </c>
      <c r="J188" s="20" t="str">
        <f ca="1">IFERROR(__xludf.DUMMYFUNCTION("IF(OR($I188=2, $I188=3), 0, IFERROR(COUNTIFS($C$2:C188, $C188, $A$2:A189, ""&gt;""&amp;IFERROR(MAX(FILTER($A$2:A189, $C$2:C188=$C188, $I$2:I188&lt;&gt;1)), 0), $I$2:I188, 1),1))
"),"#DIV/0!")</f>
        <v>#DIV/0!</v>
      </c>
      <c r="K188" s="20" t="e">
        <f t="shared" ca="1" si="2"/>
        <v>#DIV/0!</v>
      </c>
      <c r="L188" s="20" t="e">
        <f t="shared" ca="1" si="3"/>
        <v>#DIV/0!</v>
      </c>
      <c r="M188" s="21" t="e">
        <f t="shared" ca="1" si="4"/>
        <v>#DIV/0!</v>
      </c>
      <c r="N188" s="36" t="str">
        <f ca="1">IFERROR(__xludf.DUMMYFUNCTION("IF(COUNTIFS($C$2:C188, C188, $A$2:A188, ""&lt;="" &amp; A188) &lt; 30, STDEV.P(FILTER($G$2:G188, $C$2:C188 = C188)), STDEV.P(FILTER($G$2:G188, $C$2:C188 = C188, $A$2:A188 &gt;= A188 - 30)))
"),"#DIV/0!")</f>
        <v>#DIV/0!</v>
      </c>
    </row>
    <row r="189" spans="1:14" x14ac:dyDescent="0.2">
      <c r="A189" s="37"/>
      <c r="B189" s="5"/>
      <c r="C189" s="35"/>
      <c r="D189" s="19"/>
      <c r="E189" s="19"/>
      <c r="F189" s="19"/>
      <c r="G189" s="19" t="e">
        <f t="shared" si="0"/>
        <v>#DIV/0!</v>
      </c>
      <c r="H189" s="20" t="str">
        <f ca="1">IFERROR(__xludf.DUMMYFUNCTION("IF(COUNTIFS($C$2:C189, C189, $A$2:A189, ""&lt;="" &amp; A189) &lt; 30, AVERAGEIF($C$2:C189, C189, $G$2:G189), AVERAGE(FILTER($G$2:G189, $C$2:C189 = C189, $A$2:A189 &gt;= A189 - 30)))
"),"#DIV/0!")</f>
        <v>#DIV/0!</v>
      </c>
      <c r="I189" s="20" t="e">
        <f t="shared" ca="1" si="1"/>
        <v>#DIV/0!</v>
      </c>
      <c r="J189" s="20" t="str">
        <f ca="1">IFERROR(__xludf.DUMMYFUNCTION("IF(OR($I189=2, $I189=3), 0, IFERROR(COUNTIFS($C$2:C189, $C189, $A$2:A190, ""&gt;""&amp;IFERROR(MAX(FILTER($A$2:A190, $C$2:C189=$C189, $I$2:I189&lt;&gt;1)), 0), $I$2:I189, 1),1))
"),"#DIV/0!")</f>
        <v>#DIV/0!</v>
      </c>
      <c r="K189" s="20" t="e">
        <f t="shared" ca="1" si="2"/>
        <v>#DIV/0!</v>
      </c>
      <c r="L189" s="20" t="e">
        <f t="shared" ca="1" si="3"/>
        <v>#DIV/0!</v>
      </c>
      <c r="M189" s="21" t="e">
        <f t="shared" ca="1" si="4"/>
        <v>#DIV/0!</v>
      </c>
      <c r="N189" s="36" t="str">
        <f ca="1">IFERROR(__xludf.DUMMYFUNCTION("IF(COUNTIFS($C$2:C189, C189, $A$2:A189, ""&lt;="" &amp; A189) &lt; 30, STDEV.P(FILTER($G$2:G189, $C$2:C189 = C189)), STDEV.P(FILTER($G$2:G189, $C$2:C189 = C189, $A$2:A189 &gt;= A189 - 30)))
"),"#DIV/0!")</f>
        <v>#DIV/0!</v>
      </c>
    </row>
    <row r="190" spans="1:14" x14ac:dyDescent="0.2">
      <c r="A190" s="37"/>
      <c r="B190" s="7"/>
      <c r="C190" s="35"/>
      <c r="D190" s="20"/>
      <c r="E190" s="20"/>
      <c r="F190" s="20"/>
      <c r="G190" s="19" t="e">
        <f t="shared" si="0"/>
        <v>#DIV/0!</v>
      </c>
      <c r="H190" s="20" t="str">
        <f ca="1">IFERROR(__xludf.DUMMYFUNCTION("IF(COUNTIFS($C$2:C190, C190, $A$2:A190, ""&lt;="" &amp; A190) &lt; 30, AVERAGEIF($C$2:C190, C190, $G$2:G190), AVERAGE(FILTER($G$2:G190, $C$2:C190 = C190, $A$2:A190 &gt;= A190 - 30)))
"),"#DIV/0!")</f>
        <v>#DIV/0!</v>
      </c>
      <c r="I190" s="20" t="e">
        <f t="shared" ca="1" si="1"/>
        <v>#DIV/0!</v>
      </c>
      <c r="J190" s="20" t="str">
        <f ca="1">IFERROR(__xludf.DUMMYFUNCTION("IF(OR($I190=2, $I190=3), 0, IFERROR(COUNTIFS($C$2:C190, $C190, $A$2:A191, ""&gt;""&amp;IFERROR(MAX(FILTER($A$2:A191, $C$2:C190=$C190, $I$2:I190&lt;&gt;1)), 0), $I$2:I190, 1),1))
"),"#DIV/0!")</f>
        <v>#DIV/0!</v>
      </c>
      <c r="K190" s="20" t="e">
        <f t="shared" ca="1" si="2"/>
        <v>#DIV/0!</v>
      </c>
      <c r="L190" s="20" t="e">
        <f t="shared" ca="1" si="3"/>
        <v>#DIV/0!</v>
      </c>
      <c r="M190" s="21" t="e">
        <f t="shared" ca="1" si="4"/>
        <v>#DIV/0!</v>
      </c>
      <c r="N190" s="36" t="str">
        <f ca="1">IFERROR(__xludf.DUMMYFUNCTION("IF(COUNTIFS($C$2:C190, C190, $A$2:A190, ""&lt;="" &amp; A190) &lt; 30, STDEV.P(FILTER($G$2:G190, $C$2:C190 = C190)), STDEV.P(FILTER($G$2:G190, $C$2:C190 = C190, $A$2:A190 &gt;= A190 - 30)))
"),"#DIV/0!")</f>
        <v>#DIV/0!</v>
      </c>
    </row>
    <row r="191" spans="1:14" x14ac:dyDescent="0.2">
      <c r="A191" s="37"/>
      <c r="B191" s="7"/>
      <c r="C191" s="35"/>
      <c r="D191" s="20"/>
      <c r="E191" s="20"/>
      <c r="F191" s="20"/>
      <c r="G191" s="19" t="e">
        <f t="shared" si="0"/>
        <v>#DIV/0!</v>
      </c>
      <c r="H191" s="20" t="str">
        <f ca="1">IFERROR(__xludf.DUMMYFUNCTION("IF(COUNTIFS($C$2:C191, C191, $A$2:A191, ""&lt;="" &amp; A191) &lt; 30, AVERAGEIF($C$2:C191, C191, $G$2:G191), AVERAGE(FILTER($G$2:G191, $C$2:C191 = C191, $A$2:A191 &gt;= A191 - 30)))
"),"#DIV/0!")</f>
        <v>#DIV/0!</v>
      </c>
      <c r="I191" s="20" t="e">
        <f t="shared" ca="1" si="1"/>
        <v>#DIV/0!</v>
      </c>
      <c r="J191" s="20" t="str">
        <f ca="1">IFERROR(__xludf.DUMMYFUNCTION("IF(OR($I191=2, $I191=3), 0, IFERROR(COUNTIFS($C$2:C191, $C191, $A$2:A192, ""&gt;""&amp;IFERROR(MAX(FILTER($A$2:A192, $C$2:C191=$C191, $I$2:I191&lt;&gt;1)), 0), $I$2:I191, 1),1))
"),"#DIV/0!")</f>
        <v>#DIV/0!</v>
      </c>
      <c r="K191" s="20" t="e">
        <f t="shared" ca="1" si="2"/>
        <v>#DIV/0!</v>
      </c>
      <c r="L191" s="20" t="e">
        <f t="shared" ca="1" si="3"/>
        <v>#DIV/0!</v>
      </c>
      <c r="M191" s="21" t="e">
        <f t="shared" ca="1" si="4"/>
        <v>#DIV/0!</v>
      </c>
      <c r="N191" s="36" t="str">
        <f ca="1">IFERROR(__xludf.DUMMYFUNCTION("IF(COUNTIFS($C$2:C191, C191, $A$2:A191, ""&lt;="" &amp; A191) &lt; 30, STDEV.P(FILTER($G$2:G191, $C$2:C191 = C191)), STDEV.P(FILTER($G$2:G191, $C$2:C191 = C191, $A$2:A191 &gt;= A191 - 30)))
"),"#DIV/0!")</f>
        <v>#DIV/0!</v>
      </c>
    </row>
    <row r="192" spans="1:14" x14ac:dyDescent="0.2">
      <c r="A192" s="37"/>
      <c r="B192" s="7"/>
      <c r="C192" s="35"/>
      <c r="D192" s="20"/>
      <c r="E192" s="20"/>
      <c r="F192" s="20"/>
      <c r="G192" s="19" t="e">
        <f t="shared" si="0"/>
        <v>#DIV/0!</v>
      </c>
      <c r="H192" s="20" t="str">
        <f ca="1">IFERROR(__xludf.DUMMYFUNCTION("IF(COUNTIFS($C$2:C192, C192, $A$2:A192, ""&lt;="" &amp; A192) &lt; 30, AVERAGEIF($C$2:C192, C192, $G$2:G192), AVERAGE(FILTER($G$2:G192, $C$2:C192 = C192, $A$2:A192 &gt;= A192 - 30)))
"),"#DIV/0!")</f>
        <v>#DIV/0!</v>
      </c>
      <c r="I192" s="20" t="e">
        <f t="shared" ca="1" si="1"/>
        <v>#DIV/0!</v>
      </c>
      <c r="J192" s="20" t="str">
        <f ca="1">IFERROR(__xludf.DUMMYFUNCTION("IF(OR($I192=2, $I192=3), 0, IFERROR(COUNTIFS($C$2:C192, $C192, $A$2:A193, ""&gt;""&amp;IFERROR(MAX(FILTER($A$2:A193, $C$2:C192=$C192, $I$2:I192&lt;&gt;1)), 0), $I$2:I192, 1),1))
"),"#DIV/0!")</f>
        <v>#DIV/0!</v>
      </c>
      <c r="K192" s="20" t="e">
        <f t="shared" ca="1" si="2"/>
        <v>#DIV/0!</v>
      </c>
      <c r="L192" s="20" t="e">
        <f t="shared" ca="1" si="3"/>
        <v>#DIV/0!</v>
      </c>
      <c r="M192" s="21" t="e">
        <f t="shared" ca="1" si="4"/>
        <v>#DIV/0!</v>
      </c>
      <c r="N192" s="36" t="str">
        <f ca="1">IFERROR(__xludf.DUMMYFUNCTION("IF(COUNTIFS($C$2:C192, C192, $A$2:A192, ""&lt;="" &amp; A192) &lt; 30, STDEV.P(FILTER($G$2:G192, $C$2:C192 = C192)), STDEV.P(FILTER($G$2:G192, $C$2:C192 = C192, $A$2:A192 &gt;= A192 - 30)))
"),"#DIV/0!")</f>
        <v>#DIV/0!</v>
      </c>
    </row>
    <row r="193" spans="1:14" x14ac:dyDescent="0.2">
      <c r="A193" s="37"/>
      <c r="B193" s="5"/>
      <c r="C193" s="35"/>
      <c r="D193" s="19"/>
      <c r="E193" s="19"/>
      <c r="F193" s="19"/>
      <c r="G193" s="19" t="e">
        <f t="shared" si="0"/>
        <v>#DIV/0!</v>
      </c>
      <c r="H193" s="20" t="str">
        <f ca="1">IFERROR(__xludf.DUMMYFUNCTION("IF(COUNTIFS($C$2:C193, C193, $A$2:A193, ""&lt;="" &amp; A193) &lt; 30, AVERAGEIF($C$2:C193, C193, $G$2:G193), AVERAGE(FILTER($G$2:G193, $C$2:C193 = C193, $A$2:A193 &gt;= A193 - 30)))
"),"#DIV/0!")</f>
        <v>#DIV/0!</v>
      </c>
      <c r="I193" s="20" t="e">
        <f t="shared" ca="1" si="1"/>
        <v>#DIV/0!</v>
      </c>
      <c r="J193" s="20" t="str">
        <f ca="1">IFERROR(__xludf.DUMMYFUNCTION("IF(OR($I193=2, $I193=3), 0, IFERROR(COUNTIFS($C$2:C193, $C193, $A$2:A194, ""&gt;""&amp;IFERROR(MAX(FILTER($A$2:A194, $C$2:C193=$C193, $I$2:I193&lt;&gt;1)), 0), $I$2:I193, 1),1))
"),"#DIV/0!")</f>
        <v>#DIV/0!</v>
      </c>
      <c r="K193" s="20" t="e">
        <f t="shared" ca="1" si="2"/>
        <v>#DIV/0!</v>
      </c>
      <c r="L193" s="20" t="e">
        <f t="shared" ca="1" si="3"/>
        <v>#DIV/0!</v>
      </c>
      <c r="M193" s="21" t="e">
        <f t="shared" ca="1" si="4"/>
        <v>#DIV/0!</v>
      </c>
      <c r="N193" s="36" t="str">
        <f ca="1">IFERROR(__xludf.DUMMYFUNCTION("IF(COUNTIFS($C$2:C193, C193, $A$2:A193, ""&lt;="" &amp; A193) &lt; 30, STDEV.P(FILTER($G$2:G193, $C$2:C193 = C193)), STDEV.P(FILTER($G$2:G193, $C$2:C193 = C193, $A$2:A193 &gt;= A193 - 30)))
"),"#DIV/0!")</f>
        <v>#DIV/0!</v>
      </c>
    </row>
    <row r="194" spans="1:14" x14ac:dyDescent="0.2">
      <c r="A194" s="37"/>
      <c r="B194" s="5"/>
      <c r="C194" s="35"/>
      <c r="D194" s="19"/>
      <c r="E194" s="19"/>
      <c r="F194" s="19"/>
      <c r="G194" s="19" t="e">
        <f t="shared" si="0"/>
        <v>#DIV/0!</v>
      </c>
      <c r="H194" s="20" t="str">
        <f ca="1">IFERROR(__xludf.DUMMYFUNCTION("IF(COUNTIFS($C$2:C194, C194, $A$2:A194, ""&lt;="" &amp; A194) &lt; 30, AVERAGEIF($C$2:C194, C194, $G$2:G194), AVERAGE(FILTER($G$2:G194, $C$2:C194 = C194, $A$2:A194 &gt;= A194 - 30)))
"),"#DIV/0!")</f>
        <v>#DIV/0!</v>
      </c>
      <c r="I194" s="20" t="e">
        <f t="shared" ca="1" si="1"/>
        <v>#DIV/0!</v>
      </c>
      <c r="J194" s="20" t="str">
        <f ca="1">IFERROR(__xludf.DUMMYFUNCTION("IF(OR($I194=2, $I194=3), 0, IFERROR(COUNTIFS($C$2:C194, $C194, $A$2:A195, ""&gt;""&amp;IFERROR(MAX(FILTER($A$2:A195, $C$2:C194=$C194, $I$2:I194&lt;&gt;1)), 0), $I$2:I194, 1),1))
"),"#DIV/0!")</f>
        <v>#DIV/0!</v>
      </c>
      <c r="K194" s="20" t="e">
        <f t="shared" ca="1" si="2"/>
        <v>#DIV/0!</v>
      </c>
      <c r="L194" s="20" t="e">
        <f t="shared" ca="1" si="3"/>
        <v>#DIV/0!</v>
      </c>
      <c r="M194" s="21" t="e">
        <f t="shared" ca="1" si="4"/>
        <v>#DIV/0!</v>
      </c>
      <c r="N194" s="36" t="str">
        <f ca="1">IFERROR(__xludf.DUMMYFUNCTION("IF(COUNTIFS($C$2:C194, C194, $A$2:A194, ""&lt;="" &amp; A194) &lt; 30, STDEV.P(FILTER($G$2:G194, $C$2:C194 = C194)), STDEV.P(FILTER($G$2:G194, $C$2:C194 = C194, $A$2:A194 &gt;= A194 - 30)))
"),"#DIV/0!")</f>
        <v>#DIV/0!</v>
      </c>
    </row>
    <row r="195" spans="1:14" x14ac:dyDescent="0.2">
      <c r="A195" s="37"/>
      <c r="B195" s="5"/>
      <c r="C195" s="35"/>
      <c r="D195" s="19"/>
      <c r="E195" s="19"/>
      <c r="F195" s="19"/>
      <c r="G195" s="19" t="e">
        <f t="shared" si="0"/>
        <v>#DIV/0!</v>
      </c>
      <c r="H195" s="20" t="str">
        <f ca="1">IFERROR(__xludf.DUMMYFUNCTION("IF(COUNTIFS($C$2:C195, C195, $A$2:A195, ""&lt;="" &amp; A195) &lt; 30, AVERAGEIF($C$2:C195, C195, $G$2:G195), AVERAGE(FILTER($G$2:G195, $C$2:C195 = C195, $A$2:A195 &gt;= A195 - 30)))
"),"#DIV/0!")</f>
        <v>#DIV/0!</v>
      </c>
      <c r="I195" s="20" t="e">
        <f t="shared" ca="1" si="1"/>
        <v>#DIV/0!</v>
      </c>
      <c r="J195" s="20" t="str">
        <f ca="1">IFERROR(__xludf.DUMMYFUNCTION("IF(OR($I195=2, $I195=3), 0, IFERROR(COUNTIFS($C$2:C195, $C195, $A$2:A196, ""&gt;""&amp;IFERROR(MAX(FILTER($A$2:A196, $C$2:C195=$C195, $I$2:I195&lt;&gt;1)), 0), $I$2:I195, 1),1))
"),"#DIV/0!")</f>
        <v>#DIV/0!</v>
      </c>
      <c r="K195" s="20" t="e">
        <f t="shared" ca="1" si="2"/>
        <v>#DIV/0!</v>
      </c>
      <c r="L195" s="20" t="e">
        <f t="shared" ca="1" si="3"/>
        <v>#DIV/0!</v>
      </c>
      <c r="M195" s="21" t="e">
        <f t="shared" ca="1" si="4"/>
        <v>#DIV/0!</v>
      </c>
      <c r="N195" s="36" t="str">
        <f ca="1">IFERROR(__xludf.DUMMYFUNCTION("IF(COUNTIFS($C$2:C195, C195, $A$2:A195, ""&lt;="" &amp; A195) &lt; 30, STDEV.P(FILTER($G$2:G195, $C$2:C195 = C195)), STDEV.P(FILTER($G$2:G195, $C$2:C195 = C195, $A$2:A195 &gt;= A195 - 30)))
"),"#DIV/0!")</f>
        <v>#DIV/0!</v>
      </c>
    </row>
    <row r="196" spans="1:14" x14ac:dyDescent="0.2">
      <c r="A196" s="37"/>
      <c r="B196" s="5"/>
      <c r="C196" s="35"/>
      <c r="D196" s="19"/>
      <c r="E196" s="19"/>
      <c r="F196" s="19"/>
      <c r="G196" s="19" t="e">
        <f t="shared" si="0"/>
        <v>#DIV/0!</v>
      </c>
      <c r="H196" s="20" t="str">
        <f ca="1">IFERROR(__xludf.DUMMYFUNCTION("IF(COUNTIFS($C$2:C196, C196, $A$2:A196, ""&lt;="" &amp; A196) &lt; 30, AVERAGEIF($C$2:C196, C196, $G$2:G196), AVERAGE(FILTER($G$2:G196, $C$2:C196 = C196, $A$2:A196 &gt;= A196 - 30)))
"),"#DIV/0!")</f>
        <v>#DIV/0!</v>
      </c>
      <c r="I196" s="20" t="e">
        <f t="shared" ca="1" si="1"/>
        <v>#DIV/0!</v>
      </c>
      <c r="J196" s="20" t="str">
        <f ca="1">IFERROR(__xludf.DUMMYFUNCTION("IF(OR($I196=2, $I196=3), 0, IFERROR(COUNTIFS($C$2:C196, $C196, $A$2:A197, ""&gt;""&amp;IFERROR(MAX(FILTER($A$2:A197, $C$2:C196=$C196, $I$2:I196&lt;&gt;1)), 0), $I$2:I196, 1),1))
"),"#DIV/0!")</f>
        <v>#DIV/0!</v>
      </c>
      <c r="K196" s="20" t="e">
        <f t="shared" ca="1" si="2"/>
        <v>#DIV/0!</v>
      </c>
      <c r="L196" s="20" t="e">
        <f t="shared" ca="1" si="3"/>
        <v>#DIV/0!</v>
      </c>
      <c r="M196" s="21" t="e">
        <f t="shared" ca="1" si="4"/>
        <v>#DIV/0!</v>
      </c>
      <c r="N196" s="36" t="str">
        <f ca="1">IFERROR(__xludf.DUMMYFUNCTION("IF(COUNTIFS($C$2:C196, C196, $A$2:A196, ""&lt;="" &amp; A196) &lt; 30, STDEV.P(FILTER($G$2:G196, $C$2:C196 = C196)), STDEV.P(FILTER($G$2:G196, $C$2:C196 = C196, $A$2:A196 &gt;= A196 - 30)))
"),"#DIV/0!")</f>
        <v>#DIV/0!</v>
      </c>
    </row>
    <row r="197" spans="1:14" x14ac:dyDescent="0.2">
      <c r="A197" s="37"/>
      <c r="B197" s="5"/>
      <c r="C197" s="35"/>
      <c r="D197" s="19"/>
      <c r="E197" s="19"/>
      <c r="F197" s="19"/>
      <c r="G197" s="19" t="e">
        <f t="shared" si="0"/>
        <v>#DIV/0!</v>
      </c>
      <c r="H197" s="20" t="str">
        <f ca="1">IFERROR(__xludf.DUMMYFUNCTION("IF(COUNTIFS($C$2:C197, C197, $A$2:A197, ""&lt;="" &amp; A197) &lt; 30, AVERAGEIF($C$2:C197, C197, $G$2:G197), AVERAGE(FILTER($G$2:G197, $C$2:C197 = C197, $A$2:A197 &gt;= A197 - 30)))
"),"#DIV/0!")</f>
        <v>#DIV/0!</v>
      </c>
      <c r="I197" s="20" t="e">
        <f t="shared" ca="1" si="1"/>
        <v>#DIV/0!</v>
      </c>
      <c r="J197" s="20" t="str">
        <f ca="1">IFERROR(__xludf.DUMMYFUNCTION("IF(OR($I197=2, $I197=3), 0, IFERROR(COUNTIFS($C$2:C197, $C197, $A$2:A198, ""&gt;""&amp;IFERROR(MAX(FILTER($A$2:A198, $C$2:C197=$C197, $I$2:I197&lt;&gt;1)), 0), $I$2:I197, 1),1))
"),"#DIV/0!")</f>
        <v>#DIV/0!</v>
      </c>
      <c r="K197" s="20" t="e">
        <f t="shared" ca="1" si="2"/>
        <v>#DIV/0!</v>
      </c>
      <c r="L197" s="20" t="e">
        <f t="shared" ca="1" si="3"/>
        <v>#DIV/0!</v>
      </c>
      <c r="M197" s="21" t="e">
        <f t="shared" ca="1" si="4"/>
        <v>#DIV/0!</v>
      </c>
      <c r="N197" s="36" t="str">
        <f ca="1">IFERROR(__xludf.DUMMYFUNCTION("IF(COUNTIFS($C$2:C197, C197, $A$2:A197, ""&lt;="" &amp; A197) &lt; 30, STDEV.P(FILTER($G$2:G197, $C$2:C197 = C197)), STDEV.P(FILTER($G$2:G197, $C$2:C197 = C197, $A$2:A197 &gt;= A197 - 30)))
"),"#DIV/0!")</f>
        <v>#DIV/0!</v>
      </c>
    </row>
    <row r="198" spans="1:14" x14ac:dyDescent="0.2">
      <c r="A198" s="37"/>
      <c r="B198" s="5"/>
      <c r="C198" s="35"/>
      <c r="D198" s="19"/>
      <c r="E198" s="19"/>
      <c r="F198" s="19"/>
      <c r="G198" s="19" t="e">
        <f t="shared" si="0"/>
        <v>#DIV/0!</v>
      </c>
      <c r="H198" s="20" t="str">
        <f ca="1">IFERROR(__xludf.DUMMYFUNCTION("IF(COUNTIFS($C$2:C198, C198, $A$2:A198, ""&lt;="" &amp; A198) &lt; 30, AVERAGEIF($C$2:C198, C198, $G$2:G198), AVERAGE(FILTER($G$2:G198, $C$2:C198 = C198, $A$2:A198 &gt;= A198 - 30)))
"),"#DIV/0!")</f>
        <v>#DIV/0!</v>
      </c>
      <c r="I198" s="20" t="e">
        <f t="shared" ca="1" si="1"/>
        <v>#DIV/0!</v>
      </c>
      <c r="J198" s="20" t="str">
        <f ca="1">IFERROR(__xludf.DUMMYFUNCTION("IF(OR($I198=2, $I198=3), 0, IFERROR(COUNTIFS($C$2:C198, $C198, $A$2:A199, ""&gt;""&amp;IFERROR(MAX(FILTER($A$2:A199, $C$2:C198=$C198, $I$2:I198&lt;&gt;1)), 0), $I$2:I198, 1),1))
"),"#DIV/0!")</f>
        <v>#DIV/0!</v>
      </c>
      <c r="K198" s="20" t="e">
        <f t="shared" ca="1" si="2"/>
        <v>#DIV/0!</v>
      </c>
      <c r="L198" s="20" t="e">
        <f t="shared" ca="1" si="3"/>
        <v>#DIV/0!</v>
      </c>
      <c r="M198" s="21" t="e">
        <f t="shared" ca="1" si="4"/>
        <v>#DIV/0!</v>
      </c>
      <c r="N198" s="36" t="str">
        <f ca="1">IFERROR(__xludf.DUMMYFUNCTION("IF(COUNTIFS($C$2:C198, C198, $A$2:A198, ""&lt;="" &amp; A198) &lt; 30, STDEV.P(FILTER($G$2:G198, $C$2:C198 = C198)), STDEV.P(FILTER($G$2:G198, $C$2:C198 = C198, $A$2:A198 &gt;= A198 - 30)))
"),"#DIV/0!")</f>
        <v>#DIV/0!</v>
      </c>
    </row>
    <row r="199" spans="1:14" x14ac:dyDescent="0.2">
      <c r="A199" s="37"/>
      <c r="B199" s="7"/>
      <c r="C199" s="35"/>
      <c r="D199" s="20"/>
      <c r="E199" s="20"/>
      <c r="F199" s="20"/>
      <c r="G199" s="19" t="e">
        <f t="shared" si="0"/>
        <v>#DIV/0!</v>
      </c>
      <c r="H199" s="20" t="str">
        <f ca="1">IFERROR(__xludf.DUMMYFUNCTION("IF(COUNTIFS($C$2:C199, C199, $A$2:A199, ""&lt;="" &amp; A199) &lt; 30, AVERAGEIF($C$2:C199, C199, $G$2:G199), AVERAGE(FILTER($G$2:G199, $C$2:C199 = C199, $A$2:A199 &gt;= A199 - 30)))
"),"#DIV/0!")</f>
        <v>#DIV/0!</v>
      </c>
      <c r="I199" s="20" t="e">
        <f t="shared" ca="1" si="1"/>
        <v>#DIV/0!</v>
      </c>
      <c r="J199" s="20" t="str">
        <f ca="1">IFERROR(__xludf.DUMMYFUNCTION("IF(OR($I199=2, $I199=3), 0, IFERROR(COUNTIFS($C$2:C199, $C199, $A$2:A200, ""&gt;""&amp;IFERROR(MAX(FILTER($A$2:A200, $C$2:C199=$C199, $I$2:I199&lt;&gt;1)), 0), $I$2:I199, 1),1))
"),"#DIV/0!")</f>
        <v>#DIV/0!</v>
      </c>
      <c r="K199" s="20" t="e">
        <f t="shared" ca="1" si="2"/>
        <v>#DIV/0!</v>
      </c>
      <c r="L199" s="20" t="e">
        <f t="shared" ca="1" si="3"/>
        <v>#DIV/0!</v>
      </c>
      <c r="M199" s="21" t="e">
        <f t="shared" ca="1" si="4"/>
        <v>#DIV/0!</v>
      </c>
      <c r="N199" s="36" t="str">
        <f ca="1">IFERROR(__xludf.DUMMYFUNCTION("IF(COUNTIFS($C$2:C199, C199, $A$2:A199, ""&lt;="" &amp; A199) &lt; 30, STDEV.P(FILTER($G$2:G199, $C$2:C199 = C199)), STDEV.P(FILTER($G$2:G199, $C$2:C199 = C199, $A$2:A199 &gt;= A199 - 30)))
"),"#DIV/0!")</f>
        <v>#DIV/0!</v>
      </c>
    </row>
    <row r="200" spans="1:14" x14ac:dyDescent="0.2">
      <c r="A200" s="37"/>
      <c r="B200" s="7"/>
      <c r="C200" s="35"/>
      <c r="D200" s="20"/>
      <c r="E200" s="20"/>
      <c r="F200" s="20"/>
      <c r="G200" s="19" t="e">
        <f t="shared" si="0"/>
        <v>#DIV/0!</v>
      </c>
      <c r="H200" s="20" t="str">
        <f ca="1">IFERROR(__xludf.DUMMYFUNCTION("IF(COUNTIFS($C$2:C200, C200, $A$2:A200, ""&lt;="" &amp; A200) &lt; 30, AVERAGEIF($C$2:C200, C200, $G$2:G200), AVERAGE(FILTER($G$2:G200, $C$2:C200 = C200, $A$2:A200 &gt;= A200 - 30)))
"),"#DIV/0!")</f>
        <v>#DIV/0!</v>
      </c>
      <c r="I200" s="20" t="e">
        <f t="shared" ca="1" si="1"/>
        <v>#DIV/0!</v>
      </c>
      <c r="J200" s="20" t="str">
        <f ca="1">IFERROR(__xludf.DUMMYFUNCTION("IF(OR($I200=2, $I200=3), 0, IFERROR(COUNTIFS($C$2:C200, $C200, $A$2:A201, ""&gt;""&amp;IFERROR(MAX(FILTER($A$2:A201, $C$2:C200=$C200, $I$2:I200&lt;&gt;1)), 0), $I$2:I200, 1),1))
"),"#DIV/0!")</f>
        <v>#DIV/0!</v>
      </c>
      <c r="K200" s="20" t="e">
        <f t="shared" ca="1" si="2"/>
        <v>#DIV/0!</v>
      </c>
      <c r="L200" s="20" t="e">
        <f t="shared" ca="1" si="3"/>
        <v>#DIV/0!</v>
      </c>
      <c r="M200" s="21" t="e">
        <f t="shared" ca="1" si="4"/>
        <v>#DIV/0!</v>
      </c>
      <c r="N200" s="36" t="str">
        <f ca="1">IFERROR(__xludf.DUMMYFUNCTION("IF(COUNTIFS($C$2:C200, C200, $A$2:A200, ""&lt;="" &amp; A200) &lt; 30, STDEV.P(FILTER($G$2:G200, $C$2:C200 = C200)), STDEV.P(FILTER($G$2:G200, $C$2:C200 = C200, $A$2:A200 &gt;= A200 - 30)))
"),"#DIV/0!")</f>
        <v>#DIV/0!</v>
      </c>
    </row>
    <row r="201" spans="1:14" x14ac:dyDescent="0.2">
      <c r="A201" s="37"/>
      <c r="B201" s="7"/>
      <c r="C201" s="35"/>
      <c r="D201" s="20"/>
      <c r="E201" s="20"/>
      <c r="F201" s="20"/>
      <c r="G201" s="19" t="e">
        <f t="shared" si="0"/>
        <v>#DIV/0!</v>
      </c>
      <c r="H201" s="20" t="str">
        <f ca="1">IFERROR(__xludf.DUMMYFUNCTION("IF(COUNTIFS($C$2:C201, C201, $A$2:A201, ""&lt;="" &amp; A201) &lt; 30, AVERAGEIF($C$2:C201, C201, $G$2:G201), AVERAGE(FILTER($G$2:G201, $C$2:C201 = C201, $A$2:A201 &gt;= A201 - 30)))
"),"#DIV/0!")</f>
        <v>#DIV/0!</v>
      </c>
      <c r="I201" s="20" t="e">
        <f t="shared" ca="1" si="1"/>
        <v>#DIV/0!</v>
      </c>
      <c r="J201" s="20" t="str">
        <f ca="1">IFERROR(__xludf.DUMMYFUNCTION("IF(OR($I201=2, $I201=3), 0, IFERROR(COUNTIFS($C$2:C201, $C201, $A$2:A202, ""&gt;""&amp;IFERROR(MAX(FILTER($A$2:A202, $C$2:C201=$C201, $I$2:I201&lt;&gt;1)), 0), $I$2:I201, 1),1))
"),"#DIV/0!")</f>
        <v>#DIV/0!</v>
      </c>
      <c r="K201" s="20" t="e">
        <f t="shared" ca="1" si="2"/>
        <v>#DIV/0!</v>
      </c>
      <c r="L201" s="20" t="e">
        <f t="shared" ca="1" si="3"/>
        <v>#DIV/0!</v>
      </c>
      <c r="M201" s="21" t="e">
        <f t="shared" ca="1" si="4"/>
        <v>#DIV/0!</v>
      </c>
      <c r="N201" s="36" t="str">
        <f ca="1">IFERROR(__xludf.DUMMYFUNCTION("IF(COUNTIFS($C$2:C201, C201, $A$2:A201, ""&lt;="" &amp; A201) &lt; 30, STDEV.P(FILTER($G$2:G201, $C$2:C201 = C201)), STDEV.P(FILTER($G$2:G201, $C$2:C201 = C201, $A$2:A201 &gt;= A201 - 30)))
"),"#DIV/0!")</f>
        <v>#DIV/0!</v>
      </c>
    </row>
    <row r="202" spans="1:14" x14ac:dyDescent="0.2">
      <c r="A202" s="37"/>
      <c r="B202" s="7"/>
      <c r="C202" s="35"/>
      <c r="D202" s="20"/>
      <c r="E202" s="20"/>
      <c r="F202" s="20"/>
      <c r="G202" s="19" t="e">
        <f t="shared" si="0"/>
        <v>#DIV/0!</v>
      </c>
      <c r="H202" s="20" t="str">
        <f ca="1">IFERROR(__xludf.DUMMYFUNCTION("IF(COUNTIFS($C$2:C202, C202, $A$2:A202, ""&lt;="" &amp; A202) &lt; 30, AVERAGEIF($C$2:C202, C202, $G$2:G202), AVERAGE(FILTER($G$2:G202, $C$2:C202 = C202, $A$2:A202 &gt;= A202 - 30)))
"),"#DIV/0!")</f>
        <v>#DIV/0!</v>
      </c>
      <c r="I202" s="20" t="e">
        <f t="shared" ca="1" si="1"/>
        <v>#DIV/0!</v>
      </c>
      <c r="J202" s="20" t="str">
        <f ca="1">IFERROR(__xludf.DUMMYFUNCTION("IF(OR($I202=2, $I202=3), 0, IFERROR(COUNTIFS($C$2:C202, $C202, $A$2:A203, ""&gt;""&amp;IFERROR(MAX(FILTER($A$2:A203, $C$2:C202=$C202, $I$2:I202&lt;&gt;1)), 0), $I$2:I202, 1),1))
"),"#DIV/0!")</f>
        <v>#DIV/0!</v>
      </c>
      <c r="K202" s="20" t="e">
        <f t="shared" ca="1" si="2"/>
        <v>#DIV/0!</v>
      </c>
      <c r="L202" s="20" t="e">
        <f t="shared" ca="1" si="3"/>
        <v>#DIV/0!</v>
      </c>
      <c r="M202" s="21" t="e">
        <f t="shared" ca="1" si="4"/>
        <v>#DIV/0!</v>
      </c>
      <c r="N202" s="36" t="str">
        <f ca="1">IFERROR(__xludf.DUMMYFUNCTION("IF(COUNTIFS($C$2:C202, C202, $A$2:A202, ""&lt;="" &amp; A202) &lt; 30, STDEV.P(FILTER($G$2:G202, $C$2:C202 = C202)), STDEV.P(FILTER($G$2:G202, $C$2:C202 = C202, $A$2:A202 &gt;= A202 - 30)))
"),"#DIV/0!")</f>
        <v>#DIV/0!</v>
      </c>
    </row>
    <row r="203" spans="1:14" x14ac:dyDescent="0.2">
      <c r="A203" s="37"/>
      <c r="B203" s="7"/>
      <c r="C203" s="35"/>
      <c r="D203" s="20"/>
      <c r="E203" s="20"/>
      <c r="F203" s="20"/>
      <c r="G203" s="19" t="e">
        <f t="shared" si="0"/>
        <v>#DIV/0!</v>
      </c>
      <c r="H203" s="20" t="str">
        <f ca="1">IFERROR(__xludf.DUMMYFUNCTION("IF(COUNTIFS($C$2:C203, C203, $A$2:A203, ""&lt;="" &amp; A203) &lt; 30, AVERAGEIF($C$2:C203, C203, $G$2:G203), AVERAGE(FILTER($G$2:G203, $C$2:C203 = C203, $A$2:A203 &gt;= A203 - 30)))
"),"#DIV/0!")</f>
        <v>#DIV/0!</v>
      </c>
      <c r="I203" s="20" t="e">
        <f t="shared" ca="1" si="1"/>
        <v>#DIV/0!</v>
      </c>
      <c r="J203" s="20" t="str">
        <f ca="1">IFERROR(__xludf.DUMMYFUNCTION("IF(OR($I203=2, $I203=3), 0, IFERROR(COUNTIFS($C$2:C203, $C203, $A$2:A204, ""&gt;""&amp;IFERROR(MAX(FILTER($A$2:A204, $C$2:C203=$C203, $I$2:I203&lt;&gt;1)), 0), $I$2:I203, 1),1))
"),"#DIV/0!")</f>
        <v>#DIV/0!</v>
      </c>
      <c r="K203" s="20" t="e">
        <f t="shared" ca="1" si="2"/>
        <v>#DIV/0!</v>
      </c>
      <c r="L203" s="20" t="e">
        <f t="shared" ca="1" si="3"/>
        <v>#DIV/0!</v>
      </c>
      <c r="M203" s="21" t="e">
        <f t="shared" ca="1" si="4"/>
        <v>#DIV/0!</v>
      </c>
      <c r="N203" s="36" t="str">
        <f ca="1">IFERROR(__xludf.DUMMYFUNCTION("IF(COUNTIFS($C$2:C203, C203, $A$2:A203, ""&lt;="" &amp; A203) &lt; 30, STDEV.P(FILTER($G$2:G203, $C$2:C203 = C203)), STDEV.P(FILTER($G$2:G203, $C$2:C203 = C203, $A$2:A203 &gt;= A203 - 30)))
"),"#DIV/0!")</f>
        <v>#DIV/0!</v>
      </c>
    </row>
    <row r="204" spans="1:14" x14ac:dyDescent="0.2">
      <c r="A204" s="37"/>
      <c r="B204" s="5"/>
      <c r="C204" s="35"/>
      <c r="D204" s="19"/>
      <c r="E204" s="19"/>
      <c r="F204" s="19"/>
      <c r="G204" s="19" t="e">
        <f t="shared" si="0"/>
        <v>#DIV/0!</v>
      </c>
      <c r="H204" s="20" t="str">
        <f ca="1">IFERROR(__xludf.DUMMYFUNCTION("IF(COUNTIFS($C$2:C204, C204, $A$2:A204, ""&lt;="" &amp; A204) &lt; 30, AVERAGEIF($C$2:C204, C204, $G$2:G204), AVERAGE(FILTER($G$2:G204, $C$2:C204 = C204, $A$2:A204 &gt;= A204 - 30)))
"),"#DIV/0!")</f>
        <v>#DIV/0!</v>
      </c>
      <c r="I204" s="20" t="e">
        <f t="shared" ca="1" si="1"/>
        <v>#DIV/0!</v>
      </c>
      <c r="J204" s="20" t="str">
        <f ca="1">IFERROR(__xludf.DUMMYFUNCTION("IF(OR($I204=2, $I204=3), 0, IFERROR(COUNTIFS($C$2:C204, $C204, $A$2:A205, ""&gt;""&amp;IFERROR(MAX(FILTER($A$2:A205, $C$2:C204=$C204, $I$2:I204&lt;&gt;1)), 0), $I$2:I204, 1),1))
"),"#DIV/0!")</f>
        <v>#DIV/0!</v>
      </c>
      <c r="K204" s="20" t="e">
        <f t="shared" ca="1" si="2"/>
        <v>#DIV/0!</v>
      </c>
      <c r="L204" s="20" t="e">
        <f t="shared" ca="1" si="3"/>
        <v>#DIV/0!</v>
      </c>
      <c r="M204" s="21" t="e">
        <f t="shared" ca="1" si="4"/>
        <v>#DIV/0!</v>
      </c>
      <c r="N204" s="36" t="str">
        <f ca="1">IFERROR(__xludf.DUMMYFUNCTION("IF(COUNTIFS($C$2:C204, C204, $A$2:A204, ""&lt;="" &amp; A204) &lt; 30, STDEV.P(FILTER($G$2:G204, $C$2:C204 = C204)), STDEV.P(FILTER($G$2:G204, $C$2:C204 = C204, $A$2:A204 &gt;= A204 - 30)))
"),"#DIV/0!")</f>
        <v>#DIV/0!</v>
      </c>
    </row>
    <row r="205" spans="1:14" x14ac:dyDescent="0.2">
      <c r="A205" s="37"/>
      <c r="B205" s="5"/>
      <c r="C205" s="35"/>
      <c r="D205" s="19"/>
      <c r="E205" s="19"/>
      <c r="F205" s="19"/>
      <c r="G205" s="19" t="e">
        <f t="shared" si="0"/>
        <v>#DIV/0!</v>
      </c>
      <c r="H205" s="20" t="str">
        <f ca="1">IFERROR(__xludf.DUMMYFUNCTION("IF(COUNTIFS($C$2:C205, C205, $A$2:A205, ""&lt;="" &amp; A205) &lt; 30, AVERAGEIF($C$2:C205, C205, $G$2:G205), AVERAGE(FILTER($G$2:G205, $C$2:C205 = C205, $A$2:A205 &gt;= A205 - 30)))
"),"#DIV/0!")</f>
        <v>#DIV/0!</v>
      </c>
      <c r="I205" s="20" t="e">
        <f t="shared" ca="1" si="1"/>
        <v>#DIV/0!</v>
      </c>
      <c r="J205" s="20" t="str">
        <f ca="1">IFERROR(__xludf.DUMMYFUNCTION("IF(OR($I205=2, $I205=3), 0, IFERROR(COUNTIFS($C$2:C205, $C205, $A$2:A206, ""&gt;""&amp;IFERROR(MAX(FILTER($A$2:A206, $C$2:C205=$C205, $I$2:I205&lt;&gt;1)), 0), $I$2:I205, 1),1))
"),"#DIV/0!")</f>
        <v>#DIV/0!</v>
      </c>
      <c r="K205" s="20" t="e">
        <f t="shared" ca="1" si="2"/>
        <v>#DIV/0!</v>
      </c>
      <c r="L205" s="20" t="e">
        <f t="shared" ca="1" si="3"/>
        <v>#DIV/0!</v>
      </c>
      <c r="M205" s="21" t="e">
        <f t="shared" ca="1" si="4"/>
        <v>#DIV/0!</v>
      </c>
      <c r="N205" s="36" t="str">
        <f ca="1">IFERROR(__xludf.DUMMYFUNCTION("IF(COUNTIFS($C$2:C205, C205, $A$2:A205, ""&lt;="" &amp; A205) &lt; 30, STDEV.P(FILTER($G$2:G205, $C$2:C205 = C205)), STDEV.P(FILTER($G$2:G205, $C$2:C205 = C205, $A$2:A205 &gt;= A205 - 30)))
"),"#DIV/0!")</f>
        <v>#DIV/0!</v>
      </c>
    </row>
    <row r="206" spans="1:14" x14ac:dyDescent="0.2">
      <c r="A206" s="37"/>
      <c r="B206" s="5"/>
      <c r="C206" s="35"/>
      <c r="D206" s="19"/>
      <c r="E206" s="19"/>
      <c r="F206" s="19"/>
      <c r="G206" s="19" t="e">
        <f t="shared" si="0"/>
        <v>#DIV/0!</v>
      </c>
      <c r="H206" s="20" t="str">
        <f ca="1">IFERROR(__xludf.DUMMYFUNCTION("IF(COUNTIFS($C$2:C206, C206, $A$2:A206, ""&lt;="" &amp; A206) &lt; 30, AVERAGEIF($C$2:C206, C206, $G$2:G206), AVERAGE(FILTER($G$2:G206, $C$2:C206 = C206, $A$2:A206 &gt;= A206 - 30)))
"),"#DIV/0!")</f>
        <v>#DIV/0!</v>
      </c>
      <c r="I206" s="20" t="e">
        <f t="shared" ca="1" si="1"/>
        <v>#DIV/0!</v>
      </c>
      <c r="J206" s="20" t="str">
        <f ca="1">IFERROR(__xludf.DUMMYFUNCTION("IF(OR($I206=2, $I206=3), 0, IFERROR(COUNTIFS($C$2:C206, $C206, $A$2:A207, ""&gt;""&amp;IFERROR(MAX(FILTER($A$2:A207, $C$2:C206=$C206, $I$2:I206&lt;&gt;1)), 0), $I$2:I206, 1),1))
"),"#DIV/0!")</f>
        <v>#DIV/0!</v>
      </c>
      <c r="K206" s="20" t="e">
        <f t="shared" ca="1" si="2"/>
        <v>#DIV/0!</v>
      </c>
      <c r="L206" s="20" t="e">
        <f t="shared" ca="1" si="3"/>
        <v>#DIV/0!</v>
      </c>
      <c r="M206" s="21" t="e">
        <f t="shared" ca="1" si="4"/>
        <v>#DIV/0!</v>
      </c>
      <c r="N206" s="36" t="str">
        <f ca="1">IFERROR(__xludf.DUMMYFUNCTION("IF(COUNTIFS($C$2:C206, C206, $A$2:A206, ""&lt;="" &amp; A206) &lt; 30, STDEV.P(FILTER($G$2:G206, $C$2:C206 = C206)), STDEV.P(FILTER($G$2:G206, $C$2:C206 = C206, $A$2:A206 &gt;= A206 - 30)))
"),"#DIV/0!")</f>
        <v>#DIV/0!</v>
      </c>
    </row>
    <row r="207" spans="1:14" x14ac:dyDescent="0.2">
      <c r="A207" s="37"/>
      <c r="B207" s="5"/>
      <c r="C207" s="35"/>
      <c r="D207" s="19"/>
      <c r="E207" s="19"/>
      <c r="F207" s="19"/>
      <c r="G207" s="19" t="e">
        <f t="shared" si="0"/>
        <v>#DIV/0!</v>
      </c>
      <c r="H207" s="20" t="str">
        <f ca="1">IFERROR(__xludf.DUMMYFUNCTION("IF(COUNTIFS($C$2:C207, C207, $A$2:A207, ""&lt;="" &amp; A207) &lt; 30, AVERAGEIF($C$2:C207, C207, $G$2:G207), AVERAGE(FILTER($G$2:G207, $C$2:C207 = C207, $A$2:A207 &gt;= A207 - 30)))
"),"#DIV/0!")</f>
        <v>#DIV/0!</v>
      </c>
      <c r="I207" s="20" t="e">
        <f t="shared" ca="1" si="1"/>
        <v>#DIV/0!</v>
      </c>
      <c r="J207" s="20" t="str">
        <f ca="1">IFERROR(__xludf.DUMMYFUNCTION("IF(OR($I207=2, $I207=3), 0, IFERROR(COUNTIFS($C$2:C207, $C207, $A$2:A208, ""&gt;""&amp;IFERROR(MAX(FILTER($A$2:A208, $C$2:C207=$C207, $I$2:I207&lt;&gt;1)), 0), $I$2:I207, 1),1))
"),"#DIV/0!")</f>
        <v>#DIV/0!</v>
      </c>
      <c r="K207" s="20" t="e">
        <f t="shared" ca="1" si="2"/>
        <v>#DIV/0!</v>
      </c>
      <c r="L207" s="20" t="e">
        <f t="shared" ca="1" si="3"/>
        <v>#DIV/0!</v>
      </c>
      <c r="M207" s="21" t="e">
        <f t="shared" ca="1" si="4"/>
        <v>#DIV/0!</v>
      </c>
      <c r="N207" s="36" t="str">
        <f ca="1">IFERROR(__xludf.DUMMYFUNCTION("IF(COUNTIFS($C$2:C207, C207, $A$2:A207, ""&lt;="" &amp; A207) &lt; 30, STDEV.P(FILTER($G$2:G207, $C$2:C207 = C207)), STDEV.P(FILTER($G$2:G207, $C$2:C207 = C207, $A$2:A207 &gt;= A207 - 30)))
"),"#DIV/0!")</f>
        <v>#DIV/0!</v>
      </c>
    </row>
    <row r="208" spans="1:14" x14ac:dyDescent="0.2">
      <c r="A208" s="37"/>
      <c r="B208" s="5"/>
      <c r="C208" s="35"/>
      <c r="D208" s="19"/>
      <c r="E208" s="19"/>
      <c r="F208" s="19"/>
      <c r="G208" s="19" t="e">
        <f t="shared" si="0"/>
        <v>#DIV/0!</v>
      </c>
      <c r="H208" s="20" t="str">
        <f ca="1">IFERROR(__xludf.DUMMYFUNCTION("IF(COUNTIFS($C$2:C208, C208, $A$2:A208, ""&lt;="" &amp; A208) &lt; 30, AVERAGEIF($C$2:C208, C208, $G$2:G208), AVERAGE(FILTER($G$2:G208, $C$2:C208 = C208, $A$2:A208 &gt;= A208 - 30)))
"),"#DIV/0!")</f>
        <v>#DIV/0!</v>
      </c>
      <c r="I208" s="20" t="e">
        <f t="shared" ca="1" si="1"/>
        <v>#DIV/0!</v>
      </c>
      <c r="J208" s="20" t="str">
        <f ca="1">IFERROR(__xludf.DUMMYFUNCTION("IF(OR($I208=2, $I208=3), 0, IFERROR(COUNTIFS($C$2:C208, $C208, $A$2:A209, ""&gt;""&amp;IFERROR(MAX(FILTER($A$2:A209, $C$2:C208=$C208, $I$2:I208&lt;&gt;1)), 0), $I$2:I208, 1),1))
"),"#DIV/0!")</f>
        <v>#DIV/0!</v>
      </c>
      <c r="K208" s="20" t="e">
        <f t="shared" ca="1" si="2"/>
        <v>#DIV/0!</v>
      </c>
      <c r="L208" s="20" t="e">
        <f t="shared" ca="1" si="3"/>
        <v>#DIV/0!</v>
      </c>
      <c r="M208" s="21" t="e">
        <f t="shared" ca="1" si="4"/>
        <v>#DIV/0!</v>
      </c>
      <c r="N208" s="36" t="str">
        <f ca="1">IFERROR(__xludf.DUMMYFUNCTION("IF(COUNTIFS($C$2:C208, C208, $A$2:A208, ""&lt;="" &amp; A208) &lt; 30, STDEV.P(FILTER($G$2:G208, $C$2:C208 = C208)), STDEV.P(FILTER($G$2:G208, $C$2:C208 = C208, $A$2:A208 &gt;= A208 - 30)))
"),"#DIV/0!")</f>
        <v>#DIV/0!</v>
      </c>
    </row>
    <row r="209" spans="1:14" x14ac:dyDescent="0.2">
      <c r="A209" s="37"/>
      <c r="B209" s="5"/>
      <c r="C209" s="35"/>
      <c r="D209" s="19"/>
      <c r="E209" s="19"/>
      <c r="F209" s="19"/>
      <c r="G209" s="19" t="e">
        <f t="shared" si="0"/>
        <v>#DIV/0!</v>
      </c>
      <c r="H209" s="20" t="str">
        <f ca="1">IFERROR(__xludf.DUMMYFUNCTION("IF(COUNTIFS($C$2:C209, C209, $A$2:A209, ""&lt;="" &amp; A209) &lt; 30, AVERAGEIF($C$2:C209, C209, $G$2:G209), AVERAGE(FILTER($G$2:G209, $C$2:C209 = C209, $A$2:A209 &gt;= A209 - 30)))
"),"#DIV/0!")</f>
        <v>#DIV/0!</v>
      </c>
      <c r="I209" s="20" t="e">
        <f t="shared" ca="1" si="1"/>
        <v>#DIV/0!</v>
      </c>
      <c r="J209" s="20" t="str">
        <f ca="1">IFERROR(__xludf.DUMMYFUNCTION("IF(OR($I209=2, $I209=3), 0, IFERROR(COUNTIFS($C$2:C209, $C209, $A$2:A210, ""&gt;""&amp;IFERROR(MAX(FILTER($A$2:A210, $C$2:C209=$C209, $I$2:I209&lt;&gt;1)), 0), $I$2:I209, 1),1))
"),"#DIV/0!")</f>
        <v>#DIV/0!</v>
      </c>
      <c r="K209" s="20" t="e">
        <f t="shared" ca="1" si="2"/>
        <v>#DIV/0!</v>
      </c>
      <c r="L209" s="20" t="e">
        <f t="shared" ca="1" si="3"/>
        <v>#DIV/0!</v>
      </c>
      <c r="M209" s="21" t="e">
        <f t="shared" ca="1" si="4"/>
        <v>#DIV/0!</v>
      </c>
      <c r="N209" s="36" t="str">
        <f ca="1">IFERROR(__xludf.DUMMYFUNCTION("IF(COUNTIFS($C$2:C209, C209, $A$2:A209, ""&lt;="" &amp; A209) &lt; 30, STDEV.P(FILTER($G$2:G209, $C$2:C209 = C209)), STDEV.P(FILTER($G$2:G209, $C$2:C209 = C209, $A$2:A209 &gt;= A209 - 30)))
"),"#DIV/0!")</f>
        <v>#DIV/0!</v>
      </c>
    </row>
    <row r="210" spans="1:14" x14ac:dyDescent="0.2">
      <c r="A210" s="37"/>
      <c r="B210" s="5"/>
      <c r="C210" s="35"/>
      <c r="D210" s="19"/>
      <c r="E210" s="19"/>
      <c r="F210" s="19"/>
      <c r="G210" s="19" t="e">
        <f t="shared" si="0"/>
        <v>#DIV/0!</v>
      </c>
      <c r="H210" s="20" t="str">
        <f ca="1">IFERROR(__xludf.DUMMYFUNCTION("IF(COUNTIFS($C$2:C210, C210, $A$2:A210, ""&lt;="" &amp; A210) &lt; 30, AVERAGEIF($C$2:C210, C210, $G$2:G210), AVERAGE(FILTER($G$2:G210, $C$2:C210 = C210, $A$2:A210 &gt;= A210 - 30)))
"),"#DIV/0!")</f>
        <v>#DIV/0!</v>
      </c>
      <c r="I210" s="20" t="e">
        <f t="shared" ca="1" si="1"/>
        <v>#DIV/0!</v>
      </c>
      <c r="J210" s="20" t="str">
        <f ca="1">IFERROR(__xludf.DUMMYFUNCTION("IF(OR($I210=2, $I210=3), 0, IFERROR(COUNTIFS($C$2:C210, $C210, $A$2:A211, ""&gt;""&amp;IFERROR(MAX(FILTER($A$2:A211, $C$2:C210=$C210, $I$2:I210&lt;&gt;1)), 0), $I$2:I210, 1),1))
"),"#DIV/0!")</f>
        <v>#DIV/0!</v>
      </c>
      <c r="K210" s="20" t="e">
        <f t="shared" ca="1" si="2"/>
        <v>#DIV/0!</v>
      </c>
      <c r="L210" s="20" t="e">
        <f t="shared" ca="1" si="3"/>
        <v>#DIV/0!</v>
      </c>
      <c r="M210" s="21" t="e">
        <f t="shared" ca="1" si="4"/>
        <v>#DIV/0!</v>
      </c>
      <c r="N210" s="36" t="str">
        <f ca="1">IFERROR(__xludf.DUMMYFUNCTION("IF(COUNTIFS($C$2:C210, C210, $A$2:A210, ""&lt;="" &amp; A210) &lt; 30, STDEV.P(FILTER($G$2:G210, $C$2:C210 = C210)), STDEV.P(FILTER($G$2:G210, $C$2:C210 = C210, $A$2:A210 &gt;= A210 - 30)))
"),"#DIV/0!")</f>
        <v>#DIV/0!</v>
      </c>
    </row>
    <row r="211" spans="1:14" x14ac:dyDescent="0.2">
      <c r="A211" s="37"/>
      <c r="B211" s="5"/>
      <c r="C211" s="35"/>
      <c r="D211" s="19"/>
      <c r="E211" s="19"/>
      <c r="F211" s="19"/>
      <c r="G211" s="19" t="e">
        <f t="shared" si="0"/>
        <v>#DIV/0!</v>
      </c>
      <c r="H211" s="20" t="str">
        <f ca="1">IFERROR(__xludf.DUMMYFUNCTION("IF(COUNTIFS($C$2:C211, C211, $A$2:A211, ""&lt;="" &amp; A211) &lt; 30, AVERAGEIF($C$2:C211, C211, $G$2:G211), AVERAGE(FILTER($G$2:G211, $C$2:C211 = C211, $A$2:A211 &gt;= A211 - 30)))
"),"#DIV/0!")</f>
        <v>#DIV/0!</v>
      </c>
      <c r="I211" s="20" t="e">
        <f t="shared" ca="1" si="1"/>
        <v>#DIV/0!</v>
      </c>
      <c r="J211" s="20" t="str">
        <f ca="1">IFERROR(__xludf.DUMMYFUNCTION("IF(OR($I211=2, $I211=3), 0, IFERROR(COUNTIFS($C$2:C211, $C211, $A$2:A212, ""&gt;""&amp;IFERROR(MAX(FILTER($A$2:A212, $C$2:C211=$C211, $I$2:I211&lt;&gt;1)), 0), $I$2:I211, 1),1))
"),"#DIV/0!")</f>
        <v>#DIV/0!</v>
      </c>
      <c r="K211" s="20" t="e">
        <f t="shared" ca="1" si="2"/>
        <v>#DIV/0!</v>
      </c>
      <c r="L211" s="20" t="e">
        <f t="shared" ca="1" si="3"/>
        <v>#DIV/0!</v>
      </c>
      <c r="M211" s="21" t="e">
        <f t="shared" ca="1" si="4"/>
        <v>#DIV/0!</v>
      </c>
      <c r="N211" s="36" t="str">
        <f ca="1">IFERROR(__xludf.DUMMYFUNCTION("IF(COUNTIFS($C$2:C211, C211, $A$2:A211, ""&lt;="" &amp; A211) &lt; 30, STDEV.P(FILTER($G$2:G211, $C$2:C211 = C211)), STDEV.P(FILTER($G$2:G211, $C$2:C211 = C211, $A$2:A211 &gt;= A211 - 30)))
"),"#DIV/0!")</f>
        <v>#DIV/0!</v>
      </c>
    </row>
    <row r="212" spans="1:14" x14ac:dyDescent="0.2">
      <c r="A212" s="37"/>
      <c r="B212" s="5"/>
      <c r="C212" s="35"/>
      <c r="D212" s="19"/>
      <c r="E212" s="19"/>
      <c r="F212" s="19"/>
      <c r="G212" s="19" t="e">
        <f t="shared" si="0"/>
        <v>#DIV/0!</v>
      </c>
      <c r="H212" s="20" t="str">
        <f ca="1">IFERROR(__xludf.DUMMYFUNCTION("IF(COUNTIFS($C$2:C212, C212, $A$2:A212, ""&lt;="" &amp; A212) &lt; 30, AVERAGEIF($C$2:C212, C212, $G$2:G212), AVERAGE(FILTER($G$2:G212, $C$2:C212 = C212, $A$2:A212 &gt;= A212 - 30)))
"),"#DIV/0!")</f>
        <v>#DIV/0!</v>
      </c>
      <c r="I212" s="20" t="e">
        <f t="shared" ca="1" si="1"/>
        <v>#DIV/0!</v>
      </c>
      <c r="J212" s="20" t="str">
        <f ca="1">IFERROR(__xludf.DUMMYFUNCTION("IF(OR($I212=2, $I212=3), 0, IFERROR(COUNTIFS($C$2:C212, $C212, $A$2:A213, ""&gt;""&amp;IFERROR(MAX(FILTER($A$2:A213, $C$2:C212=$C212, $I$2:I212&lt;&gt;1)), 0), $I$2:I212, 1),1))
"),"#DIV/0!")</f>
        <v>#DIV/0!</v>
      </c>
      <c r="K212" s="20" t="e">
        <f t="shared" ca="1" si="2"/>
        <v>#DIV/0!</v>
      </c>
      <c r="L212" s="20" t="e">
        <f t="shared" ca="1" si="3"/>
        <v>#DIV/0!</v>
      </c>
      <c r="M212" s="21" t="e">
        <f t="shared" ca="1" si="4"/>
        <v>#DIV/0!</v>
      </c>
      <c r="N212" s="36" t="str">
        <f ca="1">IFERROR(__xludf.DUMMYFUNCTION("IF(COUNTIFS($C$2:C212, C212, $A$2:A212, ""&lt;="" &amp; A212) &lt; 30, STDEV.P(FILTER($G$2:G212, $C$2:C212 = C212)), STDEV.P(FILTER($G$2:G212, $C$2:C212 = C212, $A$2:A212 &gt;= A212 - 30)))
"),"#DIV/0!")</f>
        <v>#DIV/0!</v>
      </c>
    </row>
    <row r="213" spans="1:14" x14ac:dyDescent="0.2">
      <c r="A213" s="37"/>
      <c r="B213" s="5"/>
      <c r="C213" s="35"/>
      <c r="D213" s="19"/>
      <c r="E213" s="19"/>
      <c r="F213" s="19"/>
      <c r="G213" s="19" t="e">
        <f t="shared" si="0"/>
        <v>#DIV/0!</v>
      </c>
      <c r="H213" s="20" t="str">
        <f ca="1">IFERROR(__xludf.DUMMYFUNCTION("IF(COUNTIFS($C$2:C213, C213, $A$2:A213, ""&lt;="" &amp; A213) &lt; 30, AVERAGEIF($C$2:C213, C213, $G$2:G213), AVERAGE(FILTER($G$2:G213, $C$2:C213 = C213, $A$2:A213 &gt;= A213 - 30)))
"),"#DIV/0!")</f>
        <v>#DIV/0!</v>
      </c>
      <c r="I213" s="20" t="e">
        <f t="shared" ca="1" si="1"/>
        <v>#DIV/0!</v>
      </c>
      <c r="J213" s="20" t="str">
        <f ca="1">IFERROR(__xludf.DUMMYFUNCTION("IF(OR($I213=2, $I213=3), 0, IFERROR(COUNTIFS($C$2:C213, $C213, $A$2:A214, ""&gt;""&amp;IFERROR(MAX(FILTER($A$2:A214, $C$2:C213=$C213, $I$2:I213&lt;&gt;1)), 0), $I$2:I213, 1),1))
"),"#DIV/0!")</f>
        <v>#DIV/0!</v>
      </c>
      <c r="K213" s="20" t="e">
        <f t="shared" ca="1" si="2"/>
        <v>#DIV/0!</v>
      </c>
      <c r="L213" s="20" t="e">
        <f t="shared" ca="1" si="3"/>
        <v>#DIV/0!</v>
      </c>
      <c r="M213" s="21" t="e">
        <f t="shared" ca="1" si="4"/>
        <v>#DIV/0!</v>
      </c>
      <c r="N213" s="36" t="str">
        <f ca="1">IFERROR(__xludf.DUMMYFUNCTION("IF(COUNTIFS($C$2:C213, C213, $A$2:A213, ""&lt;="" &amp; A213) &lt; 30, STDEV.P(FILTER($G$2:G213, $C$2:C213 = C213)), STDEV.P(FILTER($G$2:G213, $C$2:C213 = C213, $A$2:A213 &gt;= A213 - 30)))
"),"#DIV/0!")</f>
        <v>#DIV/0!</v>
      </c>
    </row>
    <row r="214" spans="1:14" x14ac:dyDescent="0.2">
      <c r="A214" s="37"/>
      <c r="B214" s="5"/>
      <c r="C214" s="35"/>
      <c r="D214" s="19"/>
      <c r="E214" s="19"/>
      <c r="F214" s="19"/>
      <c r="G214" s="19" t="e">
        <f t="shared" si="0"/>
        <v>#DIV/0!</v>
      </c>
      <c r="H214" s="20" t="str">
        <f ca="1">IFERROR(__xludf.DUMMYFUNCTION("IF(COUNTIFS($C$2:C214, C214, $A$2:A214, ""&lt;="" &amp; A214) &lt; 30, AVERAGEIF($C$2:C214, C214, $G$2:G214), AVERAGE(FILTER($G$2:G214, $C$2:C214 = C214, $A$2:A214 &gt;= A214 - 30)))
"),"#DIV/0!")</f>
        <v>#DIV/0!</v>
      </c>
      <c r="I214" s="20" t="e">
        <f t="shared" ca="1" si="1"/>
        <v>#DIV/0!</v>
      </c>
      <c r="J214" s="20" t="str">
        <f ca="1">IFERROR(__xludf.DUMMYFUNCTION("IF(OR($I214=2, $I214=3), 0, IFERROR(COUNTIFS($C$2:C214, $C214, $A$2:A215, ""&gt;""&amp;IFERROR(MAX(FILTER($A$2:A215, $C$2:C214=$C214, $I$2:I214&lt;&gt;1)), 0), $I$2:I214, 1),1))
"),"#DIV/0!")</f>
        <v>#DIV/0!</v>
      </c>
      <c r="K214" s="20" t="e">
        <f t="shared" ca="1" si="2"/>
        <v>#DIV/0!</v>
      </c>
      <c r="L214" s="20" t="e">
        <f t="shared" ca="1" si="3"/>
        <v>#DIV/0!</v>
      </c>
      <c r="M214" s="21" t="e">
        <f t="shared" ca="1" si="4"/>
        <v>#DIV/0!</v>
      </c>
      <c r="N214" s="36" t="str">
        <f ca="1">IFERROR(__xludf.DUMMYFUNCTION("IF(COUNTIFS($C$2:C214, C214, $A$2:A214, ""&lt;="" &amp; A214) &lt; 30, STDEV.P(FILTER($G$2:G214, $C$2:C214 = C214)), STDEV.P(FILTER($G$2:G214, $C$2:C214 = C214, $A$2:A214 &gt;= A214 - 30)))
"),"#DIV/0!")</f>
        <v>#DIV/0!</v>
      </c>
    </row>
    <row r="215" spans="1:14" x14ac:dyDescent="0.2">
      <c r="A215" s="37"/>
      <c r="B215" s="5"/>
      <c r="C215" s="35"/>
      <c r="D215" s="19"/>
      <c r="E215" s="19"/>
      <c r="F215" s="19"/>
      <c r="G215" s="19" t="e">
        <f t="shared" si="0"/>
        <v>#DIV/0!</v>
      </c>
      <c r="H215" s="20" t="str">
        <f ca="1">IFERROR(__xludf.DUMMYFUNCTION("IF(COUNTIFS($C$2:C215, C215, $A$2:A215, ""&lt;="" &amp; A215) &lt; 30, AVERAGEIF($C$2:C215, C215, $G$2:G215), AVERAGE(FILTER($G$2:G215, $C$2:C215 = C215, $A$2:A215 &gt;= A215 - 30)))
"),"#DIV/0!")</f>
        <v>#DIV/0!</v>
      </c>
      <c r="I215" s="20" t="e">
        <f t="shared" ca="1" si="1"/>
        <v>#DIV/0!</v>
      </c>
      <c r="J215" s="20" t="str">
        <f ca="1">IFERROR(__xludf.DUMMYFUNCTION("IF(OR($I215=2, $I215=3), 0, IFERROR(COUNTIFS($C$2:C215, $C215, $A$2:A216, ""&gt;""&amp;IFERROR(MAX(FILTER($A$2:A216, $C$2:C215=$C215, $I$2:I215&lt;&gt;1)), 0), $I$2:I215, 1),1))
"),"#DIV/0!")</f>
        <v>#DIV/0!</v>
      </c>
      <c r="K215" s="20" t="e">
        <f t="shared" ca="1" si="2"/>
        <v>#DIV/0!</v>
      </c>
      <c r="L215" s="20" t="e">
        <f t="shared" ca="1" si="3"/>
        <v>#DIV/0!</v>
      </c>
      <c r="M215" s="21" t="e">
        <f t="shared" ca="1" si="4"/>
        <v>#DIV/0!</v>
      </c>
      <c r="N215" s="36" t="str">
        <f ca="1">IFERROR(__xludf.DUMMYFUNCTION("IF(COUNTIFS($C$2:C215, C215, $A$2:A215, ""&lt;="" &amp; A215) &lt; 30, STDEV.P(FILTER($G$2:G215, $C$2:C215 = C215)), STDEV.P(FILTER($G$2:G215, $C$2:C215 = C215, $A$2:A215 &gt;= A215 - 30)))
"),"#DIV/0!")</f>
        <v>#DIV/0!</v>
      </c>
    </row>
    <row r="216" spans="1:14" x14ac:dyDescent="0.2">
      <c r="A216" s="37"/>
      <c r="B216" s="5"/>
      <c r="C216" s="35"/>
      <c r="D216" s="19"/>
      <c r="E216" s="19"/>
      <c r="F216" s="19"/>
      <c r="G216" s="19" t="e">
        <f t="shared" si="0"/>
        <v>#DIV/0!</v>
      </c>
      <c r="H216" s="20" t="str">
        <f ca="1">IFERROR(__xludf.DUMMYFUNCTION("IF(COUNTIFS($C$2:C216, C216, $A$2:A216, ""&lt;="" &amp; A216) &lt; 30, AVERAGEIF($C$2:C216, C216, $G$2:G216), AVERAGE(FILTER($G$2:G216, $C$2:C216 = C216, $A$2:A216 &gt;= A216 - 30)))
"),"#DIV/0!")</f>
        <v>#DIV/0!</v>
      </c>
      <c r="I216" s="20" t="e">
        <f t="shared" ca="1" si="1"/>
        <v>#DIV/0!</v>
      </c>
      <c r="J216" s="20" t="str">
        <f ca="1">IFERROR(__xludf.DUMMYFUNCTION("IF(OR($I216=2, $I216=3), 0, IFERROR(COUNTIFS($C$2:C216, $C216, $A$2:A217, ""&gt;""&amp;IFERROR(MAX(FILTER($A$2:A217, $C$2:C216=$C216, $I$2:I216&lt;&gt;1)), 0), $I$2:I216, 1),1))
"),"#DIV/0!")</f>
        <v>#DIV/0!</v>
      </c>
      <c r="K216" s="20" t="e">
        <f t="shared" ca="1" si="2"/>
        <v>#DIV/0!</v>
      </c>
      <c r="L216" s="20" t="e">
        <f t="shared" ca="1" si="3"/>
        <v>#DIV/0!</v>
      </c>
      <c r="M216" s="21" t="e">
        <f t="shared" ca="1" si="4"/>
        <v>#DIV/0!</v>
      </c>
      <c r="N216" s="36" t="str">
        <f ca="1">IFERROR(__xludf.DUMMYFUNCTION("IF(COUNTIFS($C$2:C216, C216, $A$2:A216, ""&lt;="" &amp; A216) &lt; 30, STDEV.P(FILTER($G$2:G216, $C$2:C216 = C216)), STDEV.P(FILTER($G$2:G216, $C$2:C216 = C216, $A$2:A216 &gt;= A216 - 30)))
"),"#DIV/0!")</f>
        <v>#DIV/0!</v>
      </c>
    </row>
    <row r="217" spans="1:14" x14ac:dyDescent="0.2">
      <c r="A217" s="37"/>
      <c r="B217" s="5"/>
      <c r="C217" s="35"/>
      <c r="D217" s="19"/>
      <c r="E217" s="19"/>
      <c r="F217" s="19"/>
      <c r="G217" s="19" t="e">
        <f t="shared" si="0"/>
        <v>#DIV/0!</v>
      </c>
      <c r="H217" s="20" t="str">
        <f ca="1">IFERROR(__xludf.DUMMYFUNCTION("IF(COUNTIFS($C$2:C217, C217, $A$2:A217, ""&lt;="" &amp; A217) &lt; 30, AVERAGEIF($C$2:C217, C217, $G$2:G217), AVERAGE(FILTER($G$2:G217, $C$2:C217 = C217, $A$2:A217 &gt;= A217 - 30)))
"),"#DIV/0!")</f>
        <v>#DIV/0!</v>
      </c>
      <c r="I217" s="20" t="e">
        <f t="shared" ca="1" si="1"/>
        <v>#DIV/0!</v>
      </c>
      <c r="J217" s="20" t="str">
        <f ca="1">IFERROR(__xludf.DUMMYFUNCTION("IF(OR($I217=2, $I217=3), 0, IFERROR(COUNTIFS($C$2:C217, $C217, $A$2:A218, ""&gt;""&amp;IFERROR(MAX(FILTER($A$2:A218, $C$2:C217=$C217, $I$2:I217&lt;&gt;1)), 0), $I$2:I217, 1),1))
"),"#DIV/0!")</f>
        <v>#DIV/0!</v>
      </c>
      <c r="K217" s="20" t="e">
        <f t="shared" ca="1" si="2"/>
        <v>#DIV/0!</v>
      </c>
      <c r="L217" s="20" t="e">
        <f t="shared" ca="1" si="3"/>
        <v>#DIV/0!</v>
      </c>
      <c r="M217" s="21" t="e">
        <f t="shared" ca="1" si="4"/>
        <v>#DIV/0!</v>
      </c>
      <c r="N217" s="36" t="str">
        <f ca="1">IFERROR(__xludf.DUMMYFUNCTION("IF(COUNTIFS($C$2:C217, C217, $A$2:A217, ""&lt;="" &amp; A217) &lt; 30, STDEV.P(FILTER($G$2:G217, $C$2:C217 = C217)), STDEV.P(FILTER($G$2:G217, $C$2:C217 = C217, $A$2:A217 &gt;= A217 - 30)))
"),"#DIV/0!")</f>
        <v>#DIV/0!</v>
      </c>
    </row>
    <row r="218" spans="1:14" x14ac:dyDescent="0.2">
      <c r="A218" s="37"/>
      <c r="B218" s="5"/>
      <c r="C218" s="35"/>
      <c r="D218" s="19"/>
      <c r="E218" s="19"/>
      <c r="F218" s="19"/>
      <c r="G218" s="19" t="e">
        <f t="shared" si="0"/>
        <v>#DIV/0!</v>
      </c>
      <c r="H218" s="20" t="str">
        <f ca="1">IFERROR(__xludf.DUMMYFUNCTION("IF(COUNTIFS($C$2:C218, C218, $A$2:A218, ""&lt;="" &amp; A218) &lt; 30, AVERAGEIF($C$2:C218, C218, $G$2:G218), AVERAGE(FILTER($G$2:G218, $C$2:C218 = C218, $A$2:A218 &gt;= A218 - 30)))
"),"#DIV/0!")</f>
        <v>#DIV/0!</v>
      </c>
      <c r="I218" s="20" t="e">
        <f t="shared" ca="1" si="1"/>
        <v>#DIV/0!</v>
      </c>
      <c r="J218" s="20" t="str">
        <f ca="1">IFERROR(__xludf.DUMMYFUNCTION("IF(OR($I218=2, $I218=3), 0, IFERROR(COUNTIFS($C$2:C218, $C218, $A$2:A219, ""&gt;""&amp;IFERROR(MAX(FILTER($A$2:A219, $C$2:C218=$C218, $I$2:I218&lt;&gt;1)), 0), $I$2:I218, 1),1))
"),"#DIV/0!")</f>
        <v>#DIV/0!</v>
      </c>
      <c r="K218" s="20" t="e">
        <f t="shared" ca="1" si="2"/>
        <v>#DIV/0!</v>
      </c>
      <c r="L218" s="20" t="e">
        <f t="shared" ca="1" si="3"/>
        <v>#DIV/0!</v>
      </c>
      <c r="M218" s="21" t="e">
        <f t="shared" ca="1" si="4"/>
        <v>#DIV/0!</v>
      </c>
      <c r="N218" s="36" t="str">
        <f ca="1">IFERROR(__xludf.DUMMYFUNCTION("IF(COUNTIFS($C$2:C218, C218, $A$2:A218, ""&lt;="" &amp; A218) &lt; 30, STDEV.P(FILTER($G$2:G218, $C$2:C218 = C218)), STDEV.P(FILTER($G$2:G218, $C$2:C218 = C218, $A$2:A218 &gt;= A218 - 30)))
"),"#DIV/0!")</f>
        <v>#DIV/0!</v>
      </c>
    </row>
    <row r="219" spans="1:14" x14ac:dyDescent="0.2">
      <c r="A219" s="37"/>
      <c r="B219" s="5"/>
      <c r="C219" s="35"/>
      <c r="D219" s="19"/>
      <c r="E219" s="19"/>
      <c r="F219" s="19"/>
      <c r="G219" s="19" t="e">
        <f t="shared" si="0"/>
        <v>#DIV/0!</v>
      </c>
      <c r="H219" s="20" t="str">
        <f ca="1">IFERROR(__xludf.DUMMYFUNCTION("IF(COUNTIFS($C$2:C219, C219, $A$2:A219, ""&lt;="" &amp; A219) &lt; 30, AVERAGEIF($C$2:C219, C219, $G$2:G219), AVERAGE(FILTER($G$2:G219, $C$2:C219 = C219, $A$2:A219 &gt;= A219 - 30)))
"),"#DIV/0!")</f>
        <v>#DIV/0!</v>
      </c>
      <c r="I219" s="20" t="e">
        <f t="shared" ca="1" si="1"/>
        <v>#DIV/0!</v>
      </c>
      <c r="J219" s="20" t="str">
        <f ca="1">IFERROR(__xludf.DUMMYFUNCTION("IF(OR($I219=2, $I219=3), 0, IFERROR(COUNTIFS($C$2:C219, $C219, $A$2:A220, ""&gt;""&amp;IFERROR(MAX(FILTER($A$2:A220, $C$2:C219=$C219, $I$2:I219&lt;&gt;1)), 0), $I$2:I219, 1),1))
"),"#DIV/0!")</f>
        <v>#DIV/0!</v>
      </c>
      <c r="K219" s="20" t="e">
        <f t="shared" ca="1" si="2"/>
        <v>#DIV/0!</v>
      </c>
      <c r="L219" s="20" t="e">
        <f t="shared" ca="1" si="3"/>
        <v>#DIV/0!</v>
      </c>
      <c r="M219" s="21" t="e">
        <f t="shared" ca="1" si="4"/>
        <v>#DIV/0!</v>
      </c>
      <c r="N219" s="36" t="str">
        <f ca="1">IFERROR(__xludf.DUMMYFUNCTION("IF(COUNTIFS($C$2:C219, C219, $A$2:A219, ""&lt;="" &amp; A219) &lt; 30, STDEV.P(FILTER($G$2:G219, $C$2:C219 = C219)), STDEV.P(FILTER($G$2:G219, $C$2:C219 = C219, $A$2:A219 &gt;= A219 - 30)))
"),"#DIV/0!")</f>
        <v>#DIV/0!</v>
      </c>
    </row>
    <row r="220" spans="1:14" x14ac:dyDescent="0.2">
      <c r="A220" s="37"/>
      <c r="B220" s="7"/>
      <c r="C220" s="35"/>
      <c r="D220" s="20"/>
      <c r="E220" s="20"/>
      <c r="F220" s="20"/>
      <c r="G220" s="19" t="e">
        <f t="shared" si="0"/>
        <v>#DIV/0!</v>
      </c>
      <c r="H220" s="20" t="str">
        <f ca="1">IFERROR(__xludf.DUMMYFUNCTION("IF(COUNTIFS($C$2:C220, C220, $A$2:A220, ""&lt;="" &amp; A220) &lt; 30, AVERAGEIF($C$2:C220, C220, $G$2:G220), AVERAGE(FILTER($G$2:G220, $C$2:C220 = C220, $A$2:A220 &gt;= A220 - 30)))
"),"#DIV/0!")</f>
        <v>#DIV/0!</v>
      </c>
      <c r="I220" s="20" t="e">
        <f t="shared" ca="1" si="1"/>
        <v>#DIV/0!</v>
      </c>
      <c r="J220" s="20" t="str">
        <f ca="1">IFERROR(__xludf.DUMMYFUNCTION("IF(OR($I220=2, $I220=3), 0, IFERROR(COUNTIFS($C$2:C220, $C220, $A$2:A221, ""&gt;""&amp;IFERROR(MAX(FILTER($A$2:A221, $C$2:C220=$C220, $I$2:I220&lt;&gt;1)), 0), $I$2:I220, 1),1))
"),"#DIV/0!")</f>
        <v>#DIV/0!</v>
      </c>
      <c r="K220" s="20" t="e">
        <f t="shared" ca="1" si="2"/>
        <v>#DIV/0!</v>
      </c>
      <c r="L220" s="20" t="e">
        <f t="shared" ca="1" si="3"/>
        <v>#DIV/0!</v>
      </c>
      <c r="M220" s="21" t="e">
        <f t="shared" ca="1" si="4"/>
        <v>#DIV/0!</v>
      </c>
      <c r="N220" s="36" t="str">
        <f ca="1">IFERROR(__xludf.DUMMYFUNCTION("IF(COUNTIFS($C$2:C220, C220, $A$2:A220, ""&lt;="" &amp; A220) &lt; 30, STDEV.P(FILTER($G$2:G220, $C$2:C220 = C220)), STDEV.P(FILTER($G$2:G220, $C$2:C220 = C220, $A$2:A220 &gt;= A220 - 30)))
"),"#DIV/0!")</f>
        <v>#DIV/0!</v>
      </c>
    </row>
    <row r="221" spans="1:14" x14ac:dyDescent="0.2">
      <c r="A221" s="37"/>
      <c r="B221" s="7"/>
      <c r="C221" s="35"/>
      <c r="D221" s="20"/>
      <c r="E221" s="20"/>
      <c r="F221" s="20"/>
      <c r="G221" s="19" t="e">
        <f t="shared" si="0"/>
        <v>#DIV/0!</v>
      </c>
      <c r="H221" s="20" t="str">
        <f ca="1">IFERROR(__xludf.DUMMYFUNCTION("IF(COUNTIFS($C$2:C221, C221, $A$2:A221, ""&lt;="" &amp; A221) &lt; 30, AVERAGEIF($C$2:C221, C221, $G$2:G221), AVERAGE(FILTER($G$2:G221, $C$2:C221 = C221, $A$2:A221 &gt;= A221 - 30)))
"),"#DIV/0!")</f>
        <v>#DIV/0!</v>
      </c>
      <c r="I221" s="20" t="e">
        <f t="shared" ca="1" si="1"/>
        <v>#DIV/0!</v>
      </c>
      <c r="J221" s="20" t="str">
        <f ca="1">IFERROR(__xludf.DUMMYFUNCTION("IF(OR($I221=2, $I221=3), 0, IFERROR(COUNTIFS($C$2:C221, $C221, $A$2:A222, ""&gt;""&amp;IFERROR(MAX(FILTER($A$2:A222, $C$2:C221=$C221, $I$2:I221&lt;&gt;1)), 0), $I$2:I221, 1),1))
"),"#DIV/0!")</f>
        <v>#DIV/0!</v>
      </c>
      <c r="K221" s="20" t="e">
        <f t="shared" ca="1" si="2"/>
        <v>#DIV/0!</v>
      </c>
      <c r="L221" s="20" t="e">
        <f t="shared" ca="1" si="3"/>
        <v>#DIV/0!</v>
      </c>
      <c r="M221" s="21" t="e">
        <f t="shared" ca="1" si="4"/>
        <v>#DIV/0!</v>
      </c>
      <c r="N221" s="36" t="str">
        <f ca="1">IFERROR(__xludf.DUMMYFUNCTION("IF(COUNTIFS($C$2:C221, C221, $A$2:A221, ""&lt;="" &amp; A221) &lt; 30, STDEV.P(FILTER($G$2:G221, $C$2:C221 = C221)), STDEV.P(FILTER($G$2:G221, $C$2:C221 = C221, $A$2:A221 &gt;= A221 - 30)))
"),"#DIV/0!")</f>
        <v>#DIV/0!</v>
      </c>
    </row>
    <row r="222" spans="1:14" x14ac:dyDescent="0.2">
      <c r="A222" s="37"/>
      <c r="B222" s="7"/>
      <c r="C222" s="35"/>
      <c r="D222" s="20"/>
      <c r="E222" s="20"/>
      <c r="F222" s="20"/>
      <c r="G222" s="19" t="e">
        <f t="shared" si="0"/>
        <v>#DIV/0!</v>
      </c>
      <c r="H222" s="20" t="str">
        <f ca="1">IFERROR(__xludf.DUMMYFUNCTION("IF(COUNTIFS($C$2:C222, C222, $A$2:A222, ""&lt;="" &amp; A222) &lt; 30, AVERAGEIF($C$2:C222, C222, $G$2:G222), AVERAGE(FILTER($G$2:G222, $C$2:C222 = C222, $A$2:A222 &gt;= A222 - 30)))
"),"#DIV/0!")</f>
        <v>#DIV/0!</v>
      </c>
      <c r="I222" s="20" t="e">
        <f t="shared" ca="1" si="1"/>
        <v>#DIV/0!</v>
      </c>
      <c r="J222" s="20" t="str">
        <f ca="1">IFERROR(__xludf.DUMMYFUNCTION("IF(OR($I222=2, $I222=3), 0, IFERROR(COUNTIFS($C$2:C222, $C222, $A$2:A223, ""&gt;""&amp;IFERROR(MAX(FILTER($A$2:A223, $C$2:C222=$C222, $I$2:I222&lt;&gt;1)), 0), $I$2:I222, 1),1))
"),"#DIV/0!")</f>
        <v>#DIV/0!</v>
      </c>
      <c r="K222" s="20" t="e">
        <f t="shared" ca="1" si="2"/>
        <v>#DIV/0!</v>
      </c>
      <c r="L222" s="20" t="e">
        <f t="shared" ca="1" si="3"/>
        <v>#DIV/0!</v>
      </c>
      <c r="M222" s="21" t="e">
        <f t="shared" ca="1" si="4"/>
        <v>#DIV/0!</v>
      </c>
      <c r="N222" s="36" t="str">
        <f ca="1">IFERROR(__xludf.DUMMYFUNCTION("IF(COUNTIFS($C$2:C222, C222, $A$2:A222, ""&lt;="" &amp; A222) &lt; 30, STDEV.P(FILTER($G$2:G222, $C$2:C222 = C222)), STDEV.P(FILTER($G$2:G222, $C$2:C222 = C222, $A$2:A222 &gt;= A222 - 30)))
"),"#DIV/0!")</f>
        <v>#DIV/0!</v>
      </c>
    </row>
    <row r="223" spans="1:14" x14ac:dyDescent="0.2">
      <c r="A223" s="37"/>
      <c r="B223" s="7"/>
      <c r="C223" s="35"/>
      <c r="D223" s="20"/>
      <c r="E223" s="20"/>
      <c r="F223" s="20"/>
      <c r="G223" s="19" t="e">
        <f t="shared" si="0"/>
        <v>#DIV/0!</v>
      </c>
      <c r="H223" s="20" t="str">
        <f ca="1">IFERROR(__xludf.DUMMYFUNCTION("IF(COUNTIFS($C$2:C223, C223, $A$2:A223, ""&lt;="" &amp; A223) &lt; 30, AVERAGEIF($C$2:C223, C223, $G$2:G223), AVERAGE(FILTER($G$2:G223, $C$2:C223 = C223, $A$2:A223 &gt;= A223 - 30)))
"),"#DIV/0!")</f>
        <v>#DIV/0!</v>
      </c>
      <c r="I223" s="20" t="e">
        <f t="shared" ca="1" si="1"/>
        <v>#DIV/0!</v>
      </c>
      <c r="J223" s="20" t="str">
        <f ca="1">IFERROR(__xludf.DUMMYFUNCTION("IF(OR($I223=2, $I223=3), 0, IFERROR(COUNTIFS($C$2:C223, $C223, $A$2:A224, ""&gt;""&amp;IFERROR(MAX(FILTER($A$2:A224, $C$2:C223=$C223, $I$2:I223&lt;&gt;1)), 0), $I$2:I223, 1),1))
"),"#DIV/0!")</f>
        <v>#DIV/0!</v>
      </c>
      <c r="K223" s="20" t="e">
        <f t="shared" ca="1" si="2"/>
        <v>#DIV/0!</v>
      </c>
      <c r="L223" s="20" t="e">
        <f t="shared" ca="1" si="3"/>
        <v>#DIV/0!</v>
      </c>
      <c r="M223" s="21" t="e">
        <f t="shared" ca="1" si="4"/>
        <v>#DIV/0!</v>
      </c>
      <c r="N223" s="36" t="str">
        <f ca="1">IFERROR(__xludf.DUMMYFUNCTION("IF(COUNTIFS($C$2:C223, C223, $A$2:A223, ""&lt;="" &amp; A223) &lt; 30, STDEV.P(FILTER($G$2:G223, $C$2:C223 = C223)), STDEV.P(FILTER($G$2:G223, $C$2:C223 = C223, $A$2:A223 &gt;= A223 - 30)))
"),"#DIV/0!")</f>
        <v>#DIV/0!</v>
      </c>
    </row>
    <row r="224" spans="1:14" x14ac:dyDescent="0.2">
      <c r="A224" s="37"/>
      <c r="B224" s="5"/>
      <c r="C224" s="35"/>
      <c r="D224" s="19"/>
      <c r="E224" s="19"/>
      <c r="F224" s="19"/>
      <c r="G224" s="19" t="e">
        <f t="shared" si="0"/>
        <v>#DIV/0!</v>
      </c>
      <c r="H224" s="20" t="str">
        <f ca="1">IFERROR(__xludf.DUMMYFUNCTION("IF(COUNTIFS($C$2:C224, C224, $A$2:A224, ""&lt;="" &amp; A224) &lt; 30, AVERAGEIF($C$2:C224, C224, $G$2:G224), AVERAGE(FILTER($G$2:G224, $C$2:C224 = C224, $A$2:A224 &gt;= A224 - 30)))
"),"#DIV/0!")</f>
        <v>#DIV/0!</v>
      </c>
      <c r="I224" s="20" t="e">
        <f t="shared" ca="1" si="1"/>
        <v>#DIV/0!</v>
      </c>
      <c r="J224" s="20" t="str">
        <f ca="1">IFERROR(__xludf.DUMMYFUNCTION("IF(OR($I224=2, $I224=3), 0, IFERROR(COUNTIFS($C$2:C224, $C224, $A$2:A225, ""&gt;""&amp;IFERROR(MAX(FILTER($A$2:A225, $C$2:C224=$C224, $I$2:I224&lt;&gt;1)), 0), $I$2:I224, 1),1))
"),"#DIV/0!")</f>
        <v>#DIV/0!</v>
      </c>
      <c r="K224" s="20" t="e">
        <f t="shared" ca="1" si="2"/>
        <v>#DIV/0!</v>
      </c>
      <c r="L224" s="20" t="e">
        <f t="shared" ca="1" si="3"/>
        <v>#DIV/0!</v>
      </c>
      <c r="M224" s="21" t="e">
        <f t="shared" ca="1" si="4"/>
        <v>#DIV/0!</v>
      </c>
      <c r="N224" s="36" t="str">
        <f ca="1">IFERROR(__xludf.DUMMYFUNCTION("IF(COUNTIFS($C$2:C224, C224, $A$2:A224, ""&lt;="" &amp; A224) &lt; 30, STDEV.P(FILTER($G$2:G224, $C$2:C224 = C224)), STDEV.P(FILTER($G$2:G224, $C$2:C224 = C224, $A$2:A224 &gt;= A224 - 30)))
"),"#DIV/0!")</f>
        <v>#DIV/0!</v>
      </c>
    </row>
    <row r="225" spans="1:14" x14ac:dyDescent="0.2">
      <c r="A225" s="37"/>
      <c r="B225" s="5"/>
      <c r="C225" s="35"/>
      <c r="D225" s="19"/>
      <c r="E225" s="19"/>
      <c r="F225" s="19"/>
      <c r="G225" s="19" t="e">
        <f t="shared" si="0"/>
        <v>#DIV/0!</v>
      </c>
      <c r="H225" s="20" t="str">
        <f ca="1">IFERROR(__xludf.DUMMYFUNCTION("IF(COUNTIFS($C$2:C225, C225, $A$2:A225, ""&lt;="" &amp; A225) &lt; 30, AVERAGEIF($C$2:C225, C225, $G$2:G225), AVERAGE(FILTER($G$2:G225, $C$2:C225 = C225, $A$2:A225 &gt;= A225 - 30)))
"),"#DIV/0!")</f>
        <v>#DIV/0!</v>
      </c>
      <c r="I225" s="20" t="e">
        <f t="shared" ca="1" si="1"/>
        <v>#DIV/0!</v>
      </c>
      <c r="J225" s="20" t="str">
        <f ca="1">IFERROR(__xludf.DUMMYFUNCTION("IF(OR($I225=2, $I225=3), 0, IFERROR(COUNTIFS($C$2:C225, $C225, $A$2:A226, ""&gt;""&amp;IFERROR(MAX(FILTER($A$2:A226, $C$2:C225=$C225, $I$2:I225&lt;&gt;1)), 0), $I$2:I225, 1),1))
"),"#DIV/0!")</f>
        <v>#DIV/0!</v>
      </c>
      <c r="K225" s="20" t="e">
        <f t="shared" ca="1" si="2"/>
        <v>#DIV/0!</v>
      </c>
      <c r="L225" s="20" t="e">
        <f t="shared" ca="1" si="3"/>
        <v>#DIV/0!</v>
      </c>
      <c r="M225" s="21" t="e">
        <f t="shared" ca="1" si="4"/>
        <v>#DIV/0!</v>
      </c>
      <c r="N225" s="36" t="str">
        <f ca="1">IFERROR(__xludf.DUMMYFUNCTION("IF(COUNTIFS($C$2:C225, C225, $A$2:A225, ""&lt;="" &amp; A225) &lt; 30, STDEV.P(FILTER($G$2:G225, $C$2:C225 = C225)), STDEV.P(FILTER($G$2:G225, $C$2:C225 = C225, $A$2:A225 &gt;= A225 - 30)))
"),"#DIV/0!")</f>
        <v>#DIV/0!</v>
      </c>
    </row>
    <row r="226" spans="1:14" x14ac:dyDescent="0.2">
      <c r="A226" s="37"/>
      <c r="B226" s="5"/>
      <c r="C226" s="35"/>
      <c r="D226" s="19"/>
      <c r="E226" s="19"/>
      <c r="F226" s="19"/>
      <c r="G226" s="19" t="e">
        <f t="shared" si="0"/>
        <v>#DIV/0!</v>
      </c>
      <c r="H226" s="20" t="str">
        <f ca="1">IFERROR(__xludf.DUMMYFUNCTION("IF(COUNTIFS($C$2:C226, C226, $A$2:A226, ""&lt;="" &amp; A226) &lt; 30, AVERAGEIF($C$2:C226, C226, $G$2:G226), AVERAGE(FILTER($G$2:G226, $C$2:C226 = C226, $A$2:A226 &gt;= A226 - 30)))
"),"#DIV/0!")</f>
        <v>#DIV/0!</v>
      </c>
      <c r="I226" s="20" t="e">
        <f t="shared" ca="1" si="1"/>
        <v>#DIV/0!</v>
      </c>
      <c r="J226" s="20" t="str">
        <f ca="1">IFERROR(__xludf.DUMMYFUNCTION("IF(OR($I226=2, $I226=3), 0, IFERROR(COUNTIFS($C$2:C226, $C226, $A$2:A227, ""&gt;""&amp;IFERROR(MAX(FILTER($A$2:A227, $C$2:C226=$C226, $I$2:I226&lt;&gt;1)), 0), $I$2:I226, 1),1))
"),"#DIV/0!")</f>
        <v>#DIV/0!</v>
      </c>
      <c r="K226" s="20" t="e">
        <f t="shared" ca="1" si="2"/>
        <v>#DIV/0!</v>
      </c>
      <c r="L226" s="20" t="e">
        <f t="shared" ca="1" si="3"/>
        <v>#DIV/0!</v>
      </c>
      <c r="M226" s="21" t="e">
        <f t="shared" ca="1" si="4"/>
        <v>#DIV/0!</v>
      </c>
      <c r="N226" s="36" t="str">
        <f ca="1">IFERROR(__xludf.DUMMYFUNCTION("IF(COUNTIFS($C$2:C226, C226, $A$2:A226, ""&lt;="" &amp; A226) &lt; 30, STDEV.P(FILTER($G$2:G226, $C$2:C226 = C226)), STDEV.P(FILTER($G$2:G226, $C$2:C226 = C226, $A$2:A226 &gt;= A226 - 30)))
"),"#DIV/0!")</f>
        <v>#DIV/0!</v>
      </c>
    </row>
    <row r="227" spans="1:14" x14ac:dyDescent="0.2">
      <c r="A227" s="37"/>
      <c r="B227" s="5"/>
      <c r="C227" s="35"/>
      <c r="D227" s="19"/>
      <c r="E227" s="19"/>
      <c r="F227" s="19"/>
      <c r="G227" s="19" t="e">
        <f t="shared" si="0"/>
        <v>#DIV/0!</v>
      </c>
      <c r="H227" s="20" t="str">
        <f ca="1">IFERROR(__xludf.DUMMYFUNCTION("IF(COUNTIFS($C$2:C227, C227, $A$2:A227, ""&lt;="" &amp; A227) &lt; 30, AVERAGEIF($C$2:C227, C227, $G$2:G227), AVERAGE(FILTER($G$2:G227, $C$2:C227 = C227, $A$2:A227 &gt;= A227 - 30)))
"),"#DIV/0!")</f>
        <v>#DIV/0!</v>
      </c>
      <c r="I227" s="20" t="e">
        <f t="shared" ca="1" si="1"/>
        <v>#DIV/0!</v>
      </c>
      <c r="J227" s="20" t="str">
        <f ca="1">IFERROR(__xludf.DUMMYFUNCTION("IF(OR($I227=2, $I227=3), 0, IFERROR(COUNTIFS($C$2:C227, $C227, $A$2:A228, ""&gt;""&amp;IFERROR(MAX(FILTER($A$2:A228, $C$2:C227=$C227, $I$2:I227&lt;&gt;1)), 0), $I$2:I227, 1),1))
"),"#DIV/0!")</f>
        <v>#DIV/0!</v>
      </c>
      <c r="K227" s="20" t="e">
        <f t="shared" ca="1" si="2"/>
        <v>#DIV/0!</v>
      </c>
      <c r="L227" s="20" t="e">
        <f t="shared" ca="1" si="3"/>
        <v>#DIV/0!</v>
      </c>
      <c r="M227" s="21" t="e">
        <f t="shared" ca="1" si="4"/>
        <v>#DIV/0!</v>
      </c>
      <c r="N227" s="36" t="str">
        <f ca="1">IFERROR(__xludf.DUMMYFUNCTION("IF(COUNTIFS($C$2:C227, C227, $A$2:A227, ""&lt;="" &amp; A227) &lt; 30, STDEV.P(FILTER($G$2:G227, $C$2:C227 = C227)), STDEV.P(FILTER($G$2:G227, $C$2:C227 = C227, $A$2:A227 &gt;= A227 - 30)))
"),"#DIV/0!")</f>
        <v>#DIV/0!</v>
      </c>
    </row>
    <row r="228" spans="1:14" x14ac:dyDescent="0.2">
      <c r="A228" s="37"/>
      <c r="B228" s="5"/>
      <c r="C228" s="35"/>
      <c r="D228" s="19"/>
      <c r="E228" s="19"/>
      <c r="F228" s="19"/>
      <c r="G228" s="19" t="e">
        <f t="shared" si="0"/>
        <v>#DIV/0!</v>
      </c>
      <c r="H228" s="20" t="str">
        <f ca="1">IFERROR(__xludf.DUMMYFUNCTION("IF(COUNTIFS($C$2:C228, C228, $A$2:A228, ""&lt;="" &amp; A228) &lt; 30, AVERAGEIF($C$2:C228, C228, $G$2:G228), AVERAGE(FILTER($G$2:G228, $C$2:C228 = C228, $A$2:A228 &gt;= A228 - 30)))
"),"#DIV/0!")</f>
        <v>#DIV/0!</v>
      </c>
      <c r="I228" s="20" t="e">
        <f t="shared" ca="1" si="1"/>
        <v>#DIV/0!</v>
      </c>
      <c r="J228" s="20" t="str">
        <f ca="1">IFERROR(__xludf.DUMMYFUNCTION("IF(OR($I228=2, $I228=3), 0, IFERROR(COUNTIFS($C$2:C228, $C228, $A$2:A229, ""&gt;""&amp;IFERROR(MAX(FILTER($A$2:A229, $C$2:C228=$C228, $I$2:I228&lt;&gt;1)), 0), $I$2:I228, 1),1))
"),"#DIV/0!")</f>
        <v>#DIV/0!</v>
      </c>
      <c r="K228" s="20" t="e">
        <f t="shared" ca="1" si="2"/>
        <v>#DIV/0!</v>
      </c>
      <c r="L228" s="20" t="e">
        <f t="shared" ca="1" si="3"/>
        <v>#DIV/0!</v>
      </c>
      <c r="M228" s="21" t="e">
        <f t="shared" ca="1" si="4"/>
        <v>#DIV/0!</v>
      </c>
      <c r="N228" s="36" t="str">
        <f ca="1">IFERROR(__xludf.DUMMYFUNCTION("IF(COUNTIFS($C$2:C228, C228, $A$2:A228, ""&lt;="" &amp; A228) &lt; 30, STDEV.P(FILTER($G$2:G228, $C$2:C228 = C228)), STDEV.P(FILTER($G$2:G228, $C$2:C228 = C228, $A$2:A228 &gt;= A228 - 30)))
"),"#DIV/0!")</f>
        <v>#DIV/0!</v>
      </c>
    </row>
    <row r="229" spans="1:14" x14ac:dyDescent="0.2">
      <c r="A229" s="37"/>
      <c r="B229" s="5"/>
      <c r="C229" s="35"/>
      <c r="D229" s="19"/>
      <c r="E229" s="19"/>
      <c r="F229" s="19"/>
      <c r="G229" s="19" t="e">
        <f t="shared" si="0"/>
        <v>#DIV/0!</v>
      </c>
      <c r="H229" s="20" t="str">
        <f ca="1">IFERROR(__xludf.DUMMYFUNCTION("IF(COUNTIFS($C$2:C229, C229, $A$2:A229, ""&lt;="" &amp; A229) &lt; 30, AVERAGEIF($C$2:C229, C229, $G$2:G229), AVERAGE(FILTER($G$2:G229, $C$2:C229 = C229, $A$2:A229 &gt;= A229 - 30)))
"),"#DIV/0!")</f>
        <v>#DIV/0!</v>
      </c>
      <c r="I229" s="20" t="e">
        <f t="shared" ca="1" si="1"/>
        <v>#DIV/0!</v>
      </c>
      <c r="J229" s="20" t="str">
        <f ca="1">IFERROR(__xludf.DUMMYFUNCTION("IF(OR($I229=2, $I229=3), 0, IFERROR(COUNTIFS($C$2:C229, $C229, $A$2:A230, ""&gt;""&amp;IFERROR(MAX(FILTER($A$2:A230, $C$2:C229=$C229, $I$2:I229&lt;&gt;1)), 0), $I$2:I229, 1),1))
"),"#DIV/0!")</f>
        <v>#DIV/0!</v>
      </c>
      <c r="K229" s="20" t="e">
        <f t="shared" ca="1" si="2"/>
        <v>#DIV/0!</v>
      </c>
      <c r="L229" s="20" t="e">
        <f t="shared" ca="1" si="3"/>
        <v>#DIV/0!</v>
      </c>
      <c r="M229" s="21" t="e">
        <f t="shared" ca="1" si="4"/>
        <v>#DIV/0!</v>
      </c>
      <c r="N229" s="36" t="str">
        <f ca="1">IFERROR(__xludf.DUMMYFUNCTION("IF(COUNTIFS($C$2:C229, C229, $A$2:A229, ""&lt;="" &amp; A229) &lt; 30, STDEV.P(FILTER($G$2:G229, $C$2:C229 = C229)), STDEV.P(FILTER($G$2:G229, $C$2:C229 = C229, $A$2:A229 &gt;= A229 - 30)))
"),"#DIV/0!")</f>
        <v>#DIV/0!</v>
      </c>
    </row>
    <row r="230" spans="1:14" x14ac:dyDescent="0.2">
      <c r="A230" s="37"/>
      <c r="B230" s="5"/>
      <c r="C230" s="35"/>
      <c r="D230" s="19"/>
      <c r="E230" s="19"/>
      <c r="F230" s="19"/>
      <c r="G230" s="19" t="e">
        <f t="shared" si="0"/>
        <v>#DIV/0!</v>
      </c>
      <c r="H230" s="20" t="str">
        <f ca="1">IFERROR(__xludf.DUMMYFUNCTION("IF(COUNTIFS($C$2:C230, C230, $A$2:A230, ""&lt;="" &amp; A230) &lt; 30, AVERAGEIF($C$2:C230, C230, $G$2:G230), AVERAGE(FILTER($G$2:G230, $C$2:C230 = C230, $A$2:A230 &gt;= A230 - 30)))
"),"#DIV/0!")</f>
        <v>#DIV/0!</v>
      </c>
      <c r="I230" s="20" t="e">
        <f t="shared" ca="1" si="1"/>
        <v>#DIV/0!</v>
      </c>
      <c r="J230" s="20" t="str">
        <f ca="1">IFERROR(__xludf.DUMMYFUNCTION("IF(OR($I230=2, $I230=3), 0, IFERROR(COUNTIFS($C$2:C230, $C230, $A$2:A231, ""&gt;""&amp;IFERROR(MAX(FILTER($A$2:A231, $C$2:C230=$C230, $I$2:I230&lt;&gt;1)), 0), $I$2:I230, 1),1))
"),"#DIV/0!")</f>
        <v>#DIV/0!</v>
      </c>
      <c r="K230" s="20" t="e">
        <f t="shared" ca="1" si="2"/>
        <v>#DIV/0!</v>
      </c>
      <c r="L230" s="20" t="e">
        <f t="shared" ca="1" si="3"/>
        <v>#DIV/0!</v>
      </c>
      <c r="M230" s="21" t="e">
        <f t="shared" ca="1" si="4"/>
        <v>#DIV/0!</v>
      </c>
      <c r="N230" s="36" t="str">
        <f ca="1">IFERROR(__xludf.DUMMYFUNCTION("IF(COUNTIFS($C$2:C230, C230, $A$2:A230, ""&lt;="" &amp; A230) &lt; 30, STDEV.P(FILTER($G$2:G230, $C$2:C230 = C230)), STDEV.P(FILTER($G$2:G230, $C$2:C230 = C230, $A$2:A230 &gt;= A230 - 30)))
"),"#DIV/0!")</f>
        <v>#DIV/0!</v>
      </c>
    </row>
    <row r="231" spans="1:14" x14ac:dyDescent="0.2">
      <c r="A231" s="37"/>
      <c r="B231" s="7"/>
      <c r="C231" s="35"/>
      <c r="D231" s="20"/>
      <c r="E231" s="20"/>
      <c r="F231" s="20"/>
      <c r="G231" s="19" t="e">
        <f t="shared" si="0"/>
        <v>#DIV/0!</v>
      </c>
      <c r="H231" s="20" t="str">
        <f ca="1">IFERROR(__xludf.DUMMYFUNCTION("IF(COUNTIFS($C$2:C231, C231, $A$2:A231, ""&lt;="" &amp; A231) &lt; 30, AVERAGEIF($C$2:C231, C231, $G$2:G231), AVERAGE(FILTER($G$2:G231, $C$2:C231 = C231, $A$2:A231 &gt;= A231 - 30)))
"),"#DIV/0!")</f>
        <v>#DIV/0!</v>
      </c>
      <c r="I231" s="20" t="e">
        <f t="shared" ca="1" si="1"/>
        <v>#DIV/0!</v>
      </c>
      <c r="J231" s="20" t="str">
        <f ca="1">IFERROR(__xludf.DUMMYFUNCTION("IF(OR($I231=2, $I231=3), 0, IFERROR(COUNTIFS($C$2:C231, $C231, $A$2:A232, ""&gt;""&amp;IFERROR(MAX(FILTER($A$2:A232, $C$2:C231=$C231, $I$2:I231&lt;&gt;1)), 0), $I$2:I231, 1),1))
"),"#DIV/0!")</f>
        <v>#DIV/0!</v>
      </c>
      <c r="K231" s="20" t="e">
        <f t="shared" ca="1" si="2"/>
        <v>#DIV/0!</v>
      </c>
      <c r="L231" s="20" t="e">
        <f t="shared" ca="1" si="3"/>
        <v>#DIV/0!</v>
      </c>
      <c r="M231" s="21" t="e">
        <f t="shared" ca="1" si="4"/>
        <v>#DIV/0!</v>
      </c>
      <c r="N231" s="36" t="str">
        <f ca="1">IFERROR(__xludf.DUMMYFUNCTION("IF(COUNTIFS($C$2:C231, C231, $A$2:A231, ""&lt;="" &amp; A231) &lt; 30, STDEV.P(FILTER($G$2:G231, $C$2:C231 = C231)), STDEV.P(FILTER($G$2:G231, $C$2:C231 = C231, $A$2:A231 &gt;= A231 - 30)))
"),"#DIV/0!")</f>
        <v>#DIV/0!</v>
      </c>
    </row>
    <row r="232" spans="1:14" x14ac:dyDescent="0.2">
      <c r="A232" s="37"/>
      <c r="B232" s="7"/>
      <c r="C232" s="35"/>
      <c r="D232" s="20"/>
      <c r="E232" s="20"/>
      <c r="F232" s="20"/>
      <c r="G232" s="19" t="e">
        <f t="shared" si="0"/>
        <v>#DIV/0!</v>
      </c>
      <c r="H232" s="20" t="str">
        <f ca="1">IFERROR(__xludf.DUMMYFUNCTION("IF(COUNTIFS($C$2:C232, C232, $A$2:A232, ""&lt;="" &amp; A232) &lt; 30, AVERAGEIF($C$2:C232, C232, $G$2:G232), AVERAGE(FILTER($G$2:G232, $C$2:C232 = C232, $A$2:A232 &gt;= A232 - 30)))
"),"#DIV/0!")</f>
        <v>#DIV/0!</v>
      </c>
      <c r="I232" s="20" t="e">
        <f t="shared" ca="1" si="1"/>
        <v>#DIV/0!</v>
      </c>
      <c r="J232" s="20" t="str">
        <f ca="1">IFERROR(__xludf.DUMMYFUNCTION("IF(OR($I232=2, $I232=3), 0, IFERROR(COUNTIFS($C$2:C232, $C232, $A$2:A233, ""&gt;""&amp;IFERROR(MAX(FILTER($A$2:A233, $C$2:C232=$C232, $I$2:I232&lt;&gt;1)), 0), $I$2:I232, 1),1))
"),"#DIV/0!")</f>
        <v>#DIV/0!</v>
      </c>
      <c r="K232" s="20" t="e">
        <f t="shared" ca="1" si="2"/>
        <v>#DIV/0!</v>
      </c>
      <c r="L232" s="20" t="e">
        <f t="shared" ca="1" si="3"/>
        <v>#DIV/0!</v>
      </c>
      <c r="M232" s="21" t="e">
        <f t="shared" ca="1" si="4"/>
        <v>#DIV/0!</v>
      </c>
      <c r="N232" s="36" t="str">
        <f ca="1">IFERROR(__xludf.DUMMYFUNCTION("IF(COUNTIFS($C$2:C232, C232, $A$2:A232, ""&lt;="" &amp; A232) &lt; 30, STDEV.P(FILTER($G$2:G232, $C$2:C232 = C232)), STDEV.P(FILTER($G$2:G232, $C$2:C232 = C232, $A$2:A232 &gt;= A232 - 30)))
"),"#DIV/0!")</f>
        <v>#DIV/0!</v>
      </c>
    </row>
    <row r="233" spans="1:14" x14ac:dyDescent="0.2">
      <c r="A233" s="37"/>
      <c r="B233" s="7"/>
      <c r="C233" s="35"/>
      <c r="D233" s="20"/>
      <c r="E233" s="20"/>
      <c r="F233" s="20"/>
      <c r="G233" s="19" t="e">
        <f t="shared" si="0"/>
        <v>#DIV/0!</v>
      </c>
      <c r="H233" s="20" t="str">
        <f ca="1">IFERROR(__xludf.DUMMYFUNCTION("IF(COUNTIFS($C$2:C233, C233, $A$2:A233, ""&lt;="" &amp; A233) &lt; 30, AVERAGEIF($C$2:C233, C233, $G$2:G233), AVERAGE(FILTER($G$2:G233, $C$2:C233 = C233, $A$2:A233 &gt;= A233 - 30)))
"),"#DIV/0!")</f>
        <v>#DIV/0!</v>
      </c>
      <c r="I233" s="20" t="e">
        <f t="shared" ca="1" si="1"/>
        <v>#DIV/0!</v>
      </c>
      <c r="J233" s="20" t="str">
        <f ca="1">IFERROR(__xludf.DUMMYFUNCTION("IF(OR($I233=2, $I233=3), 0, IFERROR(COUNTIFS($C$2:C233, $C233, $A$2:A234, ""&gt;""&amp;IFERROR(MAX(FILTER($A$2:A234, $C$2:C233=$C233, $I$2:I233&lt;&gt;1)), 0), $I$2:I233, 1),1))
"),"#DIV/0!")</f>
        <v>#DIV/0!</v>
      </c>
      <c r="K233" s="20" t="e">
        <f t="shared" ca="1" si="2"/>
        <v>#DIV/0!</v>
      </c>
      <c r="L233" s="20" t="e">
        <f t="shared" ca="1" si="3"/>
        <v>#DIV/0!</v>
      </c>
      <c r="M233" s="21" t="e">
        <f t="shared" ca="1" si="4"/>
        <v>#DIV/0!</v>
      </c>
      <c r="N233" s="36" t="str">
        <f ca="1">IFERROR(__xludf.DUMMYFUNCTION("IF(COUNTIFS($C$2:C233, C233, $A$2:A233, ""&lt;="" &amp; A233) &lt; 30, STDEV.P(FILTER($G$2:G233, $C$2:C233 = C233)), STDEV.P(FILTER($G$2:G233, $C$2:C233 = C233, $A$2:A233 &gt;= A233 - 30)))
"),"#DIV/0!")</f>
        <v>#DIV/0!</v>
      </c>
    </row>
    <row r="234" spans="1:14" x14ac:dyDescent="0.2">
      <c r="A234" s="37"/>
      <c r="B234" s="5"/>
      <c r="C234" s="35"/>
      <c r="D234" s="19"/>
      <c r="E234" s="19"/>
      <c r="F234" s="19"/>
      <c r="G234" s="19" t="e">
        <f t="shared" si="0"/>
        <v>#DIV/0!</v>
      </c>
      <c r="H234" s="20" t="str">
        <f ca="1">IFERROR(__xludf.DUMMYFUNCTION("IF(COUNTIFS($C$2:C234, C234, $A$2:A234, ""&lt;="" &amp; A234) &lt; 30, AVERAGEIF($C$2:C234, C234, $G$2:G234), AVERAGE(FILTER($G$2:G234, $C$2:C234 = C234, $A$2:A234 &gt;= A234 - 30)))
"),"#DIV/0!")</f>
        <v>#DIV/0!</v>
      </c>
      <c r="I234" s="20" t="e">
        <f t="shared" ca="1" si="1"/>
        <v>#DIV/0!</v>
      </c>
      <c r="J234" s="20" t="str">
        <f ca="1">IFERROR(__xludf.DUMMYFUNCTION("IF(OR($I234=2, $I234=3), 0, IFERROR(COUNTIFS($C$2:C234, $C234, $A$2:A235, ""&gt;""&amp;IFERROR(MAX(FILTER($A$2:A235, $C$2:C234=$C234, $I$2:I234&lt;&gt;1)), 0), $I$2:I234, 1),1))
"),"#DIV/0!")</f>
        <v>#DIV/0!</v>
      </c>
      <c r="K234" s="20" t="e">
        <f t="shared" ca="1" si="2"/>
        <v>#DIV/0!</v>
      </c>
      <c r="L234" s="20" t="e">
        <f t="shared" ca="1" si="3"/>
        <v>#DIV/0!</v>
      </c>
      <c r="M234" s="21" t="e">
        <f t="shared" ca="1" si="4"/>
        <v>#DIV/0!</v>
      </c>
      <c r="N234" s="36" t="str">
        <f ca="1">IFERROR(__xludf.DUMMYFUNCTION("IF(COUNTIFS($C$2:C234, C234, $A$2:A234, ""&lt;="" &amp; A234) &lt; 30, STDEV.P(FILTER($G$2:G234, $C$2:C234 = C234)), STDEV.P(FILTER($G$2:G234, $C$2:C234 = C234, $A$2:A234 &gt;= A234 - 30)))
"),"#DIV/0!")</f>
        <v>#DIV/0!</v>
      </c>
    </row>
    <row r="235" spans="1:14" x14ac:dyDescent="0.2">
      <c r="A235" s="37"/>
      <c r="B235" s="5"/>
      <c r="C235" s="35"/>
      <c r="D235" s="19"/>
      <c r="E235" s="19"/>
      <c r="F235" s="19"/>
      <c r="G235" s="19" t="e">
        <f t="shared" si="0"/>
        <v>#DIV/0!</v>
      </c>
      <c r="H235" s="20" t="str">
        <f ca="1">IFERROR(__xludf.DUMMYFUNCTION("IF(COUNTIFS($C$2:C235, C235, $A$2:A235, ""&lt;="" &amp; A235) &lt; 30, AVERAGEIF($C$2:C235, C235, $G$2:G235), AVERAGE(FILTER($G$2:G235, $C$2:C235 = C235, $A$2:A235 &gt;= A235 - 30)))
"),"#DIV/0!")</f>
        <v>#DIV/0!</v>
      </c>
      <c r="I235" s="20" t="e">
        <f t="shared" ca="1" si="1"/>
        <v>#DIV/0!</v>
      </c>
      <c r="J235" s="20" t="str">
        <f ca="1">IFERROR(__xludf.DUMMYFUNCTION("IF(OR($I235=2, $I235=3), 0, IFERROR(COUNTIFS($C$2:C235, $C235, $A$2:A236, ""&gt;""&amp;IFERROR(MAX(FILTER($A$2:A236, $C$2:C235=$C235, $I$2:I235&lt;&gt;1)), 0), $I$2:I235, 1),1))
"),"#DIV/0!")</f>
        <v>#DIV/0!</v>
      </c>
      <c r="K235" s="20" t="e">
        <f t="shared" ca="1" si="2"/>
        <v>#DIV/0!</v>
      </c>
      <c r="L235" s="20" t="e">
        <f t="shared" ca="1" si="3"/>
        <v>#DIV/0!</v>
      </c>
      <c r="M235" s="21" t="e">
        <f t="shared" ca="1" si="4"/>
        <v>#DIV/0!</v>
      </c>
      <c r="N235" s="36" t="str">
        <f ca="1">IFERROR(__xludf.DUMMYFUNCTION("IF(COUNTIFS($C$2:C235, C235, $A$2:A235, ""&lt;="" &amp; A235) &lt; 30, STDEV.P(FILTER($G$2:G235, $C$2:C235 = C235)), STDEV.P(FILTER($G$2:G235, $C$2:C235 = C235, $A$2:A235 &gt;= A235 - 30)))
"),"#DIV/0!")</f>
        <v>#DIV/0!</v>
      </c>
    </row>
    <row r="236" spans="1:14" x14ac:dyDescent="0.2">
      <c r="A236" s="37"/>
      <c r="B236" s="5"/>
      <c r="C236" s="35"/>
      <c r="D236" s="19"/>
      <c r="E236" s="19"/>
      <c r="F236" s="19"/>
      <c r="G236" s="19" t="e">
        <f t="shared" si="0"/>
        <v>#DIV/0!</v>
      </c>
      <c r="H236" s="20" t="str">
        <f ca="1">IFERROR(__xludf.DUMMYFUNCTION("IF(COUNTIFS($C$2:C236, C236, $A$2:A236, ""&lt;="" &amp; A236) &lt; 30, AVERAGEIF($C$2:C236, C236, $G$2:G236), AVERAGE(FILTER($G$2:G236, $C$2:C236 = C236, $A$2:A236 &gt;= A236 - 30)))
"),"#DIV/0!")</f>
        <v>#DIV/0!</v>
      </c>
      <c r="I236" s="20" t="e">
        <f t="shared" ca="1" si="1"/>
        <v>#DIV/0!</v>
      </c>
      <c r="J236" s="20" t="str">
        <f ca="1">IFERROR(__xludf.DUMMYFUNCTION("IF(OR($I236=2, $I236=3), 0, IFERROR(COUNTIFS($C$2:C236, $C236, $A$2:A237, ""&gt;""&amp;IFERROR(MAX(FILTER($A$2:A237, $C$2:C236=$C236, $I$2:I236&lt;&gt;1)), 0), $I$2:I236, 1),1))
"),"#DIV/0!")</f>
        <v>#DIV/0!</v>
      </c>
      <c r="K236" s="20" t="e">
        <f t="shared" ca="1" si="2"/>
        <v>#DIV/0!</v>
      </c>
      <c r="L236" s="20" t="e">
        <f t="shared" ca="1" si="3"/>
        <v>#DIV/0!</v>
      </c>
      <c r="M236" s="21" t="e">
        <f t="shared" ca="1" si="4"/>
        <v>#DIV/0!</v>
      </c>
      <c r="N236" s="36" t="str">
        <f ca="1">IFERROR(__xludf.DUMMYFUNCTION("IF(COUNTIFS($C$2:C236, C236, $A$2:A236, ""&lt;="" &amp; A236) &lt; 30, STDEV.P(FILTER($G$2:G236, $C$2:C236 = C236)), STDEV.P(FILTER($G$2:G236, $C$2:C236 = C236, $A$2:A236 &gt;= A236 - 30)))
"),"#DIV/0!")</f>
        <v>#DIV/0!</v>
      </c>
    </row>
    <row r="237" spans="1:14" x14ac:dyDescent="0.2">
      <c r="A237" s="37"/>
      <c r="B237" s="5"/>
      <c r="C237" s="35"/>
      <c r="D237" s="19"/>
      <c r="E237" s="19"/>
      <c r="F237" s="19"/>
      <c r="G237" s="19" t="e">
        <f t="shared" si="0"/>
        <v>#DIV/0!</v>
      </c>
      <c r="H237" s="20" t="str">
        <f ca="1">IFERROR(__xludf.DUMMYFUNCTION("IF(COUNTIFS($C$2:C237, C237, $A$2:A237, ""&lt;="" &amp; A237) &lt; 30, AVERAGEIF($C$2:C237, C237, $G$2:G237), AVERAGE(FILTER($G$2:G237, $C$2:C237 = C237, $A$2:A237 &gt;= A237 - 30)))
"),"#DIV/0!")</f>
        <v>#DIV/0!</v>
      </c>
      <c r="I237" s="20" t="e">
        <f t="shared" ca="1" si="1"/>
        <v>#DIV/0!</v>
      </c>
      <c r="J237" s="20" t="str">
        <f ca="1">IFERROR(__xludf.DUMMYFUNCTION("IF(OR($I237=2, $I237=3), 0, IFERROR(COUNTIFS($C$2:C237, $C237, $A$2:A238, ""&gt;""&amp;IFERROR(MAX(FILTER($A$2:A238, $C$2:C237=$C237, $I$2:I237&lt;&gt;1)), 0), $I$2:I237, 1),1))
"),"#DIV/0!")</f>
        <v>#DIV/0!</v>
      </c>
      <c r="K237" s="20" t="e">
        <f t="shared" ca="1" si="2"/>
        <v>#DIV/0!</v>
      </c>
      <c r="L237" s="20" t="e">
        <f t="shared" ca="1" si="3"/>
        <v>#DIV/0!</v>
      </c>
      <c r="M237" s="21" t="e">
        <f t="shared" ca="1" si="4"/>
        <v>#DIV/0!</v>
      </c>
      <c r="N237" s="36" t="str">
        <f ca="1">IFERROR(__xludf.DUMMYFUNCTION("IF(COUNTIFS($C$2:C237, C237, $A$2:A237, ""&lt;="" &amp; A237) &lt; 30, STDEV.P(FILTER($G$2:G237, $C$2:C237 = C237)), STDEV.P(FILTER($G$2:G237, $C$2:C237 = C237, $A$2:A237 &gt;= A237 - 30)))
"),"#DIV/0!")</f>
        <v>#DIV/0!</v>
      </c>
    </row>
    <row r="238" spans="1:14" x14ac:dyDescent="0.2">
      <c r="A238" s="37"/>
      <c r="B238" s="5"/>
      <c r="C238" s="35"/>
      <c r="D238" s="19"/>
      <c r="E238" s="19"/>
      <c r="F238" s="19"/>
      <c r="G238" s="19" t="e">
        <f t="shared" si="0"/>
        <v>#DIV/0!</v>
      </c>
      <c r="H238" s="20" t="str">
        <f ca="1">IFERROR(__xludf.DUMMYFUNCTION("IF(COUNTIFS($C$2:C238, C238, $A$2:A238, ""&lt;="" &amp; A238) &lt; 30, AVERAGEIF($C$2:C238, C238, $G$2:G238), AVERAGE(FILTER($G$2:G238, $C$2:C238 = C238, $A$2:A238 &gt;= A238 - 30)))
"),"#DIV/0!")</f>
        <v>#DIV/0!</v>
      </c>
      <c r="I238" s="20" t="e">
        <f t="shared" ca="1" si="1"/>
        <v>#DIV/0!</v>
      </c>
      <c r="J238" s="20" t="str">
        <f ca="1">IFERROR(__xludf.DUMMYFUNCTION("IF(OR($I238=2, $I238=3), 0, IFERROR(COUNTIFS($C$2:C238, $C238, $A$2:A239, ""&gt;""&amp;IFERROR(MAX(FILTER($A$2:A239, $C$2:C238=$C238, $I$2:I238&lt;&gt;1)), 0), $I$2:I238, 1),1))
"),"#DIV/0!")</f>
        <v>#DIV/0!</v>
      </c>
      <c r="K238" s="20" t="e">
        <f t="shared" ca="1" si="2"/>
        <v>#DIV/0!</v>
      </c>
      <c r="L238" s="20" t="e">
        <f t="shared" ca="1" si="3"/>
        <v>#DIV/0!</v>
      </c>
      <c r="M238" s="21" t="e">
        <f t="shared" ca="1" si="4"/>
        <v>#DIV/0!</v>
      </c>
      <c r="N238" s="36" t="str">
        <f ca="1">IFERROR(__xludf.DUMMYFUNCTION("IF(COUNTIFS($C$2:C238, C238, $A$2:A238, ""&lt;="" &amp; A238) &lt; 30, STDEV.P(FILTER($G$2:G238, $C$2:C238 = C238)), STDEV.P(FILTER($G$2:G238, $C$2:C238 = C238, $A$2:A238 &gt;= A238 - 30)))
"),"#DIV/0!")</f>
        <v>#DIV/0!</v>
      </c>
    </row>
    <row r="239" spans="1:14" x14ac:dyDescent="0.2">
      <c r="A239" s="37"/>
      <c r="B239" s="5"/>
      <c r="C239" s="35"/>
      <c r="D239" s="19"/>
      <c r="E239" s="19"/>
      <c r="F239" s="19"/>
      <c r="G239" s="19" t="e">
        <f t="shared" si="0"/>
        <v>#DIV/0!</v>
      </c>
      <c r="H239" s="20" t="str">
        <f ca="1">IFERROR(__xludf.DUMMYFUNCTION("IF(COUNTIFS($C$2:C239, C239, $A$2:A239, ""&lt;="" &amp; A239) &lt; 30, AVERAGEIF($C$2:C239, C239, $G$2:G239), AVERAGE(FILTER($G$2:G239, $C$2:C239 = C239, $A$2:A239 &gt;= A239 - 30)))
"),"#DIV/0!")</f>
        <v>#DIV/0!</v>
      </c>
      <c r="I239" s="20" t="e">
        <f t="shared" ca="1" si="1"/>
        <v>#DIV/0!</v>
      </c>
      <c r="J239" s="20" t="str">
        <f ca="1">IFERROR(__xludf.DUMMYFUNCTION("IF(OR($I239=2, $I239=3), 0, IFERROR(COUNTIFS($C$2:C239, $C239, $A$2:A240, ""&gt;""&amp;IFERROR(MAX(FILTER($A$2:A240, $C$2:C239=$C239, $I$2:I239&lt;&gt;1)), 0), $I$2:I239, 1),1))
"),"#DIV/0!")</f>
        <v>#DIV/0!</v>
      </c>
      <c r="K239" s="20" t="e">
        <f t="shared" ca="1" si="2"/>
        <v>#DIV/0!</v>
      </c>
      <c r="L239" s="20" t="e">
        <f t="shared" ca="1" si="3"/>
        <v>#DIV/0!</v>
      </c>
      <c r="M239" s="21" t="e">
        <f t="shared" ca="1" si="4"/>
        <v>#DIV/0!</v>
      </c>
      <c r="N239" s="36" t="str">
        <f ca="1">IFERROR(__xludf.DUMMYFUNCTION("IF(COUNTIFS($C$2:C239, C239, $A$2:A239, ""&lt;="" &amp; A239) &lt; 30, STDEV.P(FILTER($G$2:G239, $C$2:C239 = C239)), STDEV.P(FILTER($G$2:G239, $C$2:C239 = C239, $A$2:A239 &gt;= A239 - 30)))
"),"#DIV/0!")</f>
        <v>#DIV/0!</v>
      </c>
    </row>
    <row r="240" spans="1:14" x14ac:dyDescent="0.2">
      <c r="A240" s="37"/>
      <c r="B240" s="5"/>
      <c r="C240" s="35"/>
      <c r="D240" s="19"/>
      <c r="E240" s="19"/>
      <c r="F240" s="19"/>
      <c r="G240" s="19" t="e">
        <f t="shared" si="0"/>
        <v>#DIV/0!</v>
      </c>
      <c r="H240" s="20" t="str">
        <f ca="1">IFERROR(__xludf.DUMMYFUNCTION("IF(COUNTIFS($C$2:C240, C240, $A$2:A240, ""&lt;="" &amp; A240) &lt; 30, AVERAGEIF($C$2:C240, C240, $G$2:G240), AVERAGE(FILTER($G$2:G240, $C$2:C240 = C240, $A$2:A240 &gt;= A240 - 30)))
"),"#DIV/0!")</f>
        <v>#DIV/0!</v>
      </c>
      <c r="I240" s="20" t="e">
        <f t="shared" ca="1" si="1"/>
        <v>#DIV/0!</v>
      </c>
      <c r="J240" s="20" t="str">
        <f ca="1">IFERROR(__xludf.DUMMYFUNCTION("IF(OR($I240=2, $I240=3), 0, IFERROR(COUNTIFS($C$2:C240, $C240, $A$2:A241, ""&gt;""&amp;IFERROR(MAX(FILTER($A$2:A241, $C$2:C240=$C240, $I$2:I240&lt;&gt;1)), 0), $I$2:I240, 1),1))
"),"#DIV/0!")</f>
        <v>#DIV/0!</v>
      </c>
      <c r="K240" s="20" t="e">
        <f t="shared" ca="1" si="2"/>
        <v>#DIV/0!</v>
      </c>
      <c r="L240" s="20" t="e">
        <f t="shared" ca="1" si="3"/>
        <v>#DIV/0!</v>
      </c>
      <c r="M240" s="21" t="e">
        <f t="shared" ca="1" si="4"/>
        <v>#DIV/0!</v>
      </c>
      <c r="N240" s="36" t="str">
        <f ca="1">IFERROR(__xludf.DUMMYFUNCTION("IF(COUNTIFS($C$2:C240, C240, $A$2:A240, ""&lt;="" &amp; A240) &lt; 30, STDEV.P(FILTER($G$2:G240, $C$2:C240 = C240)), STDEV.P(FILTER($G$2:G240, $C$2:C240 = C240, $A$2:A240 &gt;= A240 - 30)))
"),"#DIV/0!")</f>
        <v>#DIV/0!</v>
      </c>
    </row>
    <row r="241" spans="1:14" x14ac:dyDescent="0.2">
      <c r="A241" s="37"/>
      <c r="B241" s="5"/>
      <c r="C241" s="35"/>
      <c r="D241" s="19"/>
      <c r="E241" s="19"/>
      <c r="F241" s="19"/>
      <c r="G241" s="19" t="e">
        <f t="shared" si="0"/>
        <v>#DIV/0!</v>
      </c>
      <c r="H241" s="20" t="str">
        <f ca="1">IFERROR(__xludf.DUMMYFUNCTION("IF(COUNTIFS($C$2:C241, C241, $A$2:A241, ""&lt;="" &amp; A241) &lt; 30, AVERAGEIF($C$2:C241, C241, $G$2:G241), AVERAGE(FILTER($G$2:G241, $C$2:C241 = C241, $A$2:A241 &gt;= A241 - 30)))
"),"#DIV/0!")</f>
        <v>#DIV/0!</v>
      </c>
      <c r="I241" s="20" t="e">
        <f t="shared" ca="1" si="1"/>
        <v>#DIV/0!</v>
      </c>
      <c r="J241" s="20" t="str">
        <f ca="1">IFERROR(__xludf.DUMMYFUNCTION("IF(OR($I241=2, $I241=3), 0, IFERROR(COUNTIFS($C$2:C241, $C241, $A$2:A242, ""&gt;""&amp;IFERROR(MAX(FILTER($A$2:A242, $C$2:C241=$C241, $I$2:I241&lt;&gt;1)), 0), $I$2:I241, 1),1))
"),"#DIV/0!")</f>
        <v>#DIV/0!</v>
      </c>
      <c r="K241" s="20" t="e">
        <f t="shared" ca="1" si="2"/>
        <v>#DIV/0!</v>
      </c>
      <c r="L241" s="20" t="e">
        <f t="shared" ca="1" si="3"/>
        <v>#DIV/0!</v>
      </c>
      <c r="M241" s="21" t="e">
        <f t="shared" ca="1" si="4"/>
        <v>#DIV/0!</v>
      </c>
      <c r="N241" s="36" t="str">
        <f ca="1">IFERROR(__xludf.DUMMYFUNCTION("IF(COUNTIFS($C$2:C241, C241, $A$2:A241, ""&lt;="" &amp; A241) &lt; 30, STDEV.P(FILTER($G$2:G241, $C$2:C241 = C241)), STDEV.P(FILTER($G$2:G241, $C$2:C241 = C241, $A$2:A241 &gt;= A241 - 30)))
"),"#DIV/0!")</f>
        <v>#DIV/0!</v>
      </c>
    </row>
    <row r="242" spans="1:14" x14ac:dyDescent="0.2">
      <c r="A242" s="37"/>
      <c r="B242" s="7"/>
      <c r="C242" s="35"/>
      <c r="D242" s="20"/>
      <c r="E242" s="20"/>
      <c r="F242" s="20"/>
      <c r="G242" s="19" t="e">
        <f t="shared" si="0"/>
        <v>#DIV/0!</v>
      </c>
      <c r="H242" s="20" t="str">
        <f ca="1">IFERROR(__xludf.DUMMYFUNCTION("IF(COUNTIFS($C$2:C242, C242, $A$2:A242, ""&lt;="" &amp; A242) &lt; 30, AVERAGEIF($C$2:C242, C242, $G$2:G242), AVERAGE(FILTER($G$2:G242, $C$2:C242 = C242, $A$2:A242 &gt;= A242 - 30)))
"),"#DIV/0!")</f>
        <v>#DIV/0!</v>
      </c>
      <c r="I242" s="20" t="e">
        <f t="shared" ca="1" si="1"/>
        <v>#DIV/0!</v>
      </c>
      <c r="J242" s="20" t="str">
        <f ca="1">IFERROR(__xludf.DUMMYFUNCTION("IF(OR($I242=2, $I242=3), 0, IFERROR(COUNTIFS($C$2:C242, $C242, $A$2:A243, ""&gt;""&amp;IFERROR(MAX(FILTER($A$2:A243, $C$2:C242=$C242, $I$2:I242&lt;&gt;1)), 0), $I$2:I242, 1),1))
"),"#DIV/0!")</f>
        <v>#DIV/0!</v>
      </c>
      <c r="K242" s="20" t="e">
        <f t="shared" ca="1" si="2"/>
        <v>#DIV/0!</v>
      </c>
      <c r="L242" s="20" t="e">
        <f t="shared" ca="1" si="3"/>
        <v>#DIV/0!</v>
      </c>
      <c r="M242" s="21" t="e">
        <f t="shared" ca="1" si="4"/>
        <v>#DIV/0!</v>
      </c>
      <c r="N242" s="36" t="str">
        <f ca="1">IFERROR(__xludf.DUMMYFUNCTION("IF(COUNTIFS($C$2:C242, C242, $A$2:A242, ""&lt;="" &amp; A242) &lt; 30, STDEV.P(FILTER($G$2:G242, $C$2:C242 = C242)), STDEV.P(FILTER($G$2:G242, $C$2:C242 = C242, $A$2:A242 &gt;= A242 - 30)))
"),"#DIV/0!")</f>
        <v>#DIV/0!</v>
      </c>
    </row>
    <row r="243" spans="1:14" x14ac:dyDescent="0.2">
      <c r="A243" s="37"/>
      <c r="B243" s="7"/>
      <c r="C243" s="35"/>
      <c r="D243" s="20"/>
      <c r="E243" s="20"/>
      <c r="F243" s="20"/>
      <c r="G243" s="19" t="e">
        <f t="shared" si="0"/>
        <v>#DIV/0!</v>
      </c>
      <c r="H243" s="20" t="str">
        <f ca="1">IFERROR(__xludf.DUMMYFUNCTION("IF(COUNTIFS($C$2:C243, C243, $A$2:A243, ""&lt;="" &amp; A243) &lt; 30, AVERAGEIF($C$2:C243, C243, $G$2:G243), AVERAGE(FILTER($G$2:G243, $C$2:C243 = C243, $A$2:A243 &gt;= A243 - 30)))
"),"#DIV/0!")</f>
        <v>#DIV/0!</v>
      </c>
      <c r="I243" s="20" t="e">
        <f t="shared" ca="1" si="1"/>
        <v>#DIV/0!</v>
      </c>
      <c r="J243" s="20" t="str">
        <f ca="1">IFERROR(__xludf.DUMMYFUNCTION("IF(OR($I243=2, $I243=3), 0, IFERROR(COUNTIFS($C$2:C243, $C243, $A$2:A244, ""&gt;""&amp;IFERROR(MAX(FILTER($A$2:A244, $C$2:C243=$C243, $I$2:I243&lt;&gt;1)), 0), $I$2:I243, 1),1))
"),"#DIV/0!")</f>
        <v>#DIV/0!</v>
      </c>
      <c r="K243" s="20" t="e">
        <f t="shared" ca="1" si="2"/>
        <v>#DIV/0!</v>
      </c>
      <c r="L243" s="20" t="e">
        <f t="shared" ca="1" si="3"/>
        <v>#DIV/0!</v>
      </c>
      <c r="M243" s="21" t="e">
        <f t="shared" ca="1" si="4"/>
        <v>#DIV/0!</v>
      </c>
      <c r="N243" s="36" t="str">
        <f ca="1">IFERROR(__xludf.DUMMYFUNCTION("IF(COUNTIFS($C$2:C243, C243, $A$2:A243, ""&lt;="" &amp; A243) &lt; 30, STDEV.P(FILTER($G$2:G243, $C$2:C243 = C243)), STDEV.P(FILTER($G$2:G243, $C$2:C243 = C243, $A$2:A243 &gt;= A243 - 30)))
"),"#DIV/0!")</f>
        <v>#DIV/0!</v>
      </c>
    </row>
    <row r="244" spans="1:14" x14ac:dyDescent="0.2">
      <c r="A244" s="37"/>
      <c r="B244" s="5"/>
      <c r="C244" s="35"/>
      <c r="D244" s="19"/>
      <c r="E244" s="19"/>
      <c r="F244" s="19"/>
      <c r="G244" s="19" t="e">
        <f t="shared" si="0"/>
        <v>#DIV/0!</v>
      </c>
      <c r="H244" s="20" t="str">
        <f ca="1">IFERROR(__xludf.DUMMYFUNCTION("IF(COUNTIFS($C$2:C244, C244, $A$2:A244, ""&lt;="" &amp; A244) &lt; 30, AVERAGEIF($C$2:C244, C244, $G$2:G244), AVERAGE(FILTER($G$2:G244, $C$2:C244 = C244, $A$2:A244 &gt;= A244 - 30)))
"),"#DIV/0!")</f>
        <v>#DIV/0!</v>
      </c>
      <c r="I244" s="20" t="e">
        <f t="shared" ca="1" si="1"/>
        <v>#DIV/0!</v>
      </c>
      <c r="J244" s="20" t="str">
        <f ca="1">IFERROR(__xludf.DUMMYFUNCTION("IF(OR($I244=2, $I244=3), 0, IFERROR(COUNTIFS($C$2:C244, $C244, $A$2:A245, ""&gt;""&amp;IFERROR(MAX(FILTER($A$2:A245, $C$2:C244=$C244, $I$2:I244&lt;&gt;1)), 0), $I$2:I244, 1),1))
"),"#DIV/0!")</f>
        <v>#DIV/0!</v>
      </c>
      <c r="K244" s="20" t="e">
        <f t="shared" ca="1" si="2"/>
        <v>#DIV/0!</v>
      </c>
      <c r="L244" s="20" t="e">
        <f t="shared" ca="1" si="3"/>
        <v>#DIV/0!</v>
      </c>
      <c r="M244" s="21" t="e">
        <f t="shared" ca="1" si="4"/>
        <v>#DIV/0!</v>
      </c>
      <c r="N244" s="36" t="str">
        <f ca="1">IFERROR(__xludf.DUMMYFUNCTION("IF(COUNTIFS($C$2:C244, C244, $A$2:A244, ""&lt;="" &amp; A244) &lt; 30, STDEV.P(FILTER($G$2:G244, $C$2:C244 = C244)), STDEV.P(FILTER($G$2:G244, $C$2:C244 = C244, $A$2:A244 &gt;= A244 - 30)))
"),"#DIV/0!")</f>
        <v>#DIV/0!</v>
      </c>
    </row>
    <row r="245" spans="1:14" x14ac:dyDescent="0.2">
      <c r="A245" s="37"/>
      <c r="B245" s="5"/>
      <c r="C245" s="35"/>
      <c r="D245" s="19"/>
      <c r="E245" s="19"/>
      <c r="F245" s="19"/>
      <c r="G245" s="19" t="e">
        <f t="shared" si="0"/>
        <v>#DIV/0!</v>
      </c>
      <c r="H245" s="20" t="str">
        <f ca="1">IFERROR(__xludf.DUMMYFUNCTION("IF(COUNTIFS($C$2:C245, C245, $A$2:A245, ""&lt;="" &amp; A245) &lt; 30, AVERAGEIF($C$2:C245, C245, $G$2:G245), AVERAGE(FILTER($G$2:G245, $C$2:C245 = C245, $A$2:A245 &gt;= A245 - 30)))
"),"#DIV/0!")</f>
        <v>#DIV/0!</v>
      </c>
      <c r="I245" s="20" t="e">
        <f t="shared" ca="1" si="1"/>
        <v>#DIV/0!</v>
      </c>
      <c r="J245" s="20" t="str">
        <f ca="1">IFERROR(__xludf.DUMMYFUNCTION("IF(OR($I245=2, $I245=3), 0, IFERROR(COUNTIFS($C$2:C245, $C245, $A$2:A246, ""&gt;""&amp;IFERROR(MAX(FILTER($A$2:A246, $C$2:C245=$C245, $I$2:I245&lt;&gt;1)), 0), $I$2:I245, 1),1))
"),"#DIV/0!")</f>
        <v>#DIV/0!</v>
      </c>
      <c r="K245" s="20" t="e">
        <f t="shared" ca="1" si="2"/>
        <v>#DIV/0!</v>
      </c>
      <c r="L245" s="20" t="e">
        <f t="shared" ca="1" si="3"/>
        <v>#DIV/0!</v>
      </c>
      <c r="M245" s="21" t="e">
        <f t="shared" ca="1" si="4"/>
        <v>#DIV/0!</v>
      </c>
      <c r="N245" s="36" t="str">
        <f ca="1">IFERROR(__xludf.DUMMYFUNCTION("IF(COUNTIFS($C$2:C245, C245, $A$2:A245, ""&lt;="" &amp; A245) &lt; 30, STDEV.P(FILTER($G$2:G245, $C$2:C245 = C245)), STDEV.P(FILTER($G$2:G245, $C$2:C245 = C245, $A$2:A245 &gt;= A245 - 30)))
"),"#DIV/0!")</f>
        <v>#DIV/0!</v>
      </c>
    </row>
    <row r="246" spans="1:14" x14ac:dyDescent="0.2">
      <c r="A246" s="37"/>
      <c r="B246" s="5"/>
      <c r="C246" s="35"/>
      <c r="D246" s="19"/>
      <c r="E246" s="19"/>
      <c r="F246" s="19"/>
      <c r="G246" s="19" t="e">
        <f t="shared" si="0"/>
        <v>#DIV/0!</v>
      </c>
      <c r="H246" s="20" t="str">
        <f ca="1">IFERROR(__xludf.DUMMYFUNCTION("IF(COUNTIFS($C$2:C246, C246, $A$2:A246, ""&lt;="" &amp; A246) &lt; 30, AVERAGEIF($C$2:C246, C246, $G$2:G246), AVERAGE(FILTER($G$2:G246, $C$2:C246 = C246, $A$2:A246 &gt;= A246 - 30)))
"),"#DIV/0!")</f>
        <v>#DIV/0!</v>
      </c>
      <c r="I246" s="20" t="e">
        <f t="shared" ca="1" si="1"/>
        <v>#DIV/0!</v>
      </c>
      <c r="J246" s="20" t="str">
        <f ca="1">IFERROR(__xludf.DUMMYFUNCTION("IF(OR($I246=2, $I246=3), 0, IFERROR(COUNTIFS($C$2:C246, $C246, $A$2:A247, ""&gt;""&amp;IFERROR(MAX(FILTER($A$2:A247, $C$2:C246=$C246, $I$2:I246&lt;&gt;1)), 0), $I$2:I246, 1),1))
"),"#DIV/0!")</f>
        <v>#DIV/0!</v>
      </c>
      <c r="K246" s="20" t="e">
        <f t="shared" ca="1" si="2"/>
        <v>#DIV/0!</v>
      </c>
      <c r="L246" s="20" t="e">
        <f t="shared" ca="1" si="3"/>
        <v>#DIV/0!</v>
      </c>
      <c r="M246" s="21" t="e">
        <f t="shared" ca="1" si="4"/>
        <v>#DIV/0!</v>
      </c>
      <c r="N246" s="36" t="str">
        <f ca="1">IFERROR(__xludf.DUMMYFUNCTION("IF(COUNTIFS($C$2:C246, C246, $A$2:A246, ""&lt;="" &amp; A246) &lt; 30, STDEV.P(FILTER($G$2:G246, $C$2:C246 = C246)), STDEV.P(FILTER($G$2:G246, $C$2:C246 = C246, $A$2:A246 &gt;= A246 - 30)))
"),"#DIV/0!")</f>
        <v>#DIV/0!</v>
      </c>
    </row>
    <row r="247" spans="1:14" x14ac:dyDescent="0.2">
      <c r="A247" s="37"/>
      <c r="B247" s="5"/>
      <c r="C247" s="35"/>
      <c r="D247" s="19"/>
      <c r="E247" s="19"/>
      <c r="F247" s="19"/>
      <c r="G247" s="19" t="e">
        <f t="shared" si="0"/>
        <v>#DIV/0!</v>
      </c>
      <c r="H247" s="20" t="str">
        <f ca="1">IFERROR(__xludf.DUMMYFUNCTION("IF(COUNTIFS($C$2:C247, C247, $A$2:A247, ""&lt;="" &amp; A247) &lt; 30, AVERAGEIF($C$2:C247, C247, $G$2:G247), AVERAGE(FILTER($G$2:G247, $C$2:C247 = C247, $A$2:A247 &gt;= A247 - 30)))
"),"#DIV/0!")</f>
        <v>#DIV/0!</v>
      </c>
      <c r="I247" s="20" t="e">
        <f t="shared" ca="1" si="1"/>
        <v>#DIV/0!</v>
      </c>
      <c r="J247" s="20" t="str">
        <f ca="1">IFERROR(__xludf.DUMMYFUNCTION("IF(OR($I247=2, $I247=3), 0, IFERROR(COUNTIFS($C$2:C247, $C247, $A$2:A248, ""&gt;""&amp;IFERROR(MAX(FILTER($A$2:A248, $C$2:C247=$C247, $I$2:I247&lt;&gt;1)), 0), $I$2:I247, 1),1))
"),"#DIV/0!")</f>
        <v>#DIV/0!</v>
      </c>
      <c r="K247" s="20" t="e">
        <f t="shared" ca="1" si="2"/>
        <v>#DIV/0!</v>
      </c>
      <c r="L247" s="20" t="e">
        <f t="shared" ca="1" si="3"/>
        <v>#DIV/0!</v>
      </c>
      <c r="M247" s="21" t="e">
        <f t="shared" ca="1" si="4"/>
        <v>#DIV/0!</v>
      </c>
      <c r="N247" s="36" t="str">
        <f ca="1">IFERROR(__xludf.DUMMYFUNCTION("IF(COUNTIFS($C$2:C247, C247, $A$2:A247, ""&lt;="" &amp; A247) &lt; 30, STDEV.P(FILTER($G$2:G247, $C$2:C247 = C247)), STDEV.P(FILTER($G$2:G247, $C$2:C247 = C247, $A$2:A247 &gt;= A247 - 30)))
"),"#DIV/0!")</f>
        <v>#DIV/0!</v>
      </c>
    </row>
    <row r="248" spans="1:14" x14ac:dyDescent="0.2">
      <c r="A248" s="37"/>
      <c r="B248" s="5"/>
      <c r="C248" s="35"/>
      <c r="D248" s="19"/>
      <c r="E248" s="19"/>
      <c r="F248" s="19"/>
      <c r="G248" s="19" t="e">
        <f t="shared" si="0"/>
        <v>#DIV/0!</v>
      </c>
      <c r="H248" s="20" t="str">
        <f ca="1">IFERROR(__xludf.DUMMYFUNCTION("IF(COUNTIFS($C$2:C248, C248, $A$2:A248, ""&lt;="" &amp; A248) &lt; 30, AVERAGEIF($C$2:C248, C248, $G$2:G248), AVERAGE(FILTER($G$2:G248, $C$2:C248 = C248, $A$2:A248 &gt;= A248 - 30)))
"),"#DIV/0!")</f>
        <v>#DIV/0!</v>
      </c>
      <c r="I248" s="20" t="e">
        <f t="shared" ca="1" si="1"/>
        <v>#DIV/0!</v>
      </c>
      <c r="J248" s="20" t="str">
        <f ca="1">IFERROR(__xludf.DUMMYFUNCTION("IF(OR($I248=2, $I248=3), 0, IFERROR(COUNTIFS($C$2:C248, $C248, $A$2:A249, ""&gt;""&amp;IFERROR(MAX(FILTER($A$2:A249, $C$2:C248=$C248, $I$2:I248&lt;&gt;1)), 0), $I$2:I248, 1),1))
"),"#DIV/0!")</f>
        <v>#DIV/0!</v>
      </c>
      <c r="K248" s="20" t="e">
        <f t="shared" ca="1" si="2"/>
        <v>#DIV/0!</v>
      </c>
      <c r="L248" s="20" t="e">
        <f t="shared" ca="1" si="3"/>
        <v>#DIV/0!</v>
      </c>
      <c r="M248" s="21" t="e">
        <f t="shared" ca="1" si="4"/>
        <v>#DIV/0!</v>
      </c>
      <c r="N248" s="36" t="str">
        <f ca="1">IFERROR(__xludf.DUMMYFUNCTION("IF(COUNTIFS($C$2:C248, C248, $A$2:A248, ""&lt;="" &amp; A248) &lt; 30, STDEV.P(FILTER($G$2:G248, $C$2:C248 = C248)), STDEV.P(FILTER($G$2:G248, $C$2:C248 = C248, $A$2:A248 &gt;= A248 - 30)))
"),"#DIV/0!")</f>
        <v>#DIV/0!</v>
      </c>
    </row>
    <row r="249" spans="1:14" x14ac:dyDescent="0.2">
      <c r="A249" s="37"/>
      <c r="B249" s="5"/>
      <c r="C249" s="35"/>
      <c r="D249" s="19"/>
      <c r="E249" s="19"/>
      <c r="F249" s="19"/>
      <c r="G249" s="19" t="e">
        <f t="shared" si="0"/>
        <v>#DIV/0!</v>
      </c>
      <c r="H249" s="20" t="str">
        <f ca="1">IFERROR(__xludf.DUMMYFUNCTION("IF(COUNTIFS($C$2:C249, C249, $A$2:A249, ""&lt;="" &amp; A249) &lt; 30, AVERAGEIF($C$2:C249, C249, $G$2:G249), AVERAGE(FILTER($G$2:G249, $C$2:C249 = C249, $A$2:A249 &gt;= A249 - 30)))
"),"#DIV/0!")</f>
        <v>#DIV/0!</v>
      </c>
      <c r="I249" s="20" t="e">
        <f t="shared" ca="1" si="1"/>
        <v>#DIV/0!</v>
      </c>
      <c r="J249" s="20" t="str">
        <f ca="1">IFERROR(__xludf.DUMMYFUNCTION("IF(OR($I249=2, $I249=3), 0, IFERROR(COUNTIFS($C$2:C249, $C249, $A$2:A250, ""&gt;""&amp;IFERROR(MAX(FILTER($A$2:A250, $C$2:C249=$C249, $I$2:I249&lt;&gt;1)), 0), $I$2:I249, 1),1))
"),"#DIV/0!")</f>
        <v>#DIV/0!</v>
      </c>
      <c r="K249" s="20" t="e">
        <f t="shared" ca="1" si="2"/>
        <v>#DIV/0!</v>
      </c>
      <c r="L249" s="20" t="e">
        <f t="shared" ca="1" si="3"/>
        <v>#DIV/0!</v>
      </c>
      <c r="M249" s="21" t="e">
        <f t="shared" ca="1" si="4"/>
        <v>#DIV/0!</v>
      </c>
      <c r="N249" s="36" t="str">
        <f ca="1">IFERROR(__xludf.DUMMYFUNCTION("IF(COUNTIFS($C$2:C249, C249, $A$2:A249, ""&lt;="" &amp; A249) &lt; 30, STDEV.P(FILTER($G$2:G249, $C$2:C249 = C249)), STDEV.P(FILTER($G$2:G249, $C$2:C249 = C249, $A$2:A249 &gt;= A249 - 30)))
"),"#DIV/0!")</f>
        <v>#DIV/0!</v>
      </c>
    </row>
    <row r="250" spans="1:14" x14ac:dyDescent="0.2">
      <c r="A250" s="37"/>
      <c r="B250" s="5"/>
      <c r="C250" s="35"/>
      <c r="D250" s="19"/>
      <c r="E250" s="19"/>
      <c r="F250" s="19"/>
      <c r="G250" s="19" t="e">
        <f t="shared" si="0"/>
        <v>#DIV/0!</v>
      </c>
      <c r="H250" s="20" t="str">
        <f ca="1">IFERROR(__xludf.DUMMYFUNCTION("IF(COUNTIFS($C$2:C250, C250, $A$2:A250, ""&lt;="" &amp; A250) &lt; 30, AVERAGEIF($C$2:C250, C250, $G$2:G250), AVERAGE(FILTER($G$2:G250, $C$2:C250 = C250, $A$2:A250 &gt;= A250 - 30)))
"),"#DIV/0!")</f>
        <v>#DIV/0!</v>
      </c>
      <c r="I250" s="20" t="e">
        <f t="shared" ca="1" si="1"/>
        <v>#DIV/0!</v>
      </c>
      <c r="J250" s="20" t="str">
        <f ca="1">IFERROR(__xludf.DUMMYFUNCTION("IF(OR($I250=2, $I250=3), 0, IFERROR(COUNTIFS($C$2:C250, $C250, $A$2:A251, ""&gt;""&amp;IFERROR(MAX(FILTER($A$2:A251, $C$2:C250=$C250, $I$2:I250&lt;&gt;1)), 0), $I$2:I250, 1),1))
"),"#DIV/0!")</f>
        <v>#DIV/0!</v>
      </c>
      <c r="K250" s="20" t="e">
        <f t="shared" ca="1" si="2"/>
        <v>#DIV/0!</v>
      </c>
      <c r="L250" s="20" t="e">
        <f t="shared" ca="1" si="3"/>
        <v>#DIV/0!</v>
      </c>
      <c r="M250" s="21" t="e">
        <f t="shared" ca="1" si="4"/>
        <v>#DIV/0!</v>
      </c>
      <c r="N250" s="36" t="str">
        <f ca="1">IFERROR(__xludf.DUMMYFUNCTION("IF(COUNTIFS($C$2:C250, C250, $A$2:A250, ""&lt;="" &amp; A250) &lt; 30, STDEV.P(FILTER($G$2:G250, $C$2:C250 = C250)), STDEV.P(FILTER($G$2:G250, $C$2:C250 = C250, $A$2:A250 &gt;= A250 - 30)))
"),"#DIV/0!")</f>
        <v>#DIV/0!</v>
      </c>
    </row>
    <row r="251" spans="1:14" x14ac:dyDescent="0.2">
      <c r="A251" s="37"/>
      <c r="B251" s="5"/>
      <c r="C251" s="35"/>
      <c r="D251" s="19"/>
      <c r="E251" s="19"/>
      <c r="F251" s="19"/>
      <c r="G251" s="19" t="e">
        <f t="shared" si="0"/>
        <v>#DIV/0!</v>
      </c>
      <c r="H251" s="20" t="str">
        <f ca="1">IFERROR(__xludf.DUMMYFUNCTION("IF(COUNTIFS($C$2:C251, C251, $A$2:A251, ""&lt;="" &amp; A251) &lt; 30, AVERAGEIF($C$2:C251, C251, $G$2:G251), AVERAGE(FILTER($G$2:G251, $C$2:C251 = C251, $A$2:A251 &gt;= A251 - 30)))
"),"#DIV/0!")</f>
        <v>#DIV/0!</v>
      </c>
      <c r="I251" s="20" t="e">
        <f t="shared" ca="1" si="1"/>
        <v>#DIV/0!</v>
      </c>
      <c r="J251" s="20" t="str">
        <f ca="1">IFERROR(__xludf.DUMMYFUNCTION("IF(OR($I251=2, $I251=3), 0, IFERROR(COUNTIFS($C$2:C251, $C251, $A$2:A252, ""&gt;""&amp;IFERROR(MAX(FILTER($A$2:A252, $C$2:C251=$C251, $I$2:I251&lt;&gt;1)), 0), $I$2:I251, 1),1))
"),"#DIV/0!")</f>
        <v>#DIV/0!</v>
      </c>
      <c r="K251" s="20" t="e">
        <f t="shared" ca="1" si="2"/>
        <v>#DIV/0!</v>
      </c>
      <c r="L251" s="20" t="e">
        <f t="shared" ca="1" si="3"/>
        <v>#DIV/0!</v>
      </c>
      <c r="M251" s="21" t="e">
        <f t="shared" ca="1" si="4"/>
        <v>#DIV/0!</v>
      </c>
      <c r="N251" s="36" t="str">
        <f ca="1">IFERROR(__xludf.DUMMYFUNCTION("IF(COUNTIFS($C$2:C251, C251, $A$2:A251, ""&lt;="" &amp; A251) &lt; 30, STDEV.P(FILTER($G$2:G251, $C$2:C251 = C251)), STDEV.P(FILTER($G$2:G251, $C$2:C251 = C251, $A$2:A251 &gt;= A251 - 30)))
"),"#DIV/0!")</f>
        <v>#DIV/0!</v>
      </c>
    </row>
    <row r="252" spans="1:14" x14ac:dyDescent="0.2">
      <c r="A252" s="37"/>
      <c r="B252" s="5"/>
      <c r="C252" s="35"/>
      <c r="D252" s="19"/>
      <c r="E252" s="19"/>
      <c r="F252" s="19"/>
      <c r="G252" s="19" t="e">
        <f t="shared" si="0"/>
        <v>#DIV/0!</v>
      </c>
      <c r="H252" s="20" t="str">
        <f ca="1">IFERROR(__xludf.DUMMYFUNCTION("IF(COUNTIFS($C$2:C252, C252, $A$2:A252, ""&lt;="" &amp; A252) &lt; 30, AVERAGEIF($C$2:C252, C252, $G$2:G252), AVERAGE(FILTER($G$2:G252, $C$2:C252 = C252, $A$2:A252 &gt;= A252 - 30)))
"),"#DIV/0!")</f>
        <v>#DIV/0!</v>
      </c>
      <c r="I252" s="20" t="e">
        <f t="shared" ca="1" si="1"/>
        <v>#DIV/0!</v>
      </c>
      <c r="J252" s="20" t="str">
        <f ca="1">IFERROR(__xludf.DUMMYFUNCTION("IF(OR($I252=2, $I252=3), 0, IFERROR(COUNTIFS($C$2:C252, $C252, $A$2:A253, ""&gt;""&amp;IFERROR(MAX(FILTER($A$2:A253, $C$2:C252=$C252, $I$2:I252&lt;&gt;1)), 0), $I$2:I252, 1),1))
"),"#DIV/0!")</f>
        <v>#DIV/0!</v>
      </c>
      <c r="K252" s="20" t="e">
        <f t="shared" ca="1" si="2"/>
        <v>#DIV/0!</v>
      </c>
      <c r="L252" s="20" t="e">
        <f t="shared" ca="1" si="3"/>
        <v>#DIV/0!</v>
      </c>
      <c r="M252" s="21" t="e">
        <f t="shared" ca="1" si="4"/>
        <v>#DIV/0!</v>
      </c>
      <c r="N252" s="36" t="str">
        <f ca="1">IFERROR(__xludf.DUMMYFUNCTION("IF(COUNTIFS($C$2:C252, C252, $A$2:A252, ""&lt;="" &amp; A252) &lt; 30, STDEV.P(FILTER($G$2:G252, $C$2:C252 = C252)), STDEV.P(FILTER($G$2:G252, $C$2:C252 = C252, $A$2:A252 &gt;= A252 - 30)))
"),"#DIV/0!")</f>
        <v>#DIV/0!</v>
      </c>
    </row>
    <row r="253" spans="1:14" x14ac:dyDescent="0.2">
      <c r="A253" s="37"/>
      <c r="B253" s="7"/>
      <c r="C253" s="35"/>
      <c r="D253" s="20"/>
      <c r="E253" s="20"/>
      <c r="F253" s="20"/>
      <c r="G253" s="19" t="e">
        <f t="shared" si="0"/>
        <v>#DIV/0!</v>
      </c>
      <c r="H253" s="20" t="str">
        <f ca="1">IFERROR(__xludf.DUMMYFUNCTION("IF(COUNTIFS($C$2:C253, C253, $A$2:A253, ""&lt;="" &amp; A253) &lt; 30, AVERAGEIF($C$2:C253, C253, $G$2:G253), AVERAGE(FILTER($G$2:G253, $C$2:C253 = C253, $A$2:A253 &gt;= A253 - 30)))
"),"#DIV/0!")</f>
        <v>#DIV/0!</v>
      </c>
      <c r="I253" s="20" t="e">
        <f t="shared" ca="1" si="1"/>
        <v>#DIV/0!</v>
      </c>
      <c r="J253" s="20" t="str">
        <f ca="1">IFERROR(__xludf.DUMMYFUNCTION("IF(OR($I253=2, $I253=3), 0, IFERROR(COUNTIFS($C$2:C253, $C253, $A$2:A254, ""&gt;""&amp;IFERROR(MAX(FILTER($A$2:A254, $C$2:C253=$C253, $I$2:I253&lt;&gt;1)), 0), $I$2:I253, 1),1))
"),"#DIV/0!")</f>
        <v>#DIV/0!</v>
      </c>
      <c r="K253" s="20" t="e">
        <f t="shared" ca="1" si="2"/>
        <v>#DIV/0!</v>
      </c>
      <c r="L253" s="20" t="e">
        <f t="shared" ca="1" si="3"/>
        <v>#DIV/0!</v>
      </c>
      <c r="M253" s="21" t="e">
        <f t="shared" ca="1" si="4"/>
        <v>#DIV/0!</v>
      </c>
      <c r="N253" s="36" t="str">
        <f ca="1">IFERROR(__xludf.DUMMYFUNCTION("IF(COUNTIFS($C$2:C253, C253, $A$2:A253, ""&lt;="" &amp; A253) &lt; 30, STDEV.P(FILTER($G$2:G253, $C$2:C253 = C253)), STDEV.P(FILTER($G$2:G253, $C$2:C253 = C253, $A$2:A253 &gt;= A253 - 30)))
"),"#DIV/0!")</f>
        <v>#DIV/0!</v>
      </c>
    </row>
    <row r="254" spans="1:14" x14ac:dyDescent="0.2">
      <c r="A254" s="37"/>
      <c r="B254" s="5"/>
      <c r="C254" s="35"/>
      <c r="D254" s="19"/>
      <c r="E254" s="19"/>
      <c r="F254" s="19"/>
      <c r="G254" s="19" t="e">
        <f t="shared" si="0"/>
        <v>#DIV/0!</v>
      </c>
      <c r="H254" s="20" t="str">
        <f ca="1">IFERROR(__xludf.DUMMYFUNCTION("IF(COUNTIFS($C$2:C254, C254, $A$2:A254, ""&lt;="" &amp; A254) &lt; 30, AVERAGEIF($C$2:C254, C254, $G$2:G254), AVERAGE(FILTER($G$2:G254, $C$2:C254 = C254, $A$2:A254 &gt;= A254 - 30)))
"),"#DIV/0!")</f>
        <v>#DIV/0!</v>
      </c>
      <c r="I254" s="20" t="e">
        <f t="shared" ca="1" si="1"/>
        <v>#DIV/0!</v>
      </c>
      <c r="J254" s="20" t="str">
        <f ca="1">IFERROR(__xludf.DUMMYFUNCTION("IF(OR($I254=2, $I254=3), 0, IFERROR(COUNTIFS($C$2:C254, $C254, $A$2:A255, ""&gt;""&amp;IFERROR(MAX(FILTER($A$2:A255, $C$2:C254=$C254, $I$2:I254&lt;&gt;1)), 0), $I$2:I254, 1),1))
"),"#DIV/0!")</f>
        <v>#DIV/0!</v>
      </c>
      <c r="K254" s="20" t="e">
        <f t="shared" ca="1" si="2"/>
        <v>#DIV/0!</v>
      </c>
      <c r="L254" s="20" t="e">
        <f t="shared" ca="1" si="3"/>
        <v>#DIV/0!</v>
      </c>
      <c r="M254" s="21" t="e">
        <f t="shared" ca="1" si="4"/>
        <v>#DIV/0!</v>
      </c>
      <c r="N254" s="36" t="str">
        <f ca="1">IFERROR(__xludf.DUMMYFUNCTION("IF(COUNTIFS($C$2:C254, C254, $A$2:A254, ""&lt;="" &amp; A254) &lt; 30, STDEV.P(FILTER($G$2:G254, $C$2:C254 = C254)), STDEV.P(FILTER($G$2:G254, $C$2:C254 = C254, $A$2:A254 &gt;= A254 - 30)))
"),"#DIV/0!")</f>
        <v>#DIV/0!</v>
      </c>
    </row>
    <row r="255" spans="1:14" x14ac:dyDescent="0.2">
      <c r="A255" s="37"/>
      <c r="B255" s="5"/>
      <c r="C255" s="35"/>
      <c r="D255" s="19"/>
      <c r="E255" s="19"/>
      <c r="F255" s="19"/>
      <c r="G255" s="19" t="e">
        <f t="shared" si="0"/>
        <v>#DIV/0!</v>
      </c>
      <c r="H255" s="20" t="str">
        <f ca="1">IFERROR(__xludf.DUMMYFUNCTION("IF(COUNTIFS($C$2:C255, C255, $A$2:A255, ""&lt;="" &amp; A255) &lt; 30, AVERAGEIF($C$2:C255, C255, $G$2:G255), AVERAGE(FILTER($G$2:G255, $C$2:C255 = C255, $A$2:A255 &gt;= A255 - 30)))
"),"#DIV/0!")</f>
        <v>#DIV/0!</v>
      </c>
      <c r="I255" s="20" t="e">
        <f t="shared" ca="1" si="1"/>
        <v>#DIV/0!</v>
      </c>
      <c r="J255" s="20" t="str">
        <f ca="1">IFERROR(__xludf.DUMMYFUNCTION("IF(OR($I255=2, $I255=3), 0, IFERROR(COUNTIFS($C$2:C255, $C255, $A$2:A256, ""&gt;""&amp;IFERROR(MAX(FILTER($A$2:A256, $C$2:C255=$C255, $I$2:I255&lt;&gt;1)), 0), $I$2:I255, 1),1))
"),"#DIV/0!")</f>
        <v>#DIV/0!</v>
      </c>
      <c r="K255" s="20" t="e">
        <f t="shared" ca="1" si="2"/>
        <v>#DIV/0!</v>
      </c>
      <c r="L255" s="20" t="e">
        <f t="shared" ca="1" si="3"/>
        <v>#DIV/0!</v>
      </c>
      <c r="M255" s="21" t="e">
        <f t="shared" ca="1" si="4"/>
        <v>#DIV/0!</v>
      </c>
      <c r="N255" s="36" t="str">
        <f ca="1">IFERROR(__xludf.DUMMYFUNCTION("IF(COUNTIFS($C$2:C255, C255, $A$2:A255, ""&lt;="" &amp; A255) &lt; 30, STDEV.P(FILTER($G$2:G255, $C$2:C255 = C255)), STDEV.P(FILTER($G$2:G255, $C$2:C255 = C255, $A$2:A255 &gt;= A255 - 30)))
"),"#DIV/0!")</f>
        <v>#DIV/0!</v>
      </c>
    </row>
    <row r="256" spans="1:14" x14ac:dyDescent="0.2">
      <c r="A256" s="37"/>
      <c r="B256" s="5"/>
      <c r="C256" s="35"/>
      <c r="D256" s="19"/>
      <c r="E256" s="19"/>
      <c r="F256" s="19"/>
      <c r="G256" s="19" t="e">
        <f t="shared" si="0"/>
        <v>#DIV/0!</v>
      </c>
      <c r="H256" s="20" t="str">
        <f ca="1">IFERROR(__xludf.DUMMYFUNCTION("IF(COUNTIFS($C$2:C256, C256, $A$2:A256, ""&lt;="" &amp; A256) &lt; 30, AVERAGEIF($C$2:C256, C256, $G$2:G256), AVERAGE(FILTER($G$2:G256, $C$2:C256 = C256, $A$2:A256 &gt;= A256 - 30)))
"),"#DIV/0!")</f>
        <v>#DIV/0!</v>
      </c>
      <c r="I256" s="20" t="e">
        <f t="shared" ca="1" si="1"/>
        <v>#DIV/0!</v>
      </c>
      <c r="J256" s="20" t="str">
        <f ca="1">IFERROR(__xludf.DUMMYFUNCTION("IF(OR($I256=2, $I256=3), 0, IFERROR(COUNTIFS($C$2:C256, $C256, $A$2:A257, ""&gt;""&amp;IFERROR(MAX(FILTER($A$2:A257, $C$2:C256=$C256, $I$2:I256&lt;&gt;1)), 0), $I$2:I256, 1),1))
"),"#DIV/0!")</f>
        <v>#DIV/0!</v>
      </c>
      <c r="K256" s="20" t="e">
        <f t="shared" ca="1" si="2"/>
        <v>#DIV/0!</v>
      </c>
      <c r="L256" s="20" t="e">
        <f t="shared" ca="1" si="3"/>
        <v>#DIV/0!</v>
      </c>
      <c r="M256" s="21" t="e">
        <f t="shared" ca="1" si="4"/>
        <v>#DIV/0!</v>
      </c>
      <c r="N256" s="36" t="str">
        <f ca="1">IFERROR(__xludf.DUMMYFUNCTION("IF(COUNTIFS($C$2:C256, C256, $A$2:A256, ""&lt;="" &amp; A256) &lt; 30, STDEV.P(FILTER($G$2:G256, $C$2:C256 = C256)), STDEV.P(FILTER($G$2:G256, $C$2:C256 = C256, $A$2:A256 &gt;= A256 - 30)))
"),"#DIV/0!")</f>
        <v>#DIV/0!</v>
      </c>
    </row>
    <row r="257" spans="1:14" x14ac:dyDescent="0.2">
      <c r="A257" s="37"/>
      <c r="B257" s="5"/>
      <c r="C257" s="35"/>
      <c r="D257" s="19"/>
      <c r="E257" s="19"/>
      <c r="F257" s="19"/>
      <c r="G257" s="19" t="e">
        <f t="shared" ref="G257:G511" si="5">AVERAGE(D257:F257)</f>
        <v>#DIV/0!</v>
      </c>
      <c r="H257" s="20" t="str">
        <f ca="1">IFERROR(__xludf.DUMMYFUNCTION("IF(COUNTIFS($C$2:C257, C257, $A$2:A257, ""&lt;="" &amp; A257) &lt; 30, AVERAGEIF($C$2:C257, C257, $G$2:G257), AVERAGE(FILTER($G$2:G257, $C$2:C257 = C257, $A$2:A257 &gt;= A257 - 30)))
"),"#DIV/0!")</f>
        <v>#DIV/0!</v>
      </c>
      <c r="I257" s="20" t="e">
        <f t="shared" ref="I257:I511" ca="1" si="6">IF(L257 &gt;= 1, 3, IF(L257 &lt;= -1, 1, 2))</f>
        <v>#DIV/0!</v>
      </c>
      <c r="J257" s="20" t="str">
        <f ca="1">IFERROR(__xludf.DUMMYFUNCTION("IF(OR($I257=2, $I257=3), 0, IFERROR(COUNTIFS($C$2:C257, $C257, $A$2:A258, ""&gt;""&amp;IFERROR(MAX(FILTER($A$2:A258, $C$2:C257=$C257, $I$2:I257&lt;&gt;1)), 0), $I$2:I257, 1),1))
"),"#DIV/0!")</f>
        <v>#DIV/0!</v>
      </c>
      <c r="K257" s="20" t="e">
        <f t="shared" ref="K257:K511" ca="1" si="7">G257-H257</f>
        <v>#DIV/0!</v>
      </c>
      <c r="L257" s="20" t="e">
        <f t="shared" ref="L257:L511" ca="1" si="8">(G257 - H257) / N257</f>
        <v>#DIV/0!</v>
      </c>
      <c r="M257" s="21" t="e">
        <f t="shared" ref="M257:M511" ca="1" si="9">IF(H257&lt;&gt;0, ((G257-H257)/H257), 0)</f>
        <v>#DIV/0!</v>
      </c>
      <c r="N257" s="36" t="str">
        <f ca="1">IFERROR(__xludf.DUMMYFUNCTION("IF(COUNTIFS($C$2:C257, C257, $A$2:A257, ""&lt;="" &amp; A257) &lt; 30, STDEV.P(FILTER($G$2:G257, $C$2:C257 = C257)), STDEV.P(FILTER($G$2:G257, $C$2:C257 = C257, $A$2:A257 &gt;= A257 - 30)))
"),"#DIV/0!")</f>
        <v>#DIV/0!</v>
      </c>
    </row>
    <row r="258" spans="1:14" x14ac:dyDescent="0.2">
      <c r="A258" s="37"/>
      <c r="B258" s="5"/>
      <c r="C258" s="35"/>
      <c r="D258" s="19"/>
      <c r="E258" s="19"/>
      <c r="F258" s="19"/>
      <c r="G258" s="19" t="e">
        <f t="shared" si="5"/>
        <v>#DIV/0!</v>
      </c>
      <c r="H258" s="20" t="str">
        <f ca="1">IFERROR(__xludf.DUMMYFUNCTION("IF(COUNTIFS($C$2:C258, C258, $A$2:A258, ""&lt;="" &amp; A258) &lt; 30, AVERAGEIF($C$2:C258, C258, $G$2:G258), AVERAGE(FILTER($G$2:G258, $C$2:C258 = C258, $A$2:A258 &gt;= A258 - 30)))
"),"#DIV/0!")</f>
        <v>#DIV/0!</v>
      </c>
      <c r="I258" s="20" t="e">
        <f t="shared" ca="1" si="6"/>
        <v>#DIV/0!</v>
      </c>
      <c r="J258" s="20" t="str">
        <f ca="1">IFERROR(__xludf.DUMMYFUNCTION("IF(OR($I258=2, $I258=3), 0, IFERROR(COUNTIFS($C$2:C258, $C258, $A$2:A259, ""&gt;""&amp;IFERROR(MAX(FILTER($A$2:A259, $C$2:C258=$C258, $I$2:I258&lt;&gt;1)), 0), $I$2:I258, 1),1))
"),"#DIV/0!")</f>
        <v>#DIV/0!</v>
      </c>
      <c r="K258" s="20" t="e">
        <f t="shared" ca="1" si="7"/>
        <v>#DIV/0!</v>
      </c>
      <c r="L258" s="20" t="e">
        <f t="shared" ca="1" si="8"/>
        <v>#DIV/0!</v>
      </c>
      <c r="M258" s="21" t="e">
        <f t="shared" ca="1" si="9"/>
        <v>#DIV/0!</v>
      </c>
      <c r="N258" s="36" t="str">
        <f ca="1">IFERROR(__xludf.DUMMYFUNCTION("IF(COUNTIFS($C$2:C258, C258, $A$2:A258, ""&lt;="" &amp; A258) &lt; 30, STDEV.P(FILTER($G$2:G258, $C$2:C258 = C258)), STDEV.P(FILTER($G$2:G258, $C$2:C258 = C258, $A$2:A258 &gt;= A258 - 30)))
"),"#DIV/0!")</f>
        <v>#DIV/0!</v>
      </c>
    </row>
    <row r="259" spans="1:14" x14ac:dyDescent="0.2">
      <c r="A259" s="37"/>
      <c r="B259" s="5"/>
      <c r="C259" s="35"/>
      <c r="D259" s="19"/>
      <c r="E259" s="19"/>
      <c r="F259" s="19"/>
      <c r="G259" s="19" t="e">
        <f t="shared" si="5"/>
        <v>#DIV/0!</v>
      </c>
      <c r="H259" s="20" t="str">
        <f ca="1">IFERROR(__xludf.DUMMYFUNCTION("IF(COUNTIFS($C$2:C259, C259, $A$2:A259, ""&lt;="" &amp; A259) &lt; 30, AVERAGEIF($C$2:C259, C259, $G$2:G259), AVERAGE(FILTER($G$2:G259, $C$2:C259 = C259, $A$2:A259 &gt;= A259 - 30)))
"),"#DIV/0!")</f>
        <v>#DIV/0!</v>
      </c>
      <c r="I259" s="20" t="e">
        <f t="shared" ca="1" si="6"/>
        <v>#DIV/0!</v>
      </c>
      <c r="J259" s="20" t="str">
        <f ca="1">IFERROR(__xludf.DUMMYFUNCTION("IF(OR($I259=2, $I259=3), 0, IFERROR(COUNTIFS($C$2:C259, $C259, $A$2:A260, ""&gt;""&amp;IFERROR(MAX(FILTER($A$2:A260, $C$2:C259=$C259, $I$2:I259&lt;&gt;1)), 0), $I$2:I259, 1),1))
"),"#DIV/0!")</f>
        <v>#DIV/0!</v>
      </c>
      <c r="K259" s="20" t="e">
        <f t="shared" ca="1" si="7"/>
        <v>#DIV/0!</v>
      </c>
      <c r="L259" s="20" t="e">
        <f t="shared" ca="1" si="8"/>
        <v>#DIV/0!</v>
      </c>
      <c r="M259" s="21" t="e">
        <f t="shared" ca="1" si="9"/>
        <v>#DIV/0!</v>
      </c>
      <c r="N259" s="36" t="str">
        <f ca="1">IFERROR(__xludf.DUMMYFUNCTION("IF(COUNTIFS($C$2:C259, C259, $A$2:A259, ""&lt;="" &amp; A259) &lt; 30, STDEV.P(FILTER($G$2:G259, $C$2:C259 = C259)), STDEV.P(FILTER($G$2:G259, $C$2:C259 = C259, $A$2:A259 &gt;= A259 - 30)))
"),"#DIV/0!")</f>
        <v>#DIV/0!</v>
      </c>
    </row>
    <row r="260" spans="1:14" x14ac:dyDescent="0.2">
      <c r="A260" s="37"/>
      <c r="B260" s="5"/>
      <c r="C260" s="35"/>
      <c r="D260" s="19"/>
      <c r="E260" s="19"/>
      <c r="F260" s="19"/>
      <c r="G260" s="19" t="e">
        <f t="shared" si="5"/>
        <v>#DIV/0!</v>
      </c>
      <c r="H260" s="20" t="str">
        <f ca="1">IFERROR(__xludf.DUMMYFUNCTION("IF(COUNTIFS($C$2:C260, C260, $A$2:A260, ""&lt;="" &amp; A260) &lt; 30, AVERAGEIF($C$2:C260, C260, $G$2:G260), AVERAGE(FILTER($G$2:G260, $C$2:C260 = C260, $A$2:A260 &gt;= A260 - 30)))
"),"#DIV/0!")</f>
        <v>#DIV/0!</v>
      </c>
      <c r="I260" s="20" t="e">
        <f t="shared" ca="1" si="6"/>
        <v>#DIV/0!</v>
      </c>
      <c r="J260" s="20" t="str">
        <f ca="1">IFERROR(__xludf.DUMMYFUNCTION("IF(OR($I260=2, $I260=3), 0, IFERROR(COUNTIFS($C$2:C260, $C260, $A$2:A261, ""&gt;""&amp;IFERROR(MAX(FILTER($A$2:A261, $C$2:C260=$C260, $I$2:I260&lt;&gt;1)), 0), $I$2:I260, 1),1))
"),"#DIV/0!")</f>
        <v>#DIV/0!</v>
      </c>
      <c r="K260" s="20" t="e">
        <f t="shared" ca="1" si="7"/>
        <v>#DIV/0!</v>
      </c>
      <c r="L260" s="20" t="e">
        <f t="shared" ca="1" si="8"/>
        <v>#DIV/0!</v>
      </c>
      <c r="M260" s="21" t="e">
        <f t="shared" ca="1" si="9"/>
        <v>#DIV/0!</v>
      </c>
      <c r="N260" s="36" t="str">
        <f ca="1">IFERROR(__xludf.DUMMYFUNCTION("IF(COUNTIFS($C$2:C260, C260, $A$2:A260, ""&lt;="" &amp; A260) &lt; 30, STDEV.P(FILTER($G$2:G260, $C$2:C260 = C260)), STDEV.P(FILTER($G$2:G260, $C$2:C260 = C260, $A$2:A260 &gt;= A260 - 30)))
"),"#DIV/0!")</f>
        <v>#DIV/0!</v>
      </c>
    </row>
    <row r="261" spans="1:14" x14ac:dyDescent="0.2">
      <c r="A261" s="37"/>
      <c r="B261" s="7"/>
      <c r="C261" s="35"/>
      <c r="D261" s="20"/>
      <c r="E261" s="20"/>
      <c r="F261" s="20"/>
      <c r="G261" s="19" t="e">
        <f t="shared" si="5"/>
        <v>#DIV/0!</v>
      </c>
      <c r="H261" s="20" t="str">
        <f ca="1">IFERROR(__xludf.DUMMYFUNCTION("IF(COUNTIFS($C$2:C261, C261, $A$2:A261, ""&lt;="" &amp; A261) &lt; 30, AVERAGEIF($C$2:C261, C261, $G$2:G261), AVERAGE(FILTER($G$2:G261, $C$2:C261 = C261, $A$2:A261 &gt;= A261 - 30)))
"),"#DIV/0!")</f>
        <v>#DIV/0!</v>
      </c>
      <c r="I261" s="20" t="e">
        <f t="shared" ca="1" si="6"/>
        <v>#DIV/0!</v>
      </c>
      <c r="J261" s="20" t="str">
        <f ca="1">IFERROR(__xludf.DUMMYFUNCTION("IF(OR($I261=2, $I261=3), 0, IFERROR(COUNTIFS($C$2:C261, $C261, $A$2:A262, ""&gt;""&amp;IFERROR(MAX(FILTER($A$2:A262, $C$2:C261=$C261, $I$2:I261&lt;&gt;1)), 0), $I$2:I261, 1),1))
"),"#DIV/0!")</f>
        <v>#DIV/0!</v>
      </c>
      <c r="K261" s="20" t="e">
        <f t="shared" ca="1" si="7"/>
        <v>#DIV/0!</v>
      </c>
      <c r="L261" s="20" t="e">
        <f t="shared" ca="1" si="8"/>
        <v>#DIV/0!</v>
      </c>
      <c r="M261" s="21" t="e">
        <f t="shared" ca="1" si="9"/>
        <v>#DIV/0!</v>
      </c>
      <c r="N261" s="36" t="str">
        <f ca="1">IFERROR(__xludf.DUMMYFUNCTION("IF(COUNTIFS($C$2:C261, C261, $A$2:A261, ""&lt;="" &amp; A261) &lt; 30, STDEV.P(FILTER($G$2:G261, $C$2:C261 = C261)), STDEV.P(FILTER($G$2:G261, $C$2:C261 = C261, $A$2:A261 &gt;= A261 - 30)))
"),"#DIV/0!")</f>
        <v>#DIV/0!</v>
      </c>
    </row>
    <row r="262" spans="1:14" x14ac:dyDescent="0.2">
      <c r="A262" s="37"/>
      <c r="B262" s="7"/>
      <c r="C262" s="35"/>
      <c r="D262" s="20"/>
      <c r="E262" s="20"/>
      <c r="F262" s="20"/>
      <c r="G262" s="19" t="e">
        <f t="shared" si="5"/>
        <v>#DIV/0!</v>
      </c>
      <c r="H262" s="20" t="str">
        <f ca="1">IFERROR(__xludf.DUMMYFUNCTION("IF(COUNTIFS($C$2:C262, C262, $A$2:A262, ""&lt;="" &amp; A262) &lt; 30, AVERAGEIF($C$2:C262, C262, $G$2:G262), AVERAGE(FILTER($G$2:G262, $C$2:C262 = C262, $A$2:A262 &gt;= A262 - 30)))
"),"#DIV/0!")</f>
        <v>#DIV/0!</v>
      </c>
      <c r="I262" s="20" t="e">
        <f t="shared" ca="1" si="6"/>
        <v>#DIV/0!</v>
      </c>
      <c r="J262" s="20" t="str">
        <f ca="1">IFERROR(__xludf.DUMMYFUNCTION("IF(OR($I262=2, $I262=3), 0, IFERROR(COUNTIFS($C$2:C262, $C262, $A$2:A263, ""&gt;""&amp;IFERROR(MAX(FILTER($A$2:A263, $C$2:C262=$C262, $I$2:I262&lt;&gt;1)), 0), $I$2:I262, 1),1))
"),"#DIV/0!")</f>
        <v>#DIV/0!</v>
      </c>
      <c r="K262" s="20" t="e">
        <f t="shared" ca="1" si="7"/>
        <v>#DIV/0!</v>
      </c>
      <c r="L262" s="20" t="e">
        <f t="shared" ca="1" si="8"/>
        <v>#DIV/0!</v>
      </c>
      <c r="M262" s="21" t="e">
        <f t="shared" ca="1" si="9"/>
        <v>#DIV/0!</v>
      </c>
      <c r="N262" s="36" t="str">
        <f ca="1">IFERROR(__xludf.DUMMYFUNCTION("IF(COUNTIFS($C$2:C262, C262, $A$2:A262, ""&lt;="" &amp; A262) &lt; 30, STDEV.P(FILTER($G$2:G262, $C$2:C262 = C262)), STDEV.P(FILTER($G$2:G262, $C$2:C262 = C262, $A$2:A262 &gt;= A262 - 30)))
"),"#DIV/0!")</f>
        <v>#DIV/0!</v>
      </c>
    </row>
    <row r="263" spans="1:14" x14ac:dyDescent="0.2">
      <c r="A263" s="37"/>
      <c r="B263" s="7"/>
      <c r="C263" s="35"/>
      <c r="D263" s="20"/>
      <c r="E263" s="20"/>
      <c r="F263" s="20"/>
      <c r="G263" s="19" t="e">
        <f t="shared" si="5"/>
        <v>#DIV/0!</v>
      </c>
      <c r="H263" s="20" t="str">
        <f ca="1">IFERROR(__xludf.DUMMYFUNCTION("IF(COUNTIFS($C$2:C263, C263, $A$2:A263, ""&lt;="" &amp; A263) &lt; 30, AVERAGEIF($C$2:C263, C263, $G$2:G263), AVERAGE(FILTER($G$2:G263, $C$2:C263 = C263, $A$2:A263 &gt;= A263 - 30)))
"),"#DIV/0!")</f>
        <v>#DIV/0!</v>
      </c>
      <c r="I263" s="20" t="e">
        <f t="shared" ca="1" si="6"/>
        <v>#DIV/0!</v>
      </c>
      <c r="J263" s="20" t="str">
        <f ca="1">IFERROR(__xludf.DUMMYFUNCTION("IF(OR($I263=2, $I263=3), 0, IFERROR(COUNTIFS($C$2:C263, $C263, $A$2:A264, ""&gt;""&amp;IFERROR(MAX(FILTER($A$2:A264, $C$2:C263=$C263, $I$2:I263&lt;&gt;1)), 0), $I$2:I263, 1),1))
"),"#DIV/0!")</f>
        <v>#DIV/0!</v>
      </c>
      <c r="K263" s="20" t="e">
        <f t="shared" ca="1" si="7"/>
        <v>#DIV/0!</v>
      </c>
      <c r="L263" s="20" t="e">
        <f t="shared" ca="1" si="8"/>
        <v>#DIV/0!</v>
      </c>
      <c r="M263" s="21" t="e">
        <f t="shared" ca="1" si="9"/>
        <v>#DIV/0!</v>
      </c>
      <c r="N263" s="36" t="str">
        <f ca="1">IFERROR(__xludf.DUMMYFUNCTION("IF(COUNTIFS($C$2:C263, C263, $A$2:A263, ""&lt;="" &amp; A263) &lt; 30, STDEV.P(FILTER($G$2:G263, $C$2:C263 = C263)), STDEV.P(FILTER($G$2:G263, $C$2:C263 = C263, $A$2:A263 &gt;= A263 - 30)))
"),"#DIV/0!")</f>
        <v>#DIV/0!</v>
      </c>
    </row>
    <row r="264" spans="1:14" x14ac:dyDescent="0.2">
      <c r="A264" s="37"/>
      <c r="B264" s="7"/>
      <c r="C264" s="35"/>
      <c r="D264" s="20"/>
      <c r="E264" s="20"/>
      <c r="F264" s="20"/>
      <c r="G264" s="19" t="e">
        <f t="shared" si="5"/>
        <v>#DIV/0!</v>
      </c>
      <c r="H264" s="20" t="str">
        <f ca="1">IFERROR(__xludf.DUMMYFUNCTION("IF(COUNTIFS($C$2:C264, C264, $A$2:A264, ""&lt;="" &amp; A264) &lt; 30, AVERAGEIF($C$2:C264, C264, $G$2:G264), AVERAGE(FILTER($G$2:G264, $C$2:C264 = C264, $A$2:A264 &gt;= A264 - 30)))
"),"#DIV/0!")</f>
        <v>#DIV/0!</v>
      </c>
      <c r="I264" s="20" t="e">
        <f t="shared" ca="1" si="6"/>
        <v>#DIV/0!</v>
      </c>
      <c r="J264" s="20" t="str">
        <f ca="1">IFERROR(__xludf.DUMMYFUNCTION("IF(OR($I264=2, $I264=3), 0, IFERROR(COUNTIFS($C$2:C264, $C264, $A$2:A265, ""&gt;""&amp;IFERROR(MAX(FILTER($A$2:A265, $C$2:C264=$C264, $I$2:I264&lt;&gt;1)), 0), $I$2:I264, 1),1))
"),"#DIV/0!")</f>
        <v>#DIV/0!</v>
      </c>
      <c r="K264" s="20" t="e">
        <f t="shared" ca="1" si="7"/>
        <v>#DIV/0!</v>
      </c>
      <c r="L264" s="20" t="e">
        <f t="shared" ca="1" si="8"/>
        <v>#DIV/0!</v>
      </c>
      <c r="M264" s="21" t="e">
        <f t="shared" ca="1" si="9"/>
        <v>#DIV/0!</v>
      </c>
      <c r="N264" s="36" t="str">
        <f ca="1">IFERROR(__xludf.DUMMYFUNCTION("IF(COUNTIFS($C$2:C264, C264, $A$2:A264, ""&lt;="" &amp; A264) &lt; 30, STDEV.P(FILTER($G$2:G264, $C$2:C264 = C264)), STDEV.P(FILTER($G$2:G264, $C$2:C264 = C264, $A$2:A264 &gt;= A264 - 30)))
"),"#DIV/0!")</f>
        <v>#DIV/0!</v>
      </c>
    </row>
    <row r="265" spans="1:14" x14ac:dyDescent="0.2">
      <c r="A265" s="37"/>
      <c r="B265" s="7"/>
      <c r="C265" s="35"/>
      <c r="D265" s="20"/>
      <c r="E265" s="20"/>
      <c r="F265" s="20"/>
      <c r="G265" s="19" t="e">
        <f t="shared" si="5"/>
        <v>#DIV/0!</v>
      </c>
      <c r="H265" s="20" t="str">
        <f ca="1">IFERROR(__xludf.DUMMYFUNCTION("IF(COUNTIFS($C$2:C265, C265, $A$2:A265, ""&lt;="" &amp; A265) &lt; 30, AVERAGEIF($C$2:C265, C265, $G$2:G265), AVERAGE(FILTER($G$2:G265, $C$2:C265 = C265, $A$2:A265 &gt;= A265 - 30)))
"),"#DIV/0!")</f>
        <v>#DIV/0!</v>
      </c>
      <c r="I265" s="20" t="e">
        <f t="shared" ca="1" si="6"/>
        <v>#DIV/0!</v>
      </c>
      <c r="J265" s="20" t="str">
        <f ca="1">IFERROR(__xludf.DUMMYFUNCTION("IF(OR($I265=2, $I265=3), 0, IFERROR(COUNTIFS($C$2:C265, $C265, $A$2:A266, ""&gt;""&amp;IFERROR(MAX(FILTER($A$2:A266, $C$2:C265=$C265, $I$2:I265&lt;&gt;1)), 0), $I$2:I265, 1),1))
"),"#DIV/0!")</f>
        <v>#DIV/0!</v>
      </c>
      <c r="K265" s="20" t="e">
        <f t="shared" ca="1" si="7"/>
        <v>#DIV/0!</v>
      </c>
      <c r="L265" s="20" t="e">
        <f t="shared" ca="1" si="8"/>
        <v>#DIV/0!</v>
      </c>
      <c r="M265" s="21" t="e">
        <f t="shared" ca="1" si="9"/>
        <v>#DIV/0!</v>
      </c>
      <c r="N265" s="36" t="str">
        <f ca="1">IFERROR(__xludf.DUMMYFUNCTION("IF(COUNTIFS($C$2:C265, C265, $A$2:A265, ""&lt;="" &amp; A265) &lt; 30, STDEV.P(FILTER($G$2:G265, $C$2:C265 = C265)), STDEV.P(FILTER($G$2:G265, $C$2:C265 = C265, $A$2:A265 &gt;= A265 - 30)))
"),"#DIV/0!")</f>
        <v>#DIV/0!</v>
      </c>
    </row>
    <row r="266" spans="1:14" x14ac:dyDescent="0.2">
      <c r="A266" s="37"/>
      <c r="B266" s="7"/>
      <c r="C266" s="35"/>
      <c r="D266" s="20"/>
      <c r="E266" s="20"/>
      <c r="F266" s="20"/>
      <c r="G266" s="19" t="e">
        <f t="shared" si="5"/>
        <v>#DIV/0!</v>
      </c>
      <c r="H266" s="20" t="str">
        <f ca="1">IFERROR(__xludf.DUMMYFUNCTION("IF(COUNTIFS($C$2:C266, C266, $A$2:A266, ""&lt;="" &amp; A266) &lt; 30, AVERAGEIF($C$2:C266, C266, $G$2:G266), AVERAGE(FILTER($G$2:G266, $C$2:C266 = C266, $A$2:A266 &gt;= A266 - 30)))
"),"#DIV/0!")</f>
        <v>#DIV/0!</v>
      </c>
      <c r="I266" s="20" t="e">
        <f t="shared" ca="1" si="6"/>
        <v>#DIV/0!</v>
      </c>
      <c r="J266" s="20" t="str">
        <f ca="1">IFERROR(__xludf.DUMMYFUNCTION("IF(OR($I266=2, $I266=3), 0, IFERROR(COUNTIFS($C$2:C266, $C266, $A$2:A267, ""&gt;""&amp;IFERROR(MAX(FILTER($A$2:A267, $C$2:C266=$C266, $I$2:I266&lt;&gt;1)), 0), $I$2:I266, 1),1))
"),"#DIV/0!")</f>
        <v>#DIV/0!</v>
      </c>
      <c r="K266" s="20" t="e">
        <f t="shared" ca="1" si="7"/>
        <v>#DIV/0!</v>
      </c>
      <c r="L266" s="20" t="e">
        <f t="shared" ca="1" si="8"/>
        <v>#DIV/0!</v>
      </c>
      <c r="M266" s="21" t="e">
        <f t="shared" ca="1" si="9"/>
        <v>#DIV/0!</v>
      </c>
      <c r="N266" s="36" t="str">
        <f ca="1">IFERROR(__xludf.DUMMYFUNCTION("IF(COUNTIFS($C$2:C266, C266, $A$2:A266, ""&lt;="" &amp; A266) &lt; 30, STDEV.P(FILTER($G$2:G266, $C$2:C266 = C266)), STDEV.P(FILTER($G$2:G266, $C$2:C266 = C266, $A$2:A266 &gt;= A266 - 30)))
"),"#DIV/0!")</f>
        <v>#DIV/0!</v>
      </c>
    </row>
    <row r="267" spans="1:14" x14ac:dyDescent="0.2">
      <c r="A267" s="37"/>
      <c r="B267" s="7"/>
      <c r="C267" s="35"/>
      <c r="D267" s="20"/>
      <c r="E267" s="20"/>
      <c r="F267" s="20"/>
      <c r="G267" s="19" t="e">
        <f t="shared" si="5"/>
        <v>#DIV/0!</v>
      </c>
      <c r="H267" s="20" t="str">
        <f ca="1">IFERROR(__xludf.DUMMYFUNCTION("IF(COUNTIFS($C$2:C267, C267, $A$2:A267, ""&lt;="" &amp; A267) &lt; 30, AVERAGEIF($C$2:C267, C267, $G$2:G267), AVERAGE(FILTER($G$2:G267, $C$2:C267 = C267, $A$2:A267 &gt;= A267 - 30)))
"),"#DIV/0!")</f>
        <v>#DIV/0!</v>
      </c>
      <c r="I267" s="20" t="e">
        <f t="shared" ca="1" si="6"/>
        <v>#DIV/0!</v>
      </c>
      <c r="J267" s="20" t="str">
        <f ca="1">IFERROR(__xludf.DUMMYFUNCTION("IF(OR($I267=2, $I267=3), 0, IFERROR(COUNTIFS($C$2:C267, $C267, $A$2:A268, ""&gt;""&amp;IFERROR(MAX(FILTER($A$2:A268, $C$2:C267=$C267, $I$2:I267&lt;&gt;1)), 0), $I$2:I267, 1),1))
"),"#DIV/0!")</f>
        <v>#DIV/0!</v>
      </c>
      <c r="K267" s="20" t="e">
        <f t="shared" ca="1" si="7"/>
        <v>#DIV/0!</v>
      </c>
      <c r="L267" s="20" t="e">
        <f t="shared" ca="1" si="8"/>
        <v>#DIV/0!</v>
      </c>
      <c r="M267" s="21" t="e">
        <f t="shared" ca="1" si="9"/>
        <v>#DIV/0!</v>
      </c>
      <c r="N267" s="36" t="str">
        <f ca="1">IFERROR(__xludf.DUMMYFUNCTION("IF(COUNTIFS($C$2:C267, C267, $A$2:A267, ""&lt;="" &amp; A267) &lt; 30, STDEV.P(FILTER($G$2:G267, $C$2:C267 = C267)), STDEV.P(FILTER($G$2:G267, $C$2:C267 = C267, $A$2:A267 &gt;= A267 - 30)))
"),"#DIV/0!")</f>
        <v>#DIV/0!</v>
      </c>
    </row>
    <row r="268" spans="1:14" x14ac:dyDescent="0.2">
      <c r="A268" s="37"/>
      <c r="B268" s="5"/>
      <c r="C268" s="35"/>
      <c r="D268" s="19"/>
      <c r="E268" s="19"/>
      <c r="F268" s="19"/>
      <c r="G268" s="19" t="e">
        <f t="shared" si="5"/>
        <v>#DIV/0!</v>
      </c>
      <c r="H268" s="20" t="str">
        <f ca="1">IFERROR(__xludf.DUMMYFUNCTION("IF(COUNTIFS($C$2:C268, C268, $A$2:A268, ""&lt;="" &amp; A268) &lt; 30, AVERAGEIF($C$2:C268, C268, $G$2:G268), AVERAGE(FILTER($G$2:G268, $C$2:C268 = C268, $A$2:A268 &gt;= A268 - 30)))
"),"#DIV/0!")</f>
        <v>#DIV/0!</v>
      </c>
      <c r="I268" s="20" t="e">
        <f t="shared" ca="1" si="6"/>
        <v>#DIV/0!</v>
      </c>
      <c r="J268" s="20" t="str">
        <f ca="1">IFERROR(__xludf.DUMMYFUNCTION("IF(OR($I268=2, $I268=3), 0, IFERROR(COUNTIFS($C$2:C268, $C268, $A$2:A269, ""&gt;""&amp;IFERROR(MAX(FILTER($A$2:A269, $C$2:C268=$C268, $I$2:I268&lt;&gt;1)), 0), $I$2:I268, 1),1))
"),"#DIV/0!")</f>
        <v>#DIV/0!</v>
      </c>
      <c r="K268" s="20" t="e">
        <f t="shared" ca="1" si="7"/>
        <v>#DIV/0!</v>
      </c>
      <c r="L268" s="20" t="e">
        <f t="shared" ca="1" si="8"/>
        <v>#DIV/0!</v>
      </c>
      <c r="M268" s="21" t="e">
        <f t="shared" ca="1" si="9"/>
        <v>#DIV/0!</v>
      </c>
      <c r="N268" s="36" t="str">
        <f ca="1">IFERROR(__xludf.DUMMYFUNCTION("IF(COUNTIFS($C$2:C268, C268, $A$2:A268, ""&lt;="" &amp; A268) &lt; 30, STDEV.P(FILTER($G$2:G268, $C$2:C268 = C268)), STDEV.P(FILTER($G$2:G268, $C$2:C268 = C268, $A$2:A268 &gt;= A268 - 30)))
"),"#DIV/0!")</f>
        <v>#DIV/0!</v>
      </c>
    </row>
    <row r="269" spans="1:14" x14ac:dyDescent="0.2">
      <c r="A269" s="37"/>
      <c r="B269" s="5"/>
      <c r="C269" s="35"/>
      <c r="D269" s="19"/>
      <c r="E269" s="19"/>
      <c r="F269" s="19"/>
      <c r="G269" s="19" t="e">
        <f t="shared" si="5"/>
        <v>#DIV/0!</v>
      </c>
      <c r="H269" s="20" t="str">
        <f ca="1">IFERROR(__xludf.DUMMYFUNCTION("IF(COUNTIFS($C$2:C269, C269, $A$2:A269, ""&lt;="" &amp; A269) &lt; 30, AVERAGEIF($C$2:C269, C269, $G$2:G269), AVERAGE(FILTER($G$2:G269, $C$2:C269 = C269, $A$2:A269 &gt;= A269 - 30)))
"),"#DIV/0!")</f>
        <v>#DIV/0!</v>
      </c>
      <c r="I269" s="20" t="e">
        <f t="shared" ca="1" si="6"/>
        <v>#DIV/0!</v>
      </c>
      <c r="J269" s="20" t="str">
        <f ca="1">IFERROR(__xludf.DUMMYFUNCTION("IF(OR($I269=2, $I269=3), 0, IFERROR(COUNTIFS($C$2:C269, $C269, $A$2:A270, ""&gt;""&amp;IFERROR(MAX(FILTER($A$2:A270, $C$2:C269=$C269, $I$2:I269&lt;&gt;1)), 0), $I$2:I269, 1),1))
"),"#DIV/0!")</f>
        <v>#DIV/0!</v>
      </c>
      <c r="K269" s="20" t="e">
        <f t="shared" ca="1" si="7"/>
        <v>#DIV/0!</v>
      </c>
      <c r="L269" s="20" t="e">
        <f t="shared" ca="1" si="8"/>
        <v>#DIV/0!</v>
      </c>
      <c r="M269" s="21" t="e">
        <f t="shared" ca="1" si="9"/>
        <v>#DIV/0!</v>
      </c>
      <c r="N269" s="36" t="str">
        <f ca="1">IFERROR(__xludf.DUMMYFUNCTION("IF(COUNTIFS($C$2:C269, C269, $A$2:A269, ""&lt;="" &amp; A269) &lt; 30, STDEV.P(FILTER($G$2:G269, $C$2:C269 = C269)), STDEV.P(FILTER($G$2:G269, $C$2:C269 = C269, $A$2:A269 &gt;= A269 - 30)))
"),"#DIV/0!")</f>
        <v>#DIV/0!</v>
      </c>
    </row>
    <row r="270" spans="1:14" x14ac:dyDescent="0.2">
      <c r="A270" s="37"/>
      <c r="B270" s="5"/>
      <c r="C270" s="35"/>
      <c r="D270" s="19"/>
      <c r="E270" s="19"/>
      <c r="F270" s="19"/>
      <c r="G270" s="19" t="e">
        <f t="shared" si="5"/>
        <v>#DIV/0!</v>
      </c>
      <c r="H270" s="20" t="str">
        <f ca="1">IFERROR(__xludf.DUMMYFUNCTION("IF(COUNTIFS($C$2:C270, C270, $A$2:A270, ""&lt;="" &amp; A270) &lt; 30, AVERAGEIF($C$2:C270, C270, $G$2:G270), AVERAGE(FILTER($G$2:G270, $C$2:C270 = C270, $A$2:A270 &gt;= A270 - 30)))
"),"#DIV/0!")</f>
        <v>#DIV/0!</v>
      </c>
      <c r="I270" s="20" t="e">
        <f t="shared" ca="1" si="6"/>
        <v>#DIV/0!</v>
      </c>
      <c r="J270" s="20" t="str">
        <f ca="1">IFERROR(__xludf.DUMMYFUNCTION("IF(OR($I270=2, $I270=3), 0, IFERROR(COUNTIFS($C$2:C270, $C270, $A$2:A271, ""&gt;""&amp;IFERROR(MAX(FILTER($A$2:A271, $C$2:C270=$C270, $I$2:I270&lt;&gt;1)), 0), $I$2:I270, 1),1))
"),"#DIV/0!")</f>
        <v>#DIV/0!</v>
      </c>
      <c r="K270" s="20" t="e">
        <f t="shared" ca="1" si="7"/>
        <v>#DIV/0!</v>
      </c>
      <c r="L270" s="20" t="e">
        <f t="shared" ca="1" si="8"/>
        <v>#DIV/0!</v>
      </c>
      <c r="M270" s="21" t="e">
        <f t="shared" ca="1" si="9"/>
        <v>#DIV/0!</v>
      </c>
      <c r="N270" s="20" t="str">
        <f ca="1">IFERROR(__xludf.DUMMYFUNCTION("IF(COUNTIFS($C$2:C270, C270, $A$2:A270, ""&lt;="" &amp; A270) &lt; 30, STDEV.P(FILTER($G$2:G270, $C$2:C270 = C270)), STDEV.P(FILTER($G$2:G270, $C$2:C270 = C270, $A$2:A270 &gt;= A270 - 30)))
"),"#DIV/0!")</f>
        <v>#DIV/0!</v>
      </c>
    </row>
    <row r="271" spans="1:14" x14ac:dyDescent="0.2">
      <c r="A271" s="37"/>
      <c r="B271" s="5"/>
      <c r="C271" s="35"/>
      <c r="D271" s="19"/>
      <c r="E271" s="19"/>
      <c r="F271" s="19"/>
      <c r="G271" s="19" t="e">
        <f t="shared" si="5"/>
        <v>#DIV/0!</v>
      </c>
      <c r="H271" s="20" t="str">
        <f ca="1">IFERROR(__xludf.DUMMYFUNCTION("IF(COUNTIFS($C$2:C271, C271, $A$2:A271, ""&lt;="" &amp; A271) &lt; 30, AVERAGEIF($C$2:C271, C271, $G$2:G271), AVERAGE(FILTER($G$2:G271, $C$2:C271 = C271, $A$2:A271 &gt;= A271 - 30)))
"),"#DIV/0!")</f>
        <v>#DIV/0!</v>
      </c>
      <c r="I271" s="20" t="e">
        <f t="shared" ca="1" si="6"/>
        <v>#DIV/0!</v>
      </c>
      <c r="J271" s="20" t="str">
        <f ca="1">IFERROR(__xludf.DUMMYFUNCTION("IF(OR($I271=2, $I271=3), 0, IFERROR(COUNTIFS($C$2:C271, $C271, $A$2:A272, ""&gt;""&amp;IFERROR(MAX(FILTER($A$2:A272, $C$2:C271=$C271, $I$2:I271&lt;&gt;1)), 0), $I$2:I271, 1),1))
"),"#DIV/0!")</f>
        <v>#DIV/0!</v>
      </c>
      <c r="K271" s="20" t="e">
        <f t="shared" ca="1" si="7"/>
        <v>#DIV/0!</v>
      </c>
      <c r="L271" s="20" t="e">
        <f t="shared" ca="1" si="8"/>
        <v>#DIV/0!</v>
      </c>
      <c r="M271" s="21" t="e">
        <f t="shared" ca="1" si="9"/>
        <v>#DIV/0!</v>
      </c>
      <c r="N271" s="20" t="str">
        <f ca="1">IFERROR(__xludf.DUMMYFUNCTION("IF(COUNTIFS($C$2:C271, C271, $A$2:A271, ""&lt;="" &amp; A271) &lt; 30, STDEV.P(FILTER($G$2:G271, $C$2:C271 = C271)), STDEV.P(FILTER($G$2:G271, $C$2:C271 = C271, $A$2:A271 &gt;= A271 - 30)))
"),"#DIV/0!")</f>
        <v>#DIV/0!</v>
      </c>
    </row>
    <row r="272" spans="1:14" x14ac:dyDescent="0.2">
      <c r="A272" s="37"/>
      <c r="B272" s="5"/>
      <c r="C272" s="35"/>
      <c r="D272" s="19"/>
      <c r="E272" s="19"/>
      <c r="F272" s="19"/>
      <c r="G272" s="19" t="e">
        <f t="shared" si="5"/>
        <v>#DIV/0!</v>
      </c>
      <c r="H272" s="20" t="str">
        <f ca="1">IFERROR(__xludf.DUMMYFUNCTION("IF(COUNTIFS($C$2:C272, C272, $A$2:A272, ""&lt;="" &amp; A272) &lt; 30, AVERAGEIF($C$2:C272, C272, $G$2:G272), AVERAGE(FILTER($G$2:G272, $C$2:C272 = C272, $A$2:A272 &gt;= A272 - 30)))
"),"#DIV/0!")</f>
        <v>#DIV/0!</v>
      </c>
      <c r="I272" s="20" t="e">
        <f t="shared" ca="1" si="6"/>
        <v>#DIV/0!</v>
      </c>
      <c r="J272" s="20" t="str">
        <f ca="1">IFERROR(__xludf.DUMMYFUNCTION("IF(OR($I272=2, $I272=3), 0, IFERROR(COUNTIFS($C$2:C272, $C272, $A$2:A273, ""&gt;""&amp;IFERROR(MAX(FILTER($A$2:A273, $C$2:C272=$C272, $I$2:I272&lt;&gt;1)), 0), $I$2:I272, 1),1))
"),"#DIV/0!")</f>
        <v>#DIV/0!</v>
      </c>
      <c r="K272" s="20" t="e">
        <f t="shared" ca="1" si="7"/>
        <v>#DIV/0!</v>
      </c>
      <c r="L272" s="20" t="e">
        <f t="shared" ca="1" si="8"/>
        <v>#DIV/0!</v>
      </c>
      <c r="M272" s="21" t="e">
        <f t="shared" ca="1" si="9"/>
        <v>#DIV/0!</v>
      </c>
      <c r="N272" s="20" t="str">
        <f ca="1">IFERROR(__xludf.DUMMYFUNCTION("IF(COUNTIFS($C$2:C272, C272, $A$2:A272, ""&lt;="" &amp; A272) &lt; 30, STDEV.P(FILTER($G$2:G272, $C$2:C272 = C272)), STDEV.P(FILTER($G$2:G272, $C$2:C272 = C272, $A$2:A272 &gt;= A272 - 30)))
"),"#DIV/0!")</f>
        <v>#DIV/0!</v>
      </c>
    </row>
    <row r="273" spans="1:14" x14ac:dyDescent="0.2">
      <c r="A273" s="37"/>
      <c r="B273" s="5"/>
      <c r="C273" s="35"/>
      <c r="D273" s="19"/>
      <c r="E273" s="19"/>
      <c r="F273" s="19"/>
      <c r="G273" s="19" t="e">
        <f t="shared" si="5"/>
        <v>#DIV/0!</v>
      </c>
      <c r="H273" s="20" t="str">
        <f ca="1">IFERROR(__xludf.DUMMYFUNCTION("IF(COUNTIFS($C$2:C273, C273, $A$2:A273, ""&lt;="" &amp; A273) &lt; 30, AVERAGEIF($C$2:C273, C273, $G$2:G273), AVERAGE(FILTER($G$2:G273, $C$2:C273 = C273, $A$2:A273 &gt;= A273 - 30)))
"),"#DIV/0!")</f>
        <v>#DIV/0!</v>
      </c>
      <c r="I273" s="20" t="e">
        <f t="shared" ca="1" si="6"/>
        <v>#DIV/0!</v>
      </c>
      <c r="J273" s="20" t="str">
        <f ca="1">IFERROR(__xludf.DUMMYFUNCTION("IF(OR($I273=2, $I273=3), 0, IFERROR(COUNTIFS($C$2:C273, $C273, $A$2:A274, ""&gt;""&amp;IFERROR(MAX(FILTER($A$2:A274, $C$2:C273=$C273, $I$2:I273&lt;&gt;1)), 0), $I$2:I273, 1),1))
"),"#DIV/0!")</f>
        <v>#DIV/0!</v>
      </c>
      <c r="K273" s="20" t="e">
        <f t="shared" ca="1" si="7"/>
        <v>#DIV/0!</v>
      </c>
      <c r="L273" s="20" t="e">
        <f t="shared" ca="1" si="8"/>
        <v>#DIV/0!</v>
      </c>
      <c r="M273" s="21" t="e">
        <f t="shared" ca="1" si="9"/>
        <v>#DIV/0!</v>
      </c>
      <c r="N273" s="20" t="str">
        <f ca="1">IFERROR(__xludf.DUMMYFUNCTION("IF(COUNTIFS($C$2:C273, C273, $A$2:A273, ""&lt;="" &amp; A273) &lt; 30, STDEV.P(FILTER($G$2:G273, $C$2:C273 = C273)), STDEV.P(FILTER($G$2:G273, $C$2:C273 = C273, $A$2:A273 &gt;= A273 - 30)))
"),"#DIV/0!")</f>
        <v>#DIV/0!</v>
      </c>
    </row>
    <row r="274" spans="1:14" x14ac:dyDescent="0.2">
      <c r="A274" s="37"/>
      <c r="B274" s="5"/>
      <c r="C274" s="35"/>
      <c r="D274" s="19"/>
      <c r="E274" s="19"/>
      <c r="F274" s="19"/>
      <c r="G274" s="19" t="e">
        <f t="shared" si="5"/>
        <v>#DIV/0!</v>
      </c>
      <c r="H274" s="20" t="str">
        <f ca="1">IFERROR(__xludf.DUMMYFUNCTION("IF(COUNTIFS($C$2:C274, C274, $A$2:A274, ""&lt;="" &amp; A274) &lt; 30, AVERAGEIF($C$2:C274, C274, $G$2:G274), AVERAGE(FILTER($G$2:G274, $C$2:C274 = C274, $A$2:A274 &gt;= A274 - 30)))
"),"#DIV/0!")</f>
        <v>#DIV/0!</v>
      </c>
      <c r="I274" s="20" t="e">
        <f t="shared" ca="1" si="6"/>
        <v>#DIV/0!</v>
      </c>
      <c r="J274" s="20" t="str">
        <f ca="1">IFERROR(__xludf.DUMMYFUNCTION("IF(OR($I274=2, $I274=3), 0, IFERROR(COUNTIFS($C$2:C274, $C274, $A$2:A275, ""&gt;""&amp;IFERROR(MAX(FILTER($A$2:A275, $C$2:C274=$C274, $I$2:I274&lt;&gt;1)), 0), $I$2:I274, 1),1))
"),"#DIV/0!")</f>
        <v>#DIV/0!</v>
      </c>
      <c r="K274" s="20" t="e">
        <f t="shared" ca="1" si="7"/>
        <v>#DIV/0!</v>
      </c>
      <c r="L274" s="20" t="e">
        <f t="shared" ca="1" si="8"/>
        <v>#DIV/0!</v>
      </c>
      <c r="M274" s="21" t="e">
        <f t="shared" ca="1" si="9"/>
        <v>#DIV/0!</v>
      </c>
      <c r="N274" s="20" t="str">
        <f ca="1">IFERROR(__xludf.DUMMYFUNCTION("IF(COUNTIFS($C$2:C274, C274, $A$2:A274, ""&lt;="" &amp; A274) &lt; 30, STDEV.P(FILTER($G$2:G274, $C$2:C274 = C274)), STDEV.P(FILTER($G$2:G274, $C$2:C274 = C274, $A$2:A274 &gt;= A274 - 30)))
"),"#DIV/0!")</f>
        <v>#DIV/0!</v>
      </c>
    </row>
    <row r="275" spans="1:14" x14ac:dyDescent="0.2">
      <c r="A275" s="37"/>
      <c r="B275" s="5"/>
      <c r="C275" s="35"/>
      <c r="D275" s="19"/>
      <c r="E275" s="19"/>
      <c r="F275" s="19"/>
      <c r="G275" s="19" t="e">
        <f t="shared" si="5"/>
        <v>#DIV/0!</v>
      </c>
      <c r="H275" s="20" t="str">
        <f ca="1">IFERROR(__xludf.DUMMYFUNCTION("IF(COUNTIFS($C$2:C275, C275, $A$2:A275, ""&lt;="" &amp; A275) &lt; 30, AVERAGEIF($C$2:C275, C275, $G$2:G275), AVERAGE(FILTER($G$2:G275, $C$2:C275 = C275, $A$2:A275 &gt;= A275 - 30)))
"),"#DIV/0!")</f>
        <v>#DIV/0!</v>
      </c>
      <c r="I275" s="20" t="e">
        <f t="shared" ca="1" si="6"/>
        <v>#DIV/0!</v>
      </c>
      <c r="J275" s="20" t="str">
        <f ca="1">IFERROR(__xludf.DUMMYFUNCTION("IF(OR($I275=2, $I275=3), 0, IFERROR(COUNTIFS($C$2:C275, $C275, $A$2:A276, ""&gt;""&amp;IFERROR(MAX(FILTER($A$2:A276, $C$2:C275=$C275, $I$2:I275&lt;&gt;1)), 0), $I$2:I275, 1),1))
"),"#DIV/0!")</f>
        <v>#DIV/0!</v>
      </c>
      <c r="K275" s="20" t="e">
        <f t="shared" ca="1" si="7"/>
        <v>#DIV/0!</v>
      </c>
      <c r="L275" s="20" t="e">
        <f t="shared" ca="1" si="8"/>
        <v>#DIV/0!</v>
      </c>
      <c r="M275" s="21" t="e">
        <f t="shared" ca="1" si="9"/>
        <v>#DIV/0!</v>
      </c>
      <c r="N275" s="20" t="str">
        <f ca="1">IFERROR(__xludf.DUMMYFUNCTION("IF(COUNTIFS($C$2:C275, C275, $A$2:A275, ""&lt;="" &amp; A275) &lt; 30, STDEV.P(FILTER($G$2:G275, $C$2:C275 = C275)), STDEV.P(FILTER($G$2:G275, $C$2:C275 = C275, $A$2:A275 &gt;= A275 - 30)))
"),"#DIV/0!")</f>
        <v>#DIV/0!</v>
      </c>
    </row>
    <row r="276" spans="1:14" x14ac:dyDescent="0.2">
      <c r="A276" s="37"/>
      <c r="B276" s="7"/>
      <c r="C276" s="35"/>
      <c r="D276" s="20"/>
      <c r="E276" s="20"/>
      <c r="F276" s="20"/>
      <c r="G276" s="19" t="e">
        <f t="shared" si="5"/>
        <v>#DIV/0!</v>
      </c>
      <c r="H276" s="20" t="str">
        <f ca="1">IFERROR(__xludf.DUMMYFUNCTION("IF(COUNTIFS($C$2:C276, C276, $A$2:A276, ""&lt;="" &amp; A276) &lt; 30, AVERAGEIF($C$2:C276, C276, $G$2:G276), AVERAGE(FILTER($G$2:G276, $C$2:C276 = C276, $A$2:A276 &gt;= A276 - 30)))
"),"#DIV/0!")</f>
        <v>#DIV/0!</v>
      </c>
      <c r="I276" s="20" t="e">
        <f t="shared" ca="1" si="6"/>
        <v>#DIV/0!</v>
      </c>
      <c r="J276" s="20" t="str">
        <f ca="1">IFERROR(__xludf.DUMMYFUNCTION("IF(OR($I276=2, $I276=3), 0, IFERROR(COUNTIFS($C$2:C276, $C276, $A$2:A277, ""&gt;""&amp;IFERROR(MAX(FILTER($A$2:A277, $C$2:C276=$C276, $I$2:I276&lt;&gt;1)), 0), $I$2:I276, 1),1))
"),"#DIV/0!")</f>
        <v>#DIV/0!</v>
      </c>
      <c r="K276" s="20" t="e">
        <f t="shared" ca="1" si="7"/>
        <v>#DIV/0!</v>
      </c>
      <c r="L276" s="20" t="e">
        <f t="shared" ca="1" si="8"/>
        <v>#DIV/0!</v>
      </c>
      <c r="M276" s="21" t="e">
        <f t="shared" ca="1" si="9"/>
        <v>#DIV/0!</v>
      </c>
      <c r="N276" s="20" t="str">
        <f ca="1">IFERROR(__xludf.DUMMYFUNCTION("IF(COUNTIFS($C$2:C276, C276, $A$2:A276, ""&lt;="" &amp; A276) &lt; 30, STDEV.P(FILTER($G$2:G276, $C$2:C276 = C276)), STDEV.P(FILTER($G$2:G276, $C$2:C276 = C276, $A$2:A276 &gt;= A276 - 30)))
"),"#DIV/0!")</f>
        <v>#DIV/0!</v>
      </c>
    </row>
    <row r="277" spans="1:14" x14ac:dyDescent="0.2">
      <c r="A277" s="37"/>
      <c r="B277" s="7"/>
      <c r="C277" s="35"/>
      <c r="D277" s="20"/>
      <c r="E277" s="20"/>
      <c r="F277" s="20"/>
      <c r="G277" s="19" t="e">
        <f t="shared" si="5"/>
        <v>#DIV/0!</v>
      </c>
      <c r="H277" s="20" t="str">
        <f ca="1">IFERROR(__xludf.DUMMYFUNCTION("IF(COUNTIFS($C$2:C277, C277, $A$2:A277, ""&lt;="" &amp; A277) &lt; 30, AVERAGEIF($C$2:C277, C277, $G$2:G277), AVERAGE(FILTER($G$2:G277, $C$2:C277 = C277, $A$2:A277 &gt;= A277 - 30)))
"),"#DIV/0!")</f>
        <v>#DIV/0!</v>
      </c>
      <c r="I277" s="20" t="e">
        <f t="shared" ca="1" si="6"/>
        <v>#DIV/0!</v>
      </c>
      <c r="J277" s="20" t="str">
        <f ca="1">IFERROR(__xludf.DUMMYFUNCTION("IF(OR($I277=2, $I277=3), 0, IFERROR(COUNTIFS($C$2:C277, $C277, $A$2:A278, ""&gt;""&amp;IFERROR(MAX(FILTER($A$2:A278, $C$2:C277=$C277, $I$2:I277&lt;&gt;1)), 0), $I$2:I277, 1),1))
"),"#DIV/0!")</f>
        <v>#DIV/0!</v>
      </c>
      <c r="K277" s="20" t="e">
        <f t="shared" ca="1" si="7"/>
        <v>#DIV/0!</v>
      </c>
      <c r="L277" s="20" t="e">
        <f t="shared" ca="1" si="8"/>
        <v>#DIV/0!</v>
      </c>
      <c r="M277" s="21" t="e">
        <f t="shared" ca="1" si="9"/>
        <v>#DIV/0!</v>
      </c>
      <c r="N277" s="20" t="str">
        <f ca="1">IFERROR(__xludf.DUMMYFUNCTION("IF(COUNTIFS($C$2:C277, C277, $A$2:A277, ""&lt;="" &amp; A277) &lt; 30, STDEV.P(FILTER($G$2:G277, $C$2:C277 = C277)), STDEV.P(FILTER($G$2:G277, $C$2:C277 = C277, $A$2:A277 &gt;= A277 - 30)))
"),"#DIV/0!")</f>
        <v>#DIV/0!</v>
      </c>
    </row>
    <row r="278" spans="1:14" x14ac:dyDescent="0.2">
      <c r="A278" s="37"/>
      <c r="B278" s="7"/>
      <c r="C278" s="35"/>
      <c r="D278" s="20"/>
      <c r="E278" s="20"/>
      <c r="F278" s="20"/>
      <c r="G278" s="19" t="e">
        <f t="shared" si="5"/>
        <v>#DIV/0!</v>
      </c>
      <c r="H278" s="20" t="str">
        <f ca="1">IFERROR(__xludf.DUMMYFUNCTION("IF(COUNTIFS($C$2:C278, C278, $A$2:A278, ""&lt;="" &amp; A278) &lt; 30, AVERAGEIF($C$2:C278, C278, $G$2:G278), AVERAGE(FILTER($G$2:G278, $C$2:C278 = C278, $A$2:A278 &gt;= A278 - 30)))
"),"#DIV/0!")</f>
        <v>#DIV/0!</v>
      </c>
      <c r="I278" s="20" t="e">
        <f t="shared" ca="1" si="6"/>
        <v>#DIV/0!</v>
      </c>
      <c r="J278" s="20" t="str">
        <f ca="1">IFERROR(__xludf.DUMMYFUNCTION("IF(OR($I278=2, $I278=3), 0, IFERROR(COUNTIFS($C$2:C278, $C278, $A$2:A279, ""&gt;""&amp;IFERROR(MAX(FILTER($A$2:A279, $C$2:C278=$C278, $I$2:I278&lt;&gt;1)), 0), $I$2:I278, 1),1))
"),"#DIV/0!")</f>
        <v>#DIV/0!</v>
      </c>
      <c r="K278" s="20" t="e">
        <f t="shared" ca="1" si="7"/>
        <v>#DIV/0!</v>
      </c>
      <c r="L278" s="20" t="e">
        <f t="shared" ca="1" si="8"/>
        <v>#DIV/0!</v>
      </c>
      <c r="M278" s="21" t="e">
        <f t="shared" ca="1" si="9"/>
        <v>#DIV/0!</v>
      </c>
      <c r="N278" s="20" t="str">
        <f ca="1">IFERROR(__xludf.DUMMYFUNCTION("IF(COUNTIFS($C$2:C278, C278, $A$2:A278, ""&lt;="" &amp; A278) &lt; 30, STDEV.P(FILTER($G$2:G278, $C$2:C278 = C278)), STDEV.P(FILTER($G$2:G278, $C$2:C278 = C278, $A$2:A278 &gt;= A278 - 30)))
"),"#DIV/0!")</f>
        <v>#DIV/0!</v>
      </c>
    </row>
    <row r="279" spans="1:14" x14ac:dyDescent="0.2">
      <c r="A279" s="37"/>
      <c r="B279" s="7"/>
      <c r="C279" s="35"/>
      <c r="D279" s="20"/>
      <c r="E279" s="20"/>
      <c r="F279" s="20"/>
      <c r="G279" s="19" t="e">
        <f t="shared" si="5"/>
        <v>#DIV/0!</v>
      </c>
      <c r="H279" s="20" t="str">
        <f ca="1">IFERROR(__xludf.DUMMYFUNCTION("IF(COUNTIFS($C$2:C279, C279, $A$2:A279, ""&lt;="" &amp; A279) &lt; 30, AVERAGEIF($C$2:C279, C279, $G$2:G279), AVERAGE(FILTER($G$2:G279, $C$2:C279 = C279, $A$2:A279 &gt;= A279 - 30)))
"),"#DIV/0!")</f>
        <v>#DIV/0!</v>
      </c>
      <c r="I279" s="20" t="e">
        <f t="shared" ca="1" si="6"/>
        <v>#DIV/0!</v>
      </c>
      <c r="J279" s="20" t="str">
        <f ca="1">IFERROR(__xludf.DUMMYFUNCTION("IF(OR($I279=2, $I279=3), 0, IFERROR(COUNTIFS($C$2:C279, $C279, $A$2:A280, ""&gt;""&amp;IFERROR(MAX(FILTER($A$2:A280, $C$2:C279=$C279, $I$2:I279&lt;&gt;1)), 0), $I$2:I279, 1),1))
"),"#DIV/0!")</f>
        <v>#DIV/0!</v>
      </c>
      <c r="K279" s="20" t="e">
        <f t="shared" ca="1" si="7"/>
        <v>#DIV/0!</v>
      </c>
      <c r="L279" s="20" t="e">
        <f t="shared" ca="1" si="8"/>
        <v>#DIV/0!</v>
      </c>
      <c r="M279" s="21" t="e">
        <f t="shared" ca="1" si="9"/>
        <v>#DIV/0!</v>
      </c>
      <c r="N279" s="20" t="str">
        <f ca="1">IFERROR(__xludf.DUMMYFUNCTION("IF(COUNTIFS($C$2:C279, C279, $A$2:A279, ""&lt;="" &amp; A279) &lt; 30, STDEV.P(FILTER($G$2:G279, $C$2:C279 = C279)), STDEV.P(FILTER($G$2:G279, $C$2:C279 = C279, $A$2:A279 &gt;= A279 - 30)))
"),"#DIV/0!")</f>
        <v>#DIV/0!</v>
      </c>
    </row>
    <row r="280" spans="1:14" x14ac:dyDescent="0.2">
      <c r="A280" s="37"/>
      <c r="B280" s="7"/>
      <c r="C280" s="35"/>
      <c r="D280" s="20"/>
      <c r="E280" s="20"/>
      <c r="F280" s="20"/>
      <c r="G280" s="19" t="e">
        <f t="shared" si="5"/>
        <v>#DIV/0!</v>
      </c>
      <c r="H280" s="20" t="str">
        <f ca="1">IFERROR(__xludf.DUMMYFUNCTION("IF(COUNTIFS($C$2:C280, C280, $A$2:A280, ""&lt;="" &amp; A280) &lt; 30, AVERAGEIF($C$2:C280, C280, $G$2:G280), AVERAGE(FILTER($G$2:G280, $C$2:C280 = C280, $A$2:A280 &gt;= A280 - 30)))
"),"#DIV/0!")</f>
        <v>#DIV/0!</v>
      </c>
      <c r="I280" s="20" t="e">
        <f t="shared" ca="1" si="6"/>
        <v>#DIV/0!</v>
      </c>
      <c r="J280" s="20" t="str">
        <f ca="1">IFERROR(__xludf.DUMMYFUNCTION("IF(OR($I280=2, $I280=3), 0, IFERROR(COUNTIFS($C$2:C280, $C280, $A$2:A281, ""&gt;""&amp;IFERROR(MAX(FILTER($A$2:A281, $C$2:C280=$C280, $I$2:I280&lt;&gt;1)), 0), $I$2:I280, 1),1))
"),"#DIV/0!")</f>
        <v>#DIV/0!</v>
      </c>
      <c r="K280" s="20" t="e">
        <f t="shared" ca="1" si="7"/>
        <v>#DIV/0!</v>
      </c>
      <c r="L280" s="20" t="e">
        <f t="shared" ca="1" si="8"/>
        <v>#DIV/0!</v>
      </c>
      <c r="M280" s="21" t="e">
        <f t="shared" ca="1" si="9"/>
        <v>#DIV/0!</v>
      </c>
      <c r="N280" s="20" t="str">
        <f ca="1">IFERROR(__xludf.DUMMYFUNCTION("IF(COUNTIFS($C$2:C280, C280, $A$2:A280, ""&lt;="" &amp; A280) &lt; 30, STDEV.P(FILTER($G$2:G280, $C$2:C280 = C280)), STDEV.P(FILTER($G$2:G280, $C$2:C280 = C280, $A$2:A280 &gt;= A280 - 30)))
"),"#DIV/0!")</f>
        <v>#DIV/0!</v>
      </c>
    </row>
    <row r="281" spans="1:14" x14ac:dyDescent="0.2">
      <c r="A281" s="37"/>
      <c r="B281" s="7"/>
      <c r="C281" s="35"/>
      <c r="D281" s="20"/>
      <c r="E281" s="20"/>
      <c r="F281" s="20"/>
      <c r="G281" s="19" t="e">
        <f t="shared" si="5"/>
        <v>#DIV/0!</v>
      </c>
      <c r="H281" s="20" t="str">
        <f ca="1">IFERROR(__xludf.DUMMYFUNCTION("IF(COUNTIFS($C$2:C281, C281, $A$2:A281, ""&lt;="" &amp; A281) &lt; 30, AVERAGEIF($C$2:C281, C281, $G$2:G281), AVERAGE(FILTER($G$2:G281, $C$2:C281 = C281, $A$2:A281 &gt;= A281 - 30)))
"),"#DIV/0!")</f>
        <v>#DIV/0!</v>
      </c>
      <c r="I281" s="20" t="e">
        <f t="shared" ca="1" si="6"/>
        <v>#DIV/0!</v>
      </c>
      <c r="J281" s="20" t="str">
        <f ca="1">IFERROR(__xludf.DUMMYFUNCTION("IF(OR($I281=2, $I281=3), 0, IFERROR(COUNTIFS($C$2:C281, $C281, $A$2:A282, ""&gt;""&amp;IFERROR(MAX(FILTER($A$2:A282, $C$2:C281=$C281, $I$2:I281&lt;&gt;1)), 0), $I$2:I281, 1),1))
"),"#DIV/0!")</f>
        <v>#DIV/0!</v>
      </c>
      <c r="K281" s="20" t="e">
        <f t="shared" ca="1" si="7"/>
        <v>#DIV/0!</v>
      </c>
      <c r="L281" s="20" t="e">
        <f t="shared" ca="1" si="8"/>
        <v>#DIV/0!</v>
      </c>
      <c r="M281" s="21" t="e">
        <f t="shared" ca="1" si="9"/>
        <v>#DIV/0!</v>
      </c>
      <c r="N281" s="20" t="str">
        <f ca="1">IFERROR(__xludf.DUMMYFUNCTION("IF(COUNTIFS($C$2:C281, C281, $A$2:A281, ""&lt;="" &amp; A281) &lt; 30, STDEV.P(FILTER($G$2:G281, $C$2:C281 = C281)), STDEV.P(FILTER($G$2:G281, $C$2:C281 = C281, $A$2:A281 &gt;= A281 - 30)))
"),"#DIV/0!")</f>
        <v>#DIV/0!</v>
      </c>
    </row>
    <row r="282" spans="1:14" x14ac:dyDescent="0.2">
      <c r="A282" s="37"/>
      <c r="B282" s="7"/>
      <c r="C282" s="35"/>
      <c r="D282" s="20"/>
      <c r="E282" s="20"/>
      <c r="F282" s="20"/>
      <c r="G282" s="19" t="e">
        <f t="shared" si="5"/>
        <v>#DIV/0!</v>
      </c>
      <c r="H282" s="20" t="str">
        <f ca="1">IFERROR(__xludf.DUMMYFUNCTION("IF(COUNTIFS($C$2:C282, C282, $A$2:A282, ""&lt;="" &amp; A282) &lt; 30, AVERAGEIF($C$2:C282, C282, $G$2:G282), AVERAGE(FILTER($G$2:G282, $C$2:C282 = C282, $A$2:A282 &gt;= A282 - 30)))
"),"#DIV/0!")</f>
        <v>#DIV/0!</v>
      </c>
      <c r="I282" s="20" t="e">
        <f t="shared" ca="1" si="6"/>
        <v>#DIV/0!</v>
      </c>
      <c r="J282" s="20" t="str">
        <f ca="1">IFERROR(__xludf.DUMMYFUNCTION("IF(OR($I282=2, $I282=3), 0, IFERROR(COUNTIFS($C$2:C282, $C282, $A$2:A283, ""&gt;""&amp;IFERROR(MAX(FILTER($A$2:A283, $C$2:C282=$C282, $I$2:I282&lt;&gt;1)), 0), $I$2:I282, 1),1))
"),"#DIV/0!")</f>
        <v>#DIV/0!</v>
      </c>
      <c r="K282" s="20" t="e">
        <f t="shared" ca="1" si="7"/>
        <v>#DIV/0!</v>
      </c>
      <c r="L282" s="20" t="e">
        <f t="shared" ca="1" si="8"/>
        <v>#DIV/0!</v>
      </c>
      <c r="M282" s="21" t="e">
        <f t="shared" ca="1" si="9"/>
        <v>#DIV/0!</v>
      </c>
      <c r="N282" s="20" t="str">
        <f ca="1">IFERROR(__xludf.DUMMYFUNCTION("IF(COUNTIFS($C$2:C282, C282, $A$2:A282, ""&lt;="" &amp; A282) &lt; 30, STDEV.P(FILTER($G$2:G282, $C$2:C282 = C282)), STDEV.P(FILTER($G$2:G282, $C$2:C282 = C282, $A$2:A282 &gt;= A282 - 30)))
"),"#DIV/0!")</f>
        <v>#DIV/0!</v>
      </c>
    </row>
    <row r="283" spans="1:14" x14ac:dyDescent="0.2">
      <c r="A283" s="37"/>
      <c r="B283" s="7"/>
      <c r="C283" s="35"/>
      <c r="D283" s="20"/>
      <c r="E283" s="20"/>
      <c r="F283" s="20"/>
      <c r="G283" s="19" t="e">
        <f t="shared" si="5"/>
        <v>#DIV/0!</v>
      </c>
      <c r="H283" s="20" t="str">
        <f ca="1">IFERROR(__xludf.DUMMYFUNCTION("IF(COUNTIFS($C$2:C283, C283, $A$2:A283, ""&lt;="" &amp; A283) &lt; 30, AVERAGEIF($C$2:C283, C283, $G$2:G283), AVERAGE(FILTER($G$2:G283, $C$2:C283 = C283, $A$2:A283 &gt;= A283 - 30)))
"),"#DIV/0!")</f>
        <v>#DIV/0!</v>
      </c>
      <c r="I283" s="20" t="e">
        <f t="shared" ca="1" si="6"/>
        <v>#DIV/0!</v>
      </c>
      <c r="J283" s="20" t="str">
        <f ca="1">IFERROR(__xludf.DUMMYFUNCTION("IF(OR($I283=2, $I283=3), 0, IFERROR(COUNTIFS($C$2:C283, $C283, $A$2:A284, ""&gt;""&amp;IFERROR(MAX(FILTER($A$2:A284, $C$2:C283=$C283, $I$2:I283&lt;&gt;1)), 0), $I$2:I283, 1),1))
"),"#DIV/0!")</f>
        <v>#DIV/0!</v>
      </c>
      <c r="K283" s="20" t="e">
        <f t="shared" ca="1" si="7"/>
        <v>#DIV/0!</v>
      </c>
      <c r="L283" s="20" t="e">
        <f t="shared" ca="1" si="8"/>
        <v>#DIV/0!</v>
      </c>
      <c r="M283" s="21" t="e">
        <f t="shared" ca="1" si="9"/>
        <v>#DIV/0!</v>
      </c>
      <c r="N283" s="20" t="str">
        <f ca="1">IFERROR(__xludf.DUMMYFUNCTION("IF(COUNTIFS($C$2:C283, C283, $A$2:A283, ""&lt;="" &amp; A283) &lt; 30, STDEV.P(FILTER($G$2:G283, $C$2:C283 = C283)), STDEV.P(FILTER($G$2:G283, $C$2:C283 = C283, $A$2:A283 &gt;= A283 - 30)))
"),"#DIV/0!")</f>
        <v>#DIV/0!</v>
      </c>
    </row>
    <row r="284" spans="1:14" x14ac:dyDescent="0.2">
      <c r="A284" s="37"/>
      <c r="B284" s="5"/>
      <c r="C284" s="35"/>
      <c r="D284" s="19"/>
      <c r="E284" s="19"/>
      <c r="F284" s="19"/>
      <c r="G284" s="19" t="e">
        <f t="shared" si="5"/>
        <v>#DIV/0!</v>
      </c>
      <c r="H284" s="20" t="str">
        <f ca="1">IFERROR(__xludf.DUMMYFUNCTION("IF(COUNTIFS($C$2:C284, C284, $A$2:A284, ""&lt;="" &amp; A284) &lt; 30, AVERAGEIF($C$2:C284, C284, $G$2:G284), AVERAGE(FILTER($G$2:G284, $C$2:C284 = C284, $A$2:A284 &gt;= A284 - 30)))
"),"#DIV/0!")</f>
        <v>#DIV/0!</v>
      </c>
      <c r="I284" s="20" t="e">
        <f t="shared" ca="1" si="6"/>
        <v>#DIV/0!</v>
      </c>
      <c r="J284" s="20" t="str">
        <f ca="1">IFERROR(__xludf.DUMMYFUNCTION("IF(OR($I284=2, $I284=3), 0, IFERROR(COUNTIFS($C$2:C284, $C284, $A$2:A285, ""&gt;""&amp;IFERROR(MAX(FILTER($A$2:A285, $C$2:C284=$C284, $I$2:I284&lt;&gt;1)), 0), $I$2:I284, 1),1))
"),"#DIV/0!")</f>
        <v>#DIV/0!</v>
      </c>
      <c r="K284" s="20" t="e">
        <f t="shared" ca="1" si="7"/>
        <v>#DIV/0!</v>
      </c>
      <c r="L284" s="20" t="e">
        <f t="shared" ca="1" si="8"/>
        <v>#DIV/0!</v>
      </c>
      <c r="M284" s="21" t="e">
        <f t="shared" ca="1" si="9"/>
        <v>#DIV/0!</v>
      </c>
      <c r="N284" s="20" t="str">
        <f ca="1">IFERROR(__xludf.DUMMYFUNCTION("IF(COUNTIFS($C$2:C284, C284, $A$2:A284, ""&lt;="" &amp; A284) &lt; 30, STDEV.P(FILTER($G$2:G284, $C$2:C284 = C284)), STDEV.P(FILTER($G$2:G284, $C$2:C284 = C284, $A$2:A284 &gt;= A284 - 30)))
"),"#DIV/0!")</f>
        <v>#DIV/0!</v>
      </c>
    </row>
    <row r="285" spans="1:14" x14ac:dyDescent="0.2">
      <c r="A285" s="37"/>
      <c r="B285" s="5"/>
      <c r="C285" s="35"/>
      <c r="D285" s="19"/>
      <c r="E285" s="19"/>
      <c r="F285" s="19"/>
      <c r="G285" s="19" t="e">
        <f t="shared" si="5"/>
        <v>#DIV/0!</v>
      </c>
      <c r="H285" s="20" t="str">
        <f ca="1">IFERROR(__xludf.DUMMYFUNCTION("IF(COUNTIFS($C$2:C285, C285, $A$2:A285, ""&lt;="" &amp; A285) &lt; 30, AVERAGEIF($C$2:C285, C285, $G$2:G285), AVERAGE(FILTER($G$2:G285, $C$2:C285 = C285, $A$2:A285 &gt;= A285 - 30)))
"),"#DIV/0!")</f>
        <v>#DIV/0!</v>
      </c>
      <c r="I285" s="20" t="e">
        <f t="shared" ca="1" si="6"/>
        <v>#DIV/0!</v>
      </c>
      <c r="J285" s="20" t="str">
        <f ca="1">IFERROR(__xludf.DUMMYFUNCTION("IF(OR($I285=2, $I285=3), 0, IFERROR(COUNTIFS($C$2:C285, $C285, $A$2:A286, ""&gt;""&amp;IFERROR(MAX(FILTER($A$2:A286, $C$2:C285=$C285, $I$2:I285&lt;&gt;1)), 0), $I$2:I285, 1),1))
"),"#DIV/0!")</f>
        <v>#DIV/0!</v>
      </c>
      <c r="K285" s="20" t="e">
        <f t="shared" ca="1" si="7"/>
        <v>#DIV/0!</v>
      </c>
      <c r="L285" s="20" t="e">
        <f t="shared" ca="1" si="8"/>
        <v>#DIV/0!</v>
      </c>
      <c r="M285" s="21" t="e">
        <f t="shared" ca="1" si="9"/>
        <v>#DIV/0!</v>
      </c>
      <c r="N285" s="20" t="str">
        <f ca="1">IFERROR(__xludf.DUMMYFUNCTION("IF(COUNTIFS($C$2:C285, C285, $A$2:A285, ""&lt;="" &amp; A285) &lt; 30, STDEV.P(FILTER($G$2:G285, $C$2:C285 = C285)), STDEV.P(FILTER($G$2:G285, $C$2:C285 = C285, $A$2:A285 &gt;= A285 - 30)))
"),"#DIV/0!")</f>
        <v>#DIV/0!</v>
      </c>
    </row>
    <row r="286" spans="1:14" x14ac:dyDescent="0.2">
      <c r="A286" s="37"/>
      <c r="B286" s="5"/>
      <c r="C286" s="35"/>
      <c r="D286" s="19"/>
      <c r="E286" s="19"/>
      <c r="F286" s="19"/>
      <c r="G286" s="19" t="e">
        <f t="shared" si="5"/>
        <v>#DIV/0!</v>
      </c>
      <c r="H286" s="20" t="str">
        <f ca="1">IFERROR(__xludf.DUMMYFUNCTION("IF(COUNTIFS($C$2:C286, C286, $A$2:A286, ""&lt;="" &amp; A286) &lt; 30, AVERAGEIF($C$2:C286, C286, $G$2:G286), AVERAGE(FILTER($G$2:G286, $C$2:C286 = C286, $A$2:A286 &gt;= A286 - 30)))
"),"#DIV/0!")</f>
        <v>#DIV/0!</v>
      </c>
      <c r="I286" s="20" t="e">
        <f t="shared" ca="1" si="6"/>
        <v>#DIV/0!</v>
      </c>
      <c r="J286" s="20" t="str">
        <f ca="1">IFERROR(__xludf.DUMMYFUNCTION("IF(OR($I286=2, $I286=3), 0, IFERROR(COUNTIFS($C$2:C286, $C286, $A$2:A287, ""&gt;""&amp;IFERROR(MAX(FILTER($A$2:A287, $C$2:C286=$C286, $I$2:I286&lt;&gt;1)), 0), $I$2:I286, 1),1))
"),"#DIV/0!")</f>
        <v>#DIV/0!</v>
      </c>
      <c r="K286" s="20" t="e">
        <f t="shared" ca="1" si="7"/>
        <v>#DIV/0!</v>
      </c>
      <c r="L286" s="20" t="e">
        <f t="shared" ca="1" si="8"/>
        <v>#DIV/0!</v>
      </c>
      <c r="M286" s="21" t="e">
        <f t="shared" ca="1" si="9"/>
        <v>#DIV/0!</v>
      </c>
      <c r="N286" s="20" t="str">
        <f ca="1">IFERROR(__xludf.DUMMYFUNCTION("IF(COUNTIFS($C$2:C286, C286, $A$2:A286, ""&lt;="" &amp; A286) &lt; 30, STDEV.P(FILTER($G$2:G286, $C$2:C286 = C286)), STDEV.P(FILTER($G$2:G286, $C$2:C286 = C286, $A$2:A286 &gt;= A286 - 30)))
"),"#DIV/0!")</f>
        <v>#DIV/0!</v>
      </c>
    </row>
    <row r="287" spans="1:14" x14ac:dyDescent="0.2">
      <c r="A287" s="37"/>
      <c r="B287" s="5"/>
      <c r="C287" s="35"/>
      <c r="D287" s="19"/>
      <c r="E287" s="19"/>
      <c r="F287" s="19"/>
      <c r="G287" s="19" t="e">
        <f t="shared" si="5"/>
        <v>#DIV/0!</v>
      </c>
      <c r="H287" s="20" t="str">
        <f ca="1">IFERROR(__xludf.DUMMYFUNCTION("IF(COUNTIFS($C$2:C287, C287, $A$2:A287, ""&lt;="" &amp; A287) &lt; 30, AVERAGEIF($C$2:C287, C287, $G$2:G287), AVERAGE(FILTER($G$2:G287, $C$2:C287 = C287, $A$2:A287 &gt;= A287 - 30)))
"),"#DIV/0!")</f>
        <v>#DIV/0!</v>
      </c>
      <c r="I287" s="20" t="e">
        <f t="shared" ca="1" si="6"/>
        <v>#DIV/0!</v>
      </c>
      <c r="J287" s="20" t="str">
        <f ca="1">IFERROR(__xludf.DUMMYFUNCTION("IF(OR($I287=2, $I287=3), 0, IFERROR(COUNTIFS($C$2:C287, $C287, $A$2:A288, ""&gt;""&amp;IFERROR(MAX(FILTER($A$2:A288, $C$2:C287=$C287, $I$2:I287&lt;&gt;1)), 0), $I$2:I287, 1),1))
"),"#DIV/0!")</f>
        <v>#DIV/0!</v>
      </c>
      <c r="K287" s="20" t="e">
        <f t="shared" ca="1" si="7"/>
        <v>#DIV/0!</v>
      </c>
      <c r="L287" s="20" t="e">
        <f t="shared" ca="1" si="8"/>
        <v>#DIV/0!</v>
      </c>
      <c r="M287" s="21" t="e">
        <f t="shared" ca="1" si="9"/>
        <v>#DIV/0!</v>
      </c>
      <c r="N287" s="20" t="str">
        <f ca="1">IFERROR(__xludf.DUMMYFUNCTION("IF(COUNTIFS($C$2:C287, C287, $A$2:A287, ""&lt;="" &amp; A287) &lt; 30, STDEV.P(FILTER($G$2:G287, $C$2:C287 = C287)), STDEV.P(FILTER($G$2:G287, $C$2:C287 = C287, $A$2:A287 &gt;= A287 - 30)))
"),"#DIV/0!")</f>
        <v>#DIV/0!</v>
      </c>
    </row>
    <row r="288" spans="1:14" x14ac:dyDescent="0.2">
      <c r="A288" s="37"/>
      <c r="B288" s="5"/>
      <c r="C288" s="35"/>
      <c r="D288" s="19"/>
      <c r="E288" s="19"/>
      <c r="F288" s="19"/>
      <c r="G288" s="19" t="e">
        <f t="shared" si="5"/>
        <v>#DIV/0!</v>
      </c>
      <c r="H288" s="20" t="str">
        <f ca="1">IFERROR(__xludf.DUMMYFUNCTION("IF(COUNTIFS($C$2:C288, C288, $A$2:A288, ""&lt;="" &amp; A288) &lt; 30, AVERAGEIF($C$2:C288, C288, $G$2:G288), AVERAGE(FILTER($G$2:G288, $C$2:C288 = C288, $A$2:A288 &gt;= A288 - 30)))
"),"#DIV/0!")</f>
        <v>#DIV/0!</v>
      </c>
      <c r="I288" s="20" t="e">
        <f t="shared" ca="1" si="6"/>
        <v>#DIV/0!</v>
      </c>
      <c r="J288" s="20" t="str">
        <f ca="1">IFERROR(__xludf.DUMMYFUNCTION("IF(OR($I288=2, $I288=3), 0, IFERROR(COUNTIFS($C$2:C288, $C288, $A$2:A289, ""&gt;""&amp;IFERROR(MAX(FILTER($A$2:A289, $C$2:C288=$C288, $I$2:I288&lt;&gt;1)), 0), $I$2:I288, 1),1))
"),"#DIV/0!")</f>
        <v>#DIV/0!</v>
      </c>
      <c r="K288" s="20" t="e">
        <f t="shared" ca="1" si="7"/>
        <v>#DIV/0!</v>
      </c>
      <c r="L288" s="20" t="e">
        <f t="shared" ca="1" si="8"/>
        <v>#DIV/0!</v>
      </c>
      <c r="M288" s="21" t="e">
        <f t="shared" ca="1" si="9"/>
        <v>#DIV/0!</v>
      </c>
      <c r="N288" s="20" t="str">
        <f ca="1">IFERROR(__xludf.DUMMYFUNCTION("IF(COUNTIFS($C$2:C288, C288, $A$2:A288, ""&lt;="" &amp; A288) &lt; 30, STDEV.P(FILTER($G$2:G288, $C$2:C288 = C288)), STDEV.P(FILTER($G$2:G288, $C$2:C288 = C288, $A$2:A288 &gt;= A288 - 30)))
"),"#DIV/0!")</f>
        <v>#DIV/0!</v>
      </c>
    </row>
    <row r="289" spans="1:14" x14ac:dyDescent="0.2">
      <c r="A289" s="37"/>
      <c r="B289" s="5"/>
      <c r="C289" s="35"/>
      <c r="D289" s="19"/>
      <c r="E289" s="19"/>
      <c r="F289" s="19"/>
      <c r="G289" s="19" t="e">
        <f t="shared" si="5"/>
        <v>#DIV/0!</v>
      </c>
      <c r="H289" s="20" t="str">
        <f ca="1">IFERROR(__xludf.DUMMYFUNCTION("IF(COUNTIFS($C$2:C289, C289, $A$2:A289, ""&lt;="" &amp; A289) &lt; 30, AVERAGEIF($C$2:C289, C289, $G$2:G289), AVERAGE(FILTER($G$2:G289, $C$2:C289 = C289, $A$2:A289 &gt;= A289 - 30)))
"),"#DIV/0!")</f>
        <v>#DIV/0!</v>
      </c>
      <c r="I289" s="20" t="e">
        <f t="shared" ca="1" si="6"/>
        <v>#DIV/0!</v>
      </c>
      <c r="J289" s="20" t="str">
        <f ca="1">IFERROR(__xludf.DUMMYFUNCTION("IF(OR($I289=2, $I289=3), 0, IFERROR(COUNTIFS($C$2:C289, $C289, $A$2:A290, ""&gt;""&amp;IFERROR(MAX(FILTER($A$2:A290, $C$2:C289=$C289, $I$2:I289&lt;&gt;1)), 0), $I$2:I289, 1),1))
"),"#DIV/0!")</f>
        <v>#DIV/0!</v>
      </c>
      <c r="K289" s="20" t="e">
        <f t="shared" ca="1" si="7"/>
        <v>#DIV/0!</v>
      </c>
      <c r="L289" s="20" t="e">
        <f t="shared" ca="1" si="8"/>
        <v>#DIV/0!</v>
      </c>
      <c r="M289" s="21" t="e">
        <f t="shared" ca="1" si="9"/>
        <v>#DIV/0!</v>
      </c>
      <c r="N289" s="20" t="str">
        <f ca="1">IFERROR(__xludf.DUMMYFUNCTION("IF(COUNTIFS($C$2:C289, C289, $A$2:A289, ""&lt;="" &amp; A289) &lt; 30, STDEV.P(FILTER($G$2:G289, $C$2:C289 = C289)), STDEV.P(FILTER($G$2:G289, $C$2:C289 = C289, $A$2:A289 &gt;= A289 - 30)))
"),"#DIV/0!")</f>
        <v>#DIV/0!</v>
      </c>
    </row>
    <row r="290" spans="1:14" x14ac:dyDescent="0.2">
      <c r="A290" s="37"/>
      <c r="B290" s="5"/>
      <c r="C290" s="35"/>
      <c r="D290" s="19"/>
      <c r="E290" s="19"/>
      <c r="F290" s="19"/>
      <c r="G290" s="19" t="e">
        <f t="shared" si="5"/>
        <v>#DIV/0!</v>
      </c>
      <c r="H290" s="20" t="str">
        <f ca="1">IFERROR(__xludf.DUMMYFUNCTION("IF(COUNTIFS($C$2:C290, C290, $A$2:A290, ""&lt;="" &amp; A290) &lt; 30, AVERAGEIF($C$2:C290, C290, $G$2:G290), AVERAGE(FILTER($G$2:G290, $C$2:C290 = C290, $A$2:A290 &gt;= A290 - 30)))
"),"#DIV/0!")</f>
        <v>#DIV/0!</v>
      </c>
      <c r="I290" s="20" t="e">
        <f t="shared" ca="1" si="6"/>
        <v>#DIV/0!</v>
      </c>
      <c r="J290" s="20" t="str">
        <f ca="1">IFERROR(__xludf.DUMMYFUNCTION("IF(OR($I290=2, $I290=3), 0, IFERROR(COUNTIFS($C$2:C290, $C290, $A$2:A291, ""&gt;""&amp;IFERROR(MAX(FILTER($A$2:A291, $C$2:C290=$C290, $I$2:I290&lt;&gt;1)), 0), $I$2:I290, 1),1))
"),"#DIV/0!")</f>
        <v>#DIV/0!</v>
      </c>
      <c r="K290" s="20" t="e">
        <f t="shared" ca="1" si="7"/>
        <v>#DIV/0!</v>
      </c>
      <c r="L290" s="20" t="e">
        <f t="shared" ca="1" si="8"/>
        <v>#DIV/0!</v>
      </c>
      <c r="M290" s="21" t="e">
        <f t="shared" ca="1" si="9"/>
        <v>#DIV/0!</v>
      </c>
      <c r="N290" s="20" t="str">
        <f ca="1">IFERROR(__xludf.DUMMYFUNCTION("IF(COUNTIFS($C$2:C290, C290, $A$2:A290, ""&lt;="" &amp; A290) &lt; 30, STDEV.P(FILTER($G$2:G290, $C$2:C290 = C290)), STDEV.P(FILTER($G$2:G290, $C$2:C290 = C290, $A$2:A290 &gt;= A290 - 30)))
"),"#DIV/0!")</f>
        <v>#DIV/0!</v>
      </c>
    </row>
    <row r="291" spans="1:14" x14ac:dyDescent="0.2">
      <c r="A291" s="37"/>
      <c r="B291" s="5"/>
      <c r="C291" s="35"/>
      <c r="D291" s="19"/>
      <c r="E291" s="19"/>
      <c r="F291" s="19"/>
      <c r="G291" s="19" t="e">
        <f t="shared" si="5"/>
        <v>#DIV/0!</v>
      </c>
      <c r="H291" s="20" t="str">
        <f ca="1">IFERROR(__xludf.DUMMYFUNCTION("IF(COUNTIFS($C$2:C291, C291, $A$2:A291, ""&lt;="" &amp; A291) &lt; 30, AVERAGEIF($C$2:C291, C291, $G$2:G291), AVERAGE(FILTER($G$2:G291, $C$2:C291 = C291, $A$2:A291 &gt;= A291 - 30)))
"),"#DIV/0!")</f>
        <v>#DIV/0!</v>
      </c>
      <c r="I291" s="20" t="e">
        <f t="shared" ca="1" si="6"/>
        <v>#DIV/0!</v>
      </c>
      <c r="J291" s="20" t="str">
        <f ca="1">IFERROR(__xludf.DUMMYFUNCTION("IF(OR($I291=2, $I291=3), 0, IFERROR(COUNTIFS($C$2:C291, $C291, $A$2:A292, ""&gt;""&amp;IFERROR(MAX(FILTER($A$2:A292, $C$2:C291=$C291, $I$2:I291&lt;&gt;1)), 0), $I$2:I291, 1),1))
"),"#DIV/0!")</f>
        <v>#DIV/0!</v>
      </c>
      <c r="K291" s="20" t="e">
        <f t="shared" ca="1" si="7"/>
        <v>#DIV/0!</v>
      </c>
      <c r="L291" s="20" t="e">
        <f t="shared" ca="1" si="8"/>
        <v>#DIV/0!</v>
      </c>
      <c r="M291" s="21" t="e">
        <f t="shared" ca="1" si="9"/>
        <v>#DIV/0!</v>
      </c>
      <c r="N291" s="20" t="str">
        <f ca="1">IFERROR(__xludf.DUMMYFUNCTION("IF(COUNTIFS($C$2:C291, C291, $A$2:A291, ""&lt;="" &amp; A291) &lt; 30, STDEV.P(FILTER($G$2:G291, $C$2:C291 = C291)), STDEV.P(FILTER($G$2:G291, $C$2:C291 = C291, $A$2:A291 &gt;= A291 - 30)))
"),"#DIV/0!")</f>
        <v>#DIV/0!</v>
      </c>
    </row>
    <row r="292" spans="1:14" x14ac:dyDescent="0.2">
      <c r="A292" s="37"/>
      <c r="B292" s="7"/>
      <c r="C292" s="35"/>
      <c r="D292" s="20"/>
      <c r="E292" s="20"/>
      <c r="F292" s="20"/>
      <c r="G292" s="19" t="e">
        <f t="shared" si="5"/>
        <v>#DIV/0!</v>
      </c>
      <c r="H292" s="20" t="str">
        <f ca="1">IFERROR(__xludf.DUMMYFUNCTION("IF(COUNTIFS($C$2:C292, C292, $A$2:A292, ""&lt;="" &amp; A292) &lt; 30, AVERAGEIF($C$2:C292, C292, $G$2:G292), AVERAGE(FILTER($G$2:G292, $C$2:C292 = C292, $A$2:A292 &gt;= A292 - 30)))
"),"#DIV/0!")</f>
        <v>#DIV/0!</v>
      </c>
      <c r="I292" s="20" t="e">
        <f t="shared" ca="1" si="6"/>
        <v>#DIV/0!</v>
      </c>
      <c r="J292" s="20" t="str">
        <f ca="1">IFERROR(__xludf.DUMMYFUNCTION("IF(OR($I292=2, $I292=3), 0, IFERROR(COUNTIFS($C$2:C292, $C292, $A$2:A293, ""&gt;""&amp;IFERROR(MAX(FILTER($A$2:A293, $C$2:C292=$C292, $I$2:I292&lt;&gt;1)), 0), $I$2:I292, 1),1))
"),"#DIV/0!")</f>
        <v>#DIV/0!</v>
      </c>
      <c r="K292" s="20" t="e">
        <f t="shared" ca="1" si="7"/>
        <v>#DIV/0!</v>
      </c>
      <c r="L292" s="20" t="e">
        <f t="shared" ca="1" si="8"/>
        <v>#DIV/0!</v>
      </c>
      <c r="M292" s="21" t="e">
        <f t="shared" ca="1" si="9"/>
        <v>#DIV/0!</v>
      </c>
      <c r="N292" s="20" t="str">
        <f ca="1">IFERROR(__xludf.DUMMYFUNCTION("IF(COUNTIFS($C$2:C292, C292, $A$2:A292, ""&lt;="" &amp; A292) &lt; 30, STDEV.P(FILTER($G$2:G292, $C$2:C292 = C292)), STDEV.P(FILTER($G$2:G292, $C$2:C292 = C292, $A$2:A292 &gt;= A292 - 30)))
"),"#DIV/0!")</f>
        <v>#DIV/0!</v>
      </c>
    </row>
    <row r="293" spans="1:14" x14ac:dyDescent="0.2">
      <c r="A293" s="37"/>
      <c r="B293" s="7"/>
      <c r="C293" s="35"/>
      <c r="D293" s="20"/>
      <c r="E293" s="20"/>
      <c r="F293" s="20"/>
      <c r="G293" s="19" t="e">
        <f t="shared" si="5"/>
        <v>#DIV/0!</v>
      </c>
      <c r="H293" s="20" t="str">
        <f ca="1">IFERROR(__xludf.DUMMYFUNCTION("IF(COUNTIFS($C$2:C293, C293, $A$2:A293, ""&lt;="" &amp; A293) &lt; 30, AVERAGEIF($C$2:C293, C293, $G$2:G293), AVERAGE(FILTER($G$2:G293, $C$2:C293 = C293, $A$2:A293 &gt;= A293 - 30)))
"),"#DIV/0!")</f>
        <v>#DIV/0!</v>
      </c>
      <c r="I293" s="20" t="e">
        <f t="shared" ca="1" si="6"/>
        <v>#DIV/0!</v>
      </c>
      <c r="J293" s="20" t="str">
        <f ca="1">IFERROR(__xludf.DUMMYFUNCTION("IF(OR($I293=2, $I293=3), 0, IFERROR(COUNTIFS($C$2:C293, $C293, $A$2:A294, ""&gt;""&amp;IFERROR(MAX(FILTER($A$2:A294, $C$2:C293=$C293, $I$2:I293&lt;&gt;1)), 0), $I$2:I293, 1),1))
"),"#DIV/0!")</f>
        <v>#DIV/0!</v>
      </c>
      <c r="K293" s="20" t="e">
        <f t="shared" ca="1" si="7"/>
        <v>#DIV/0!</v>
      </c>
      <c r="L293" s="20" t="e">
        <f t="shared" ca="1" si="8"/>
        <v>#DIV/0!</v>
      </c>
      <c r="M293" s="21" t="e">
        <f t="shared" ca="1" si="9"/>
        <v>#DIV/0!</v>
      </c>
      <c r="N293" s="20" t="str">
        <f ca="1">IFERROR(__xludf.DUMMYFUNCTION("IF(COUNTIFS($C$2:C293, C293, $A$2:A293, ""&lt;="" &amp; A293) &lt; 30, STDEV.P(FILTER($G$2:G293, $C$2:C293 = C293)), STDEV.P(FILTER($G$2:G293, $C$2:C293 = C293, $A$2:A293 &gt;= A293 - 30)))
"),"#DIV/0!")</f>
        <v>#DIV/0!</v>
      </c>
    </row>
    <row r="294" spans="1:14" x14ac:dyDescent="0.2">
      <c r="A294" s="37"/>
      <c r="B294" s="7"/>
      <c r="C294" s="35"/>
      <c r="D294" s="20"/>
      <c r="E294" s="20"/>
      <c r="F294" s="20"/>
      <c r="G294" s="19" t="e">
        <f t="shared" si="5"/>
        <v>#DIV/0!</v>
      </c>
      <c r="H294" s="20" t="str">
        <f ca="1">IFERROR(__xludf.DUMMYFUNCTION("IF(COUNTIFS($C$2:C294, C294, $A$2:A294, ""&lt;="" &amp; A294) &lt; 30, AVERAGEIF($C$2:C294, C294, $G$2:G294), AVERAGE(FILTER($G$2:G294, $C$2:C294 = C294, $A$2:A294 &gt;= A294 - 30)))
"),"#DIV/0!")</f>
        <v>#DIV/0!</v>
      </c>
      <c r="I294" s="20" t="e">
        <f t="shared" ca="1" si="6"/>
        <v>#DIV/0!</v>
      </c>
      <c r="J294" s="20" t="str">
        <f ca="1">IFERROR(__xludf.DUMMYFUNCTION("IF(OR($I294=2, $I294=3), 0, IFERROR(COUNTIFS($C$2:C294, $C294, $A$2:A295, ""&gt;""&amp;IFERROR(MAX(FILTER($A$2:A295, $C$2:C294=$C294, $I$2:I294&lt;&gt;1)), 0), $I$2:I294, 1),1))
"),"#DIV/0!")</f>
        <v>#DIV/0!</v>
      </c>
      <c r="K294" s="20" t="e">
        <f t="shared" ca="1" si="7"/>
        <v>#DIV/0!</v>
      </c>
      <c r="L294" s="20" t="e">
        <f t="shared" ca="1" si="8"/>
        <v>#DIV/0!</v>
      </c>
      <c r="M294" s="21" t="e">
        <f t="shared" ca="1" si="9"/>
        <v>#DIV/0!</v>
      </c>
      <c r="N294" s="20" t="str">
        <f ca="1">IFERROR(__xludf.DUMMYFUNCTION("IF(COUNTIFS($C$2:C294, C294, $A$2:A294, ""&lt;="" &amp; A294) &lt; 30, STDEV.P(FILTER($G$2:G294, $C$2:C294 = C294)), STDEV.P(FILTER($G$2:G294, $C$2:C294 = C294, $A$2:A294 &gt;= A294 - 30)))
"),"#DIV/0!")</f>
        <v>#DIV/0!</v>
      </c>
    </row>
    <row r="295" spans="1:14" x14ac:dyDescent="0.2">
      <c r="A295" s="37"/>
      <c r="B295" s="7"/>
      <c r="C295" s="35"/>
      <c r="D295" s="20"/>
      <c r="E295" s="20"/>
      <c r="F295" s="20"/>
      <c r="G295" s="19" t="e">
        <f t="shared" si="5"/>
        <v>#DIV/0!</v>
      </c>
      <c r="H295" s="20" t="str">
        <f ca="1">IFERROR(__xludf.DUMMYFUNCTION("IF(COUNTIFS($C$2:C295, C295, $A$2:A295, ""&lt;="" &amp; A295) &lt; 30, AVERAGEIF($C$2:C295, C295, $G$2:G295), AVERAGE(FILTER($G$2:G295, $C$2:C295 = C295, $A$2:A295 &gt;= A295 - 30)))
"),"#DIV/0!")</f>
        <v>#DIV/0!</v>
      </c>
      <c r="I295" s="20" t="e">
        <f t="shared" ca="1" si="6"/>
        <v>#DIV/0!</v>
      </c>
      <c r="J295" s="20" t="str">
        <f ca="1">IFERROR(__xludf.DUMMYFUNCTION("IF(OR($I295=2, $I295=3), 0, IFERROR(COUNTIFS($C$2:C295, $C295, $A$2:A296, ""&gt;""&amp;IFERROR(MAX(FILTER($A$2:A296, $C$2:C295=$C295, $I$2:I295&lt;&gt;1)), 0), $I$2:I295, 1),1))
"),"#DIV/0!")</f>
        <v>#DIV/0!</v>
      </c>
      <c r="K295" s="20" t="e">
        <f t="shared" ca="1" si="7"/>
        <v>#DIV/0!</v>
      </c>
      <c r="L295" s="20" t="e">
        <f t="shared" ca="1" si="8"/>
        <v>#DIV/0!</v>
      </c>
      <c r="M295" s="21" t="e">
        <f t="shared" ca="1" si="9"/>
        <v>#DIV/0!</v>
      </c>
      <c r="N295" s="20" t="str">
        <f ca="1">IFERROR(__xludf.DUMMYFUNCTION("IF(COUNTIFS($C$2:C295, C295, $A$2:A295, ""&lt;="" &amp; A295) &lt; 30, STDEV.P(FILTER($G$2:G295, $C$2:C295 = C295)), STDEV.P(FILTER($G$2:G295, $C$2:C295 = C295, $A$2:A295 &gt;= A295 - 30)))
"),"#DIV/0!")</f>
        <v>#DIV/0!</v>
      </c>
    </row>
    <row r="296" spans="1:14" x14ac:dyDescent="0.2">
      <c r="A296" s="37"/>
      <c r="B296" s="7"/>
      <c r="C296" s="35"/>
      <c r="D296" s="20"/>
      <c r="E296" s="20"/>
      <c r="F296" s="20"/>
      <c r="G296" s="19" t="e">
        <f t="shared" si="5"/>
        <v>#DIV/0!</v>
      </c>
      <c r="H296" s="20" t="str">
        <f ca="1">IFERROR(__xludf.DUMMYFUNCTION("IF(COUNTIFS($C$2:C296, C296, $A$2:A296, ""&lt;="" &amp; A296) &lt; 30, AVERAGEIF($C$2:C296, C296, $G$2:G296), AVERAGE(FILTER($G$2:G296, $C$2:C296 = C296, $A$2:A296 &gt;= A296 - 30)))
"),"#DIV/0!")</f>
        <v>#DIV/0!</v>
      </c>
      <c r="I296" s="20" t="e">
        <f t="shared" ca="1" si="6"/>
        <v>#DIV/0!</v>
      </c>
      <c r="J296" s="20" t="str">
        <f ca="1">IFERROR(__xludf.DUMMYFUNCTION("IF(OR($I296=2, $I296=3), 0, IFERROR(COUNTIFS($C$2:C296, $C296, $A$2:A297, ""&gt;""&amp;IFERROR(MAX(FILTER($A$2:A297, $C$2:C296=$C296, $I$2:I296&lt;&gt;1)), 0), $I$2:I296, 1),1))
"),"#DIV/0!")</f>
        <v>#DIV/0!</v>
      </c>
      <c r="K296" s="20" t="e">
        <f t="shared" ca="1" si="7"/>
        <v>#DIV/0!</v>
      </c>
      <c r="L296" s="20" t="e">
        <f t="shared" ca="1" si="8"/>
        <v>#DIV/0!</v>
      </c>
      <c r="M296" s="21" t="e">
        <f t="shared" ca="1" si="9"/>
        <v>#DIV/0!</v>
      </c>
      <c r="N296" s="20" t="str">
        <f ca="1">IFERROR(__xludf.DUMMYFUNCTION("IF(COUNTIFS($C$2:C296, C296, $A$2:A296, ""&lt;="" &amp; A296) &lt; 30, STDEV.P(FILTER($G$2:G296, $C$2:C296 = C296)), STDEV.P(FILTER($G$2:G296, $C$2:C296 = C296, $A$2:A296 &gt;= A296 - 30)))
"),"#DIV/0!")</f>
        <v>#DIV/0!</v>
      </c>
    </row>
    <row r="297" spans="1:14" x14ac:dyDescent="0.2">
      <c r="A297" s="37"/>
      <c r="B297" s="7"/>
      <c r="C297" s="35"/>
      <c r="D297" s="20"/>
      <c r="E297" s="20"/>
      <c r="F297" s="20"/>
      <c r="G297" s="19" t="e">
        <f t="shared" si="5"/>
        <v>#DIV/0!</v>
      </c>
      <c r="H297" s="20" t="str">
        <f ca="1">IFERROR(__xludf.DUMMYFUNCTION("IF(COUNTIFS($C$2:C297, C297, $A$2:A297, ""&lt;="" &amp; A297) &lt; 30, AVERAGEIF($C$2:C297, C297, $G$2:G297), AVERAGE(FILTER($G$2:G297, $C$2:C297 = C297, $A$2:A297 &gt;= A297 - 30)))
"),"#DIV/0!")</f>
        <v>#DIV/0!</v>
      </c>
      <c r="I297" s="20" t="e">
        <f t="shared" ca="1" si="6"/>
        <v>#DIV/0!</v>
      </c>
      <c r="J297" s="20" t="str">
        <f ca="1">IFERROR(__xludf.DUMMYFUNCTION("IF(OR($I297=2, $I297=3), 0, IFERROR(COUNTIFS($C$2:C297, $C297, $A$2:A298, ""&gt;""&amp;IFERROR(MAX(FILTER($A$2:A298, $C$2:C297=$C297, $I$2:I297&lt;&gt;1)), 0), $I$2:I297, 1),1))
"),"#DIV/0!")</f>
        <v>#DIV/0!</v>
      </c>
      <c r="K297" s="20" t="e">
        <f t="shared" ca="1" si="7"/>
        <v>#DIV/0!</v>
      </c>
      <c r="L297" s="20" t="e">
        <f t="shared" ca="1" si="8"/>
        <v>#DIV/0!</v>
      </c>
      <c r="M297" s="21" t="e">
        <f t="shared" ca="1" si="9"/>
        <v>#DIV/0!</v>
      </c>
      <c r="N297" s="20" t="str">
        <f ca="1">IFERROR(__xludf.DUMMYFUNCTION("IF(COUNTIFS($C$2:C297, C297, $A$2:A297, ""&lt;="" &amp; A297) &lt; 30, STDEV.P(FILTER($G$2:G297, $C$2:C297 = C297)), STDEV.P(FILTER($G$2:G297, $C$2:C297 = C297, $A$2:A297 &gt;= A297 - 30)))
"),"#DIV/0!")</f>
        <v>#DIV/0!</v>
      </c>
    </row>
    <row r="298" spans="1:14" x14ac:dyDescent="0.2">
      <c r="A298" s="37"/>
      <c r="B298" s="5"/>
      <c r="C298" s="35"/>
      <c r="D298" s="19"/>
      <c r="E298" s="19"/>
      <c r="F298" s="19"/>
      <c r="G298" s="19" t="e">
        <f t="shared" si="5"/>
        <v>#DIV/0!</v>
      </c>
      <c r="H298" s="20" t="str">
        <f ca="1">IFERROR(__xludf.DUMMYFUNCTION("IF(COUNTIFS($C$2:C298, C298, $A$2:A298, ""&lt;="" &amp; A298) &lt; 30, AVERAGEIF($C$2:C298, C298, $G$2:G298), AVERAGE(FILTER($G$2:G298, $C$2:C298 = C298, $A$2:A298 &gt;= A298 - 30)))
"),"#DIV/0!")</f>
        <v>#DIV/0!</v>
      </c>
      <c r="I298" s="20" t="e">
        <f t="shared" ca="1" si="6"/>
        <v>#DIV/0!</v>
      </c>
      <c r="J298" s="20" t="str">
        <f ca="1">IFERROR(__xludf.DUMMYFUNCTION("IF(OR($I298=2, $I298=3), 0, IFERROR(COUNTIFS($C$2:C298, $C298, $A$2:A299, ""&gt;""&amp;IFERROR(MAX(FILTER($A$2:A299, $C$2:C298=$C298, $I$2:I298&lt;&gt;1)), 0), $I$2:I298, 1),1))
"),"#DIV/0!")</f>
        <v>#DIV/0!</v>
      </c>
      <c r="K298" s="20" t="e">
        <f t="shared" ca="1" si="7"/>
        <v>#DIV/0!</v>
      </c>
      <c r="L298" s="20" t="e">
        <f t="shared" ca="1" si="8"/>
        <v>#DIV/0!</v>
      </c>
      <c r="M298" s="21" t="e">
        <f t="shared" ca="1" si="9"/>
        <v>#DIV/0!</v>
      </c>
      <c r="N298" s="36" t="str">
        <f ca="1">IFERROR(__xludf.DUMMYFUNCTION("IF(COUNTIFS($C$2:C298, C298, $A$2:A298, ""&lt;="" &amp; A298) &lt; 30, STDEV.P(FILTER($G$2:G298, $C$2:C298 = C298)), STDEV.P(FILTER($G$2:G298, $C$2:C298 = C298, $A$2:A298 &gt;= A298 - 30)))
"),"#DIV/0!")</f>
        <v>#DIV/0!</v>
      </c>
    </row>
    <row r="299" spans="1:14" x14ac:dyDescent="0.2">
      <c r="A299" s="38"/>
      <c r="B299" s="7"/>
      <c r="C299" s="35"/>
      <c r="D299" s="20"/>
      <c r="E299" s="20"/>
      <c r="F299" s="20"/>
      <c r="G299" s="19" t="e">
        <f t="shared" si="5"/>
        <v>#DIV/0!</v>
      </c>
      <c r="H299" s="20" t="str">
        <f ca="1">IFERROR(__xludf.DUMMYFUNCTION("IF(COUNTIFS($C$2:C299, C299, $A$2:A299, ""&lt;="" &amp; A299) &lt; 30, AVERAGEIF($C$2:C299, C299, $G$2:G299), AVERAGE(FILTER($G$2:G299, $C$2:C299 = C299, $A$2:A299 &gt;= A299 - 30)))
"),"#DIV/0!")</f>
        <v>#DIV/0!</v>
      </c>
      <c r="I299" s="20" t="e">
        <f t="shared" ca="1" si="6"/>
        <v>#DIV/0!</v>
      </c>
      <c r="J299" s="20" t="str">
        <f ca="1">IFERROR(__xludf.DUMMYFUNCTION("IF(OR($I299=2, $I299=3), 0, IFERROR(COUNTIFS($C$2:C299, $C299, $A$2:A300, ""&gt;""&amp;IFERROR(MAX(FILTER($A$2:A300, $C$2:C299=$C299, $I$2:I299&lt;&gt;1)), 0), $I$2:I299, 1),1))
"),"#DIV/0!")</f>
        <v>#DIV/0!</v>
      </c>
      <c r="K299" s="20" t="e">
        <f t="shared" ca="1" si="7"/>
        <v>#DIV/0!</v>
      </c>
      <c r="L299" s="20" t="e">
        <f t="shared" ca="1" si="8"/>
        <v>#DIV/0!</v>
      </c>
      <c r="M299" s="21" t="e">
        <f t="shared" ca="1" si="9"/>
        <v>#DIV/0!</v>
      </c>
      <c r="N299" s="22" t="str">
        <f ca="1">IFERROR(__xludf.DUMMYFUNCTION("IF(COUNTIFS($C$2:C299, C299, $A$2:A299, ""&lt;="" &amp; A299) &lt; 30, STDEV.P(FILTER($G$2:G299, $C$2:C299 = C299)), STDEV.P(FILTER($G$2:G299, $C$2:C299 = C299, $A$2:A299 &gt;= A299 - 30)))
"),"#DIV/0!")</f>
        <v>#DIV/0!</v>
      </c>
    </row>
    <row r="300" spans="1:14" x14ac:dyDescent="0.2">
      <c r="A300" s="38"/>
      <c r="B300" s="7"/>
      <c r="C300" s="35"/>
      <c r="D300" s="20"/>
      <c r="E300" s="20"/>
      <c r="F300" s="20"/>
      <c r="G300" s="19" t="e">
        <f t="shared" si="5"/>
        <v>#DIV/0!</v>
      </c>
      <c r="H300" s="20" t="str">
        <f ca="1">IFERROR(__xludf.DUMMYFUNCTION("IF(COUNTIFS($C$2:C300, C300, $A$2:A300, ""&lt;="" &amp; A300) &lt; 30, AVERAGEIF($C$2:C300, C300, $G$2:G300), AVERAGE(FILTER($G$2:G300, $C$2:C300 = C300, $A$2:A300 &gt;= A300 - 30)))
"),"#DIV/0!")</f>
        <v>#DIV/0!</v>
      </c>
      <c r="I300" s="20" t="e">
        <f t="shared" ca="1" si="6"/>
        <v>#DIV/0!</v>
      </c>
      <c r="J300" s="20" t="str">
        <f ca="1">IFERROR(__xludf.DUMMYFUNCTION("IF(OR($I300=2, $I300=3), 0, IFERROR(COUNTIFS($C$2:C300, $C300, $A$2:A301, ""&gt;""&amp;IFERROR(MAX(FILTER($A$2:A301, $C$2:C300=$C300, $I$2:I300&lt;&gt;1)), 0), $I$2:I300, 1),1))
"),"#DIV/0!")</f>
        <v>#DIV/0!</v>
      </c>
      <c r="K300" s="20" t="e">
        <f t="shared" ca="1" si="7"/>
        <v>#DIV/0!</v>
      </c>
      <c r="L300" s="20" t="e">
        <f t="shared" ca="1" si="8"/>
        <v>#DIV/0!</v>
      </c>
      <c r="M300" s="21" t="e">
        <f t="shared" ca="1" si="9"/>
        <v>#DIV/0!</v>
      </c>
      <c r="N300" s="22" t="str">
        <f ca="1">IFERROR(__xludf.DUMMYFUNCTION("IF(COUNTIFS($C$2:C300, C300, $A$2:A300, ""&lt;="" &amp; A300) &lt; 30, STDEV.P(FILTER($G$2:G300, $C$2:C300 = C300)), STDEV.P(FILTER($G$2:G300, $C$2:C300 = C300, $A$2:A300 &gt;= A300 - 30)))
"),"#DIV/0!")</f>
        <v>#DIV/0!</v>
      </c>
    </row>
    <row r="301" spans="1:14" x14ac:dyDescent="0.2">
      <c r="A301" s="38"/>
      <c r="B301" s="5"/>
      <c r="C301" s="35"/>
      <c r="D301" s="19"/>
      <c r="E301" s="19"/>
      <c r="F301" s="19"/>
      <c r="G301" s="19" t="e">
        <f t="shared" si="5"/>
        <v>#DIV/0!</v>
      </c>
      <c r="H301" s="20" t="str">
        <f ca="1">IFERROR(__xludf.DUMMYFUNCTION("IF(COUNTIFS($C$2:C301, C301, $A$2:A301, ""&lt;="" &amp; A301) &lt; 30, AVERAGEIF($C$2:C301, C301, $G$2:G301), AVERAGE(FILTER($G$2:G301, $C$2:C301 = C301, $A$2:A301 &gt;= A301 - 30)))
"),"#DIV/0!")</f>
        <v>#DIV/0!</v>
      </c>
      <c r="I301" s="20" t="e">
        <f t="shared" ca="1" si="6"/>
        <v>#DIV/0!</v>
      </c>
      <c r="J301" s="20" t="str">
        <f ca="1">IFERROR(__xludf.DUMMYFUNCTION("IF(OR($I301=2, $I301=3), 0, IFERROR(COUNTIFS($C$2:C301, $C301, $A$2:A302, ""&gt;""&amp;IFERROR(MAX(FILTER($A$2:A302, $C$2:C301=$C301, $I$2:I301&lt;&gt;1)), 0), $I$2:I301, 1),1))
"),"#DIV/0!")</f>
        <v>#DIV/0!</v>
      </c>
      <c r="K301" s="20" t="e">
        <f t="shared" ca="1" si="7"/>
        <v>#DIV/0!</v>
      </c>
      <c r="L301" s="20" t="e">
        <f t="shared" ca="1" si="8"/>
        <v>#DIV/0!</v>
      </c>
      <c r="M301" s="21" t="e">
        <f t="shared" ca="1" si="9"/>
        <v>#DIV/0!</v>
      </c>
      <c r="N301" s="22" t="str">
        <f ca="1">IFERROR(__xludf.DUMMYFUNCTION("IF(COUNTIFS($C$2:C301, C301, $A$2:A301, ""&lt;="" &amp; A301) &lt; 30, STDEV.P(FILTER($G$2:G301, $C$2:C301 = C301)), STDEV.P(FILTER($G$2:G301, $C$2:C301 = C301, $A$2:A301 &gt;= A301 - 30)))
"),"#DIV/0!")</f>
        <v>#DIV/0!</v>
      </c>
    </row>
    <row r="302" spans="1:14" x14ac:dyDescent="0.2">
      <c r="A302" s="38"/>
      <c r="B302" s="5"/>
      <c r="C302" s="35"/>
      <c r="D302" s="19"/>
      <c r="E302" s="19"/>
      <c r="F302" s="19"/>
      <c r="G302" s="19" t="e">
        <f t="shared" si="5"/>
        <v>#DIV/0!</v>
      </c>
      <c r="H302" s="20" t="str">
        <f ca="1">IFERROR(__xludf.DUMMYFUNCTION("IF(COUNTIFS($C$2:C302, C302, $A$2:A302, ""&lt;="" &amp; A302) &lt; 30, AVERAGEIF($C$2:C302, C302, $G$2:G302), AVERAGE(FILTER($G$2:G302, $C$2:C302 = C302, $A$2:A302 &gt;= A302 - 30)))
"),"#DIV/0!")</f>
        <v>#DIV/0!</v>
      </c>
      <c r="I302" s="20" t="e">
        <f t="shared" ca="1" si="6"/>
        <v>#DIV/0!</v>
      </c>
      <c r="J302" s="20" t="str">
        <f ca="1">IFERROR(__xludf.DUMMYFUNCTION("IF(OR($I302=2, $I302=3), 0, IFERROR(COUNTIFS($C$2:C302, $C302, $A$2:A303, ""&gt;""&amp;IFERROR(MAX(FILTER($A$2:A303, $C$2:C302=$C302, $I$2:I302&lt;&gt;1)), 0), $I$2:I302, 1),1))
"),"#DIV/0!")</f>
        <v>#DIV/0!</v>
      </c>
      <c r="K302" s="20" t="e">
        <f t="shared" ca="1" si="7"/>
        <v>#DIV/0!</v>
      </c>
      <c r="L302" s="20" t="e">
        <f t="shared" ca="1" si="8"/>
        <v>#DIV/0!</v>
      </c>
      <c r="M302" s="21" t="e">
        <f t="shared" ca="1" si="9"/>
        <v>#DIV/0!</v>
      </c>
      <c r="N302" s="22" t="str">
        <f ca="1">IFERROR(__xludf.DUMMYFUNCTION("IF(COUNTIFS($C$2:C302, C302, $A$2:A302, ""&lt;="" &amp; A302) &lt; 30, STDEV.P(FILTER($G$2:G302, $C$2:C302 = C302)), STDEV.P(FILTER($G$2:G302, $C$2:C302 = C302, $A$2:A302 &gt;= A302 - 30)))
"),"#DIV/0!")</f>
        <v>#DIV/0!</v>
      </c>
    </row>
    <row r="303" spans="1:14" x14ac:dyDescent="0.2">
      <c r="A303" s="38"/>
      <c r="B303" s="5"/>
      <c r="C303" s="35"/>
      <c r="D303" s="19"/>
      <c r="E303" s="19"/>
      <c r="F303" s="19"/>
      <c r="G303" s="19" t="e">
        <f t="shared" si="5"/>
        <v>#DIV/0!</v>
      </c>
      <c r="H303" s="20" t="str">
        <f ca="1">IFERROR(__xludf.DUMMYFUNCTION("IF(COUNTIFS($C$2:C303, C303, $A$2:A303, ""&lt;="" &amp; A303) &lt; 30, AVERAGEIF($C$2:C303, C303, $G$2:G303), AVERAGE(FILTER($G$2:G303, $C$2:C303 = C303, $A$2:A303 &gt;= A303 - 30)))
"),"#DIV/0!")</f>
        <v>#DIV/0!</v>
      </c>
      <c r="I303" s="20" t="e">
        <f t="shared" ca="1" si="6"/>
        <v>#DIV/0!</v>
      </c>
      <c r="J303" s="20" t="str">
        <f ca="1">IFERROR(__xludf.DUMMYFUNCTION("IF(OR($I303=2, $I303=3), 0, IFERROR(COUNTIFS($C$2:C303, $C303, $A$2:A304, ""&gt;""&amp;IFERROR(MAX(FILTER($A$2:A304, $C$2:C303=$C303, $I$2:I303&lt;&gt;1)), 0), $I$2:I303, 1),1))
"),"#DIV/0!")</f>
        <v>#DIV/0!</v>
      </c>
      <c r="K303" s="20" t="e">
        <f t="shared" ca="1" si="7"/>
        <v>#DIV/0!</v>
      </c>
      <c r="L303" s="20" t="e">
        <f t="shared" ca="1" si="8"/>
        <v>#DIV/0!</v>
      </c>
      <c r="M303" s="21" t="e">
        <f t="shared" ca="1" si="9"/>
        <v>#DIV/0!</v>
      </c>
      <c r="N303" s="22" t="str">
        <f ca="1">IFERROR(__xludf.DUMMYFUNCTION("IF(COUNTIFS($C$2:C303, C303, $A$2:A303, ""&lt;="" &amp; A303) &lt; 30, STDEV.P(FILTER($G$2:G303, $C$2:C303 = C303)), STDEV.P(FILTER($G$2:G303, $C$2:C303 = C303, $A$2:A303 &gt;= A303 - 30)))
"),"#DIV/0!")</f>
        <v>#DIV/0!</v>
      </c>
    </row>
    <row r="304" spans="1:14" x14ac:dyDescent="0.2">
      <c r="A304" s="38"/>
      <c r="B304" s="5"/>
      <c r="C304" s="35"/>
      <c r="D304" s="19"/>
      <c r="E304" s="19"/>
      <c r="F304" s="19"/>
      <c r="G304" s="19" t="e">
        <f t="shared" si="5"/>
        <v>#DIV/0!</v>
      </c>
      <c r="H304" s="20" t="str">
        <f ca="1">IFERROR(__xludf.DUMMYFUNCTION("IF(COUNTIFS($C$2:C304, C304, $A$2:A304, ""&lt;="" &amp; A304) &lt; 30, AVERAGEIF($C$2:C304, C304, $G$2:G304), AVERAGE(FILTER($G$2:G304, $C$2:C304 = C304, $A$2:A304 &gt;= A304 - 30)))
"),"#DIV/0!")</f>
        <v>#DIV/0!</v>
      </c>
      <c r="I304" s="20" t="e">
        <f t="shared" ca="1" si="6"/>
        <v>#DIV/0!</v>
      </c>
      <c r="J304" s="20" t="str">
        <f ca="1">IFERROR(__xludf.DUMMYFUNCTION("IF(OR($I304=2, $I304=3), 0, IFERROR(COUNTIFS($C$2:C304, $C304, $A$2:A305, ""&gt;""&amp;IFERROR(MAX(FILTER($A$2:A305, $C$2:C304=$C304, $I$2:I304&lt;&gt;1)), 0), $I$2:I304, 1),1))
"),"#DIV/0!")</f>
        <v>#DIV/0!</v>
      </c>
      <c r="K304" s="20" t="e">
        <f t="shared" ca="1" si="7"/>
        <v>#DIV/0!</v>
      </c>
      <c r="L304" s="20" t="e">
        <f t="shared" ca="1" si="8"/>
        <v>#DIV/0!</v>
      </c>
      <c r="M304" s="21" t="e">
        <f t="shared" ca="1" si="9"/>
        <v>#DIV/0!</v>
      </c>
      <c r="N304" s="22" t="str">
        <f ca="1">IFERROR(__xludf.DUMMYFUNCTION("IF(COUNTIFS($C$2:C304, C304, $A$2:A304, ""&lt;="" &amp; A304) &lt; 30, STDEV.P(FILTER($G$2:G304, $C$2:C304 = C304)), STDEV.P(FILTER($G$2:G304, $C$2:C304 = C304, $A$2:A304 &gt;= A304 - 30)))
"),"#DIV/0!")</f>
        <v>#DIV/0!</v>
      </c>
    </row>
    <row r="305" spans="1:14" x14ac:dyDescent="0.2">
      <c r="A305" s="38"/>
      <c r="B305" s="5"/>
      <c r="C305" s="35"/>
      <c r="D305" s="19"/>
      <c r="E305" s="19"/>
      <c r="F305" s="19"/>
      <c r="G305" s="19" t="e">
        <f t="shared" si="5"/>
        <v>#DIV/0!</v>
      </c>
      <c r="H305" s="20" t="str">
        <f ca="1">IFERROR(__xludf.DUMMYFUNCTION("IF(COUNTIFS($C$2:C305, C305, $A$2:A305, ""&lt;="" &amp; A305) &lt; 30, AVERAGEIF($C$2:C305, C305, $G$2:G305), AVERAGE(FILTER($G$2:G305, $C$2:C305 = C305, $A$2:A305 &gt;= A305 - 30)))
"),"#DIV/0!")</f>
        <v>#DIV/0!</v>
      </c>
      <c r="I305" s="20" t="e">
        <f t="shared" ca="1" si="6"/>
        <v>#DIV/0!</v>
      </c>
      <c r="J305" s="20" t="str">
        <f ca="1">IFERROR(__xludf.DUMMYFUNCTION("IF(OR($I305=2, $I305=3), 0, IFERROR(COUNTIFS($C$2:C305, $C305, $A$2:A306, ""&gt;""&amp;IFERROR(MAX(FILTER($A$2:A306, $C$2:C305=$C305, $I$2:I305&lt;&gt;1)), 0), $I$2:I305, 1),1))
"),"#DIV/0!")</f>
        <v>#DIV/0!</v>
      </c>
      <c r="K305" s="20" t="e">
        <f t="shared" ca="1" si="7"/>
        <v>#DIV/0!</v>
      </c>
      <c r="L305" s="20" t="e">
        <f t="shared" ca="1" si="8"/>
        <v>#DIV/0!</v>
      </c>
      <c r="M305" s="21" t="e">
        <f t="shared" ca="1" si="9"/>
        <v>#DIV/0!</v>
      </c>
      <c r="N305" s="22" t="str">
        <f ca="1">IFERROR(__xludf.DUMMYFUNCTION("IF(COUNTIFS($C$2:C305, C305, $A$2:A305, ""&lt;="" &amp; A305) &lt; 30, STDEV.P(FILTER($G$2:G305, $C$2:C305 = C305)), STDEV.P(FILTER($G$2:G305, $C$2:C305 = C305, $A$2:A305 &gt;= A305 - 30)))
"),"#DIV/0!")</f>
        <v>#DIV/0!</v>
      </c>
    </row>
    <row r="306" spans="1:14" x14ac:dyDescent="0.2">
      <c r="A306" s="38"/>
      <c r="B306" s="5"/>
      <c r="C306" s="35"/>
      <c r="D306" s="19"/>
      <c r="E306" s="19"/>
      <c r="F306" s="19"/>
      <c r="G306" s="19" t="e">
        <f t="shared" si="5"/>
        <v>#DIV/0!</v>
      </c>
      <c r="H306" s="20" t="str">
        <f ca="1">IFERROR(__xludf.DUMMYFUNCTION("IF(COUNTIFS($C$2:C306, C306, $A$2:A306, ""&lt;="" &amp; A306) &lt; 30, AVERAGEIF($C$2:C306, C306, $G$2:G306), AVERAGE(FILTER($G$2:G306, $C$2:C306 = C306, $A$2:A306 &gt;= A306 - 30)))
"),"#DIV/0!")</f>
        <v>#DIV/0!</v>
      </c>
      <c r="I306" s="20" t="e">
        <f t="shared" ca="1" si="6"/>
        <v>#DIV/0!</v>
      </c>
      <c r="J306" s="20" t="str">
        <f ca="1">IFERROR(__xludf.DUMMYFUNCTION("IF(OR($I306=2, $I306=3), 0, IFERROR(COUNTIFS($C$2:C306, $C306, $A$2:A307, ""&gt;""&amp;IFERROR(MAX(FILTER($A$2:A307, $C$2:C306=$C306, $I$2:I306&lt;&gt;1)), 0), $I$2:I306, 1),1))
"),"#DIV/0!")</f>
        <v>#DIV/0!</v>
      </c>
      <c r="K306" s="20" t="e">
        <f t="shared" ca="1" si="7"/>
        <v>#DIV/0!</v>
      </c>
      <c r="L306" s="20" t="e">
        <f t="shared" ca="1" si="8"/>
        <v>#DIV/0!</v>
      </c>
      <c r="M306" s="21" t="e">
        <f t="shared" ca="1" si="9"/>
        <v>#DIV/0!</v>
      </c>
      <c r="N306" s="22" t="str">
        <f ca="1">IFERROR(__xludf.DUMMYFUNCTION("IF(COUNTIFS($C$2:C306, C306, $A$2:A306, ""&lt;="" &amp; A306) &lt; 30, STDEV.P(FILTER($G$2:G306, $C$2:C306 = C306)), STDEV.P(FILTER($G$2:G306, $C$2:C306 = C306, $A$2:A306 &gt;= A306 - 30)))
"),"#DIV/0!")</f>
        <v>#DIV/0!</v>
      </c>
    </row>
    <row r="307" spans="1:14" x14ac:dyDescent="0.2">
      <c r="A307" s="38"/>
      <c r="B307" s="5"/>
      <c r="C307" s="35"/>
      <c r="D307" s="19"/>
      <c r="E307" s="19"/>
      <c r="F307" s="19"/>
      <c r="G307" s="19" t="e">
        <f t="shared" si="5"/>
        <v>#DIV/0!</v>
      </c>
      <c r="H307" s="20" t="str">
        <f ca="1">IFERROR(__xludf.DUMMYFUNCTION("IF(COUNTIFS($C$2:C307, C307, $A$2:A307, ""&lt;="" &amp; A307) &lt; 30, AVERAGEIF($C$2:C307, C307, $G$2:G307), AVERAGE(FILTER($G$2:G307, $C$2:C307 = C307, $A$2:A307 &gt;= A307 - 30)))
"),"#DIV/0!")</f>
        <v>#DIV/0!</v>
      </c>
      <c r="I307" s="20" t="e">
        <f t="shared" ca="1" si="6"/>
        <v>#DIV/0!</v>
      </c>
      <c r="J307" s="20" t="str">
        <f ca="1">IFERROR(__xludf.DUMMYFUNCTION("IF(OR($I307=2, $I307=3), 0, IFERROR(COUNTIFS($C$2:C307, $C307, $A$2:A308, ""&gt;""&amp;IFERROR(MAX(FILTER($A$2:A308, $C$2:C307=$C307, $I$2:I307&lt;&gt;1)), 0), $I$2:I307, 1),1))
"),"#DIV/0!")</f>
        <v>#DIV/0!</v>
      </c>
      <c r="K307" s="20" t="e">
        <f t="shared" ca="1" si="7"/>
        <v>#DIV/0!</v>
      </c>
      <c r="L307" s="20" t="e">
        <f t="shared" ca="1" si="8"/>
        <v>#DIV/0!</v>
      </c>
      <c r="M307" s="21" t="e">
        <f t="shared" ca="1" si="9"/>
        <v>#DIV/0!</v>
      </c>
      <c r="N307" s="22" t="str">
        <f ca="1">IFERROR(__xludf.DUMMYFUNCTION("IF(COUNTIFS($C$2:C307, C307, $A$2:A307, ""&lt;="" &amp; A307) &lt; 30, STDEV.P(FILTER($G$2:G307, $C$2:C307 = C307)), STDEV.P(FILTER($G$2:G307, $C$2:C307 = C307, $A$2:A307 &gt;= A307 - 30)))
"),"#DIV/0!")</f>
        <v>#DIV/0!</v>
      </c>
    </row>
    <row r="308" spans="1:14" x14ac:dyDescent="0.2">
      <c r="A308" s="38"/>
      <c r="B308" s="5"/>
      <c r="C308" s="35"/>
      <c r="D308" s="19"/>
      <c r="E308" s="19"/>
      <c r="F308" s="19"/>
      <c r="G308" s="19" t="e">
        <f t="shared" si="5"/>
        <v>#DIV/0!</v>
      </c>
      <c r="H308" s="20" t="str">
        <f ca="1">IFERROR(__xludf.DUMMYFUNCTION("IF(COUNTIFS($C$2:C308, C308, $A$2:A308, ""&lt;="" &amp; A308) &lt; 30, AVERAGEIF($C$2:C308, C308, $G$2:G308), AVERAGE(FILTER($G$2:G308, $C$2:C308 = C308, $A$2:A308 &gt;= A308 - 30)))
"),"#DIV/0!")</f>
        <v>#DIV/0!</v>
      </c>
      <c r="I308" s="20" t="e">
        <f t="shared" ca="1" si="6"/>
        <v>#DIV/0!</v>
      </c>
      <c r="J308" s="20" t="str">
        <f ca="1">IFERROR(__xludf.DUMMYFUNCTION("IF(OR($I308=2, $I308=3), 0, IFERROR(COUNTIFS($C$2:C308, $C308, $A$2:A309, ""&gt;""&amp;IFERROR(MAX(FILTER($A$2:A309, $C$2:C308=$C308, $I$2:I308&lt;&gt;1)), 0), $I$2:I308, 1),1))
"),"#DIV/0!")</f>
        <v>#DIV/0!</v>
      </c>
      <c r="K308" s="20" t="e">
        <f t="shared" ca="1" si="7"/>
        <v>#DIV/0!</v>
      </c>
      <c r="L308" s="20" t="e">
        <f t="shared" ca="1" si="8"/>
        <v>#DIV/0!</v>
      </c>
      <c r="M308" s="21" t="e">
        <f t="shared" ca="1" si="9"/>
        <v>#DIV/0!</v>
      </c>
      <c r="N308" s="22" t="str">
        <f ca="1">IFERROR(__xludf.DUMMYFUNCTION("IF(COUNTIFS($C$2:C308, C308, $A$2:A308, ""&lt;="" &amp; A308) &lt; 30, STDEV.P(FILTER($G$2:G308, $C$2:C308 = C308)), STDEV.P(FILTER($G$2:G308, $C$2:C308 = C308, $A$2:A308 &gt;= A308 - 30)))
"),"#DIV/0!")</f>
        <v>#DIV/0!</v>
      </c>
    </row>
    <row r="309" spans="1:14" x14ac:dyDescent="0.2">
      <c r="A309" s="38"/>
      <c r="B309" s="7"/>
      <c r="C309" s="35"/>
      <c r="D309" s="20"/>
      <c r="E309" s="20"/>
      <c r="F309" s="20"/>
      <c r="G309" s="19" t="e">
        <f t="shared" si="5"/>
        <v>#DIV/0!</v>
      </c>
      <c r="H309" s="20" t="str">
        <f ca="1">IFERROR(__xludf.DUMMYFUNCTION("IF(COUNTIFS($C$2:C309, C309, $A$2:A309, ""&lt;="" &amp; A309) &lt; 30, AVERAGEIF($C$2:C309, C309, $G$2:G309), AVERAGE(FILTER($G$2:G309, $C$2:C309 = C309, $A$2:A309 &gt;= A309 - 30)))
"),"#DIV/0!")</f>
        <v>#DIV/0!</v>
      </c>
      <c r="I309" s="20" t="e">
        <f t="shared" ca="1" si="6"/>
        <v>#DIV/0!</v>
      </c>
      <c r="J309" s="20" t="str">
        <f ca="1">IFERROR(__xludf.DUMMYFUNCTION("IF(OR($I309=2, $I309=3), 0, IFERROR(COUNTIFS($C$2:C309, $C309, $A$2:A310, ""&gt;""&amp;IFERROR(MAX(FILTER($A$2:A310, $C$2:C309=$C309, $I$2:I309&lt;&gt;1)), 0), $I$2:I309, 1),1))
"),"#DIV/0!")</f>
        <v>#DIV/0!</v>
      </c>
      <c r="K309" s="20" t="e">
        <f t="shared" ca="1" si="7"/>
        <v>#DIV/0!</v>
      </c>
      <c r="L309" s="20" t="e">
        <f t="shared" ca="1" si="8"/>
        <v>#DIV/0!</v>
      </c>
      <c r="M309" s="21" t="e">
        <f t="shared" ca="1" si="9"/>
        <v>#DIV/0!</v>
      </c>
      <c r="N309" s="22" t="str">
        <f ca="1">IFERROR(__xludf.DUMMYFUNCTION("IF(COUNTIFS($C$2:C309, C309, $A$2:A309, ""&lt;="" &amp; A309) &lt; 30, STDEV.P(FILTER($G$2:G309, $C$2:C309 = C309)), STDEV.P(FILTER($G$2:G309, $C$2:C309 = C309, $A$2:A309 &gt;= A309 - 30)))
"),"#DIV/0!")</f>
        <v>#DIV/0!</v>
      </c>
    </row>
    <row r="310" spans="1:14" x14ac:dyDescent="0.2">
      <c r="A310" s="38"/>
      <c r="B310" s="7"/>
      <c r="C310" s="35"/>
      <c r="D310" s="20"/>
      <c r="E310" s="20"/>
      <c r="F310" s="20"/>
      <c r="G310" s="19" t="e">
        <f t="shared" si="5"/>
        <v>#DIV/0!</v>
      </c>
      <c r="H310" s="20" t="str">
        <f ca="1">IFERROR(__xludf.DUMMYFUNCTION("IF(COUNTIFS($C$2:C310, C310, $A$2:A310, ""&lt;="" &amp; A310) &lt; 30, AVERAGEIF($C$2:C310, C310, $G$2:G310), AVERAGE(FILTER($G$2:G310, $C$2:C310 = C310, $A$2:A310 &gt;= A310 - 30)))
"),"#DIV/0!")</f>
        <v>#DIV/0!</v>
      </c>
      <c r="I310" s="20" t="e">
        <f t="shared" ca="1" si="6"/>
        <v>#DIV/0!</v>
      </c>
      <c r="J310" s="20" t="str">
        <f ca="1">IFERROR(__xludf.DUMMYFUNCTION("IF(OR($I310=2, $I310=3), 0, IFERROR(COUNTIFS($C$2:C310, $C310, $A$2:A311, ""&gt;""&amp;IFERROR(MAX(FILTER($A$2:A311, $C$2:C310=$C310, $I$2:I310&lt;&gt;1)), 0), $I$2:I310, 1),1))
"),"#DIV/0!")</f>
        <v>#DIV/0!</v>
      </c>
      <c r="K310" s="20" t="e">
        <f t="shared" ca="1" si="7"/>
        <v>#DIV/0!</v>
      </c>
      <c r="L310" s="20" t="e">
        <f t="shared" ca="1" si="8"/>
        <v>#DIV/0!</v>
      </c>
      <c r="M310" s="21" t="e">
        <f t="shared" ca="1" si="9"/>
        <v>#DIV/0!</v>
      </c>
      <c r="N310" s="22" t="str">
        <f ca="1">IFERROR(__xludf.DUMMYFUNCTION("IF(COUNTIFS($C$2:C310, C310, $A$2:A310, ""&lt;="" &amp; A310) &lt; 30, STDEV.P(FILTER($G$2:G310, $C$2:C310 = C310)), STDEV.P(FILTER($G$2:G310, $C$2:C310 = C310, $A$2:A310 &gt;= A310 - 30)))
"),"#DIV/0!")</f>
        <v>#DIV/0!</v>
      </c>
    </row>
    <row r="311" spans="1:14" x14ac:dyDescent="0.2">
      <c r="A311" s="38"/>
      <c r="B311" s="7"/>
      <c r="C311" s="35"/>
      <c r="D311" s="20"/>
      <c r="E311" s="20"/>
      <c r="F311" s="20"/>
      <c r="G311" s="19" t="e">
        <f t="shared" si="5"/>
        <v>#DIV/0!</v>
      </c>
      <c r="H311" s="20" t="str">
        <f ca="1">IFERROR(__xludf.DUMMYFUNCTION("IF(COUNTIFS($C$2:C311, C311, $A$2:A311, ""&lt;="" &amp; A311) &lt; 30, AVERAGEIF($C$2:C311, C311, $G$2:G311), AVERAGE(FILTER($G$2:G311, $C$2:C311 = C311, $A$2:A311 &gt;= A311 - 30)))
"),"#DIV/0!")</f>
        <v>#DIV/0!</v>
      </c>
      <c r="I311" s="20" t="e">
        <f t="shared" ca="1" si="6"/>
        <v>#DIV/0!</v>
      </c>
      <c r="J311" s="20" t="str">
        <f ca="1">IFERROR(__xludf.DUMMYFUNCTION("IF(OR($I311=2, $I311=3), 0, IFERROR(COUNTIFS($C$2:C311, $C311, $A$2:A312, ""&gt;""&amp;IFERROR(MAX(FILTER($A$2:A312, $C$2:C311=$C311, $I$2:I311&lt;&gt;1)), 0), $I$2:I311, 1),1))
"),"#DIV/0!")</f>
        <v>#DIV/0!</v>
      </c>
      <c r="K311" s="20" t="e">
        <f t="shared" ca="1" si="7"/>
        <v>#DIV/0!</v>
      </c>
      <c r="L311" s="20" t="e">
        <f t="shared" ca="1" si="8"/>
        <v>#DIV/0!</v>
      </c>
      <c r="M311" s="21" t="e">
        <f t="shared" ca="1" si="9"/>
        <v>#DIV/0!</v>
      </c>
      <c r="N311" s="22" t="str">
        <f ca="1">IFERROR(__xludf.DUMMYFUNCTION("IF(COUNTIFS($C$2:C311, C311, $A$2:A311, ""&lt;="" &amp; A311) &lt; 30, STDEV.P(FILTER($G$2:G311, $C$2:C311 = C311)), STDEV.P(FILTER($G$2:G311, $C$2:C311 = C311, $A$2:A311 &gt;= A311 - 30)))
"),"#DIV/0!")</f>
        <v>#DIV/0!</v>
      </c>
    </row>
    <row r="312" spans="1:14" x14ac:dyDescent="0.2">
      <c r="A312" s="38"/>
      <c r="B312" s="7"/>
      <c r="C312" s="35"/>
      <c r="D312" s="20"/>
      <c r="E312" s="20"/>
      <c r="F312" s="20"/>
      <c r="G312" s="19" t="e">
        <f t="shared" si="5"/>
        <v>#DIV/0!</v>
      </c>
      <c r="H312" s="20" t="str">
        <f ca="1">IFERROR(__xludf.DUMMYFUNCTION("IF(COUNTIFS($C$2:C312, C312, $A$2:A312, ""&lt;="" &amp; A312) &lt; 30, AVERAGEIF($C$2:C312, C312, $G$2:G312), AVERAGE(FILTER($G$2:G312, $C$2:C312 = C312, $A$2:A312 &gt;= A312 - 30)))
"),"#DIV/0!")</f>
        <v>#DIV/0!</v>
      </c>
      <c r="I312" s="20" t="e">
        <f t="shared" ca="1" si="6"/>
        <v>#DIV/0!</v>
      </c>
      <c r="J312" s="20" t="str">
        <f ca="1">IFERROR(__xludf.DUMMYFUNCTION("IF(OR($I312=2, $I312=3), 0, IFERROR(COUNTIFS($C$2:C312, $C312, $A$2:A313, ""&gt;""&amp;IFERROR(MAX(FILTER($A$2:A313, $C$2:C312=$C312, $I$2:I312&lt;&gt;1)), 0), $I$2:I312, 1),1))
"),"#DIV/0!")</f>
        <v>#DIV/0!</v>
      </c>
      <c r="K312" s="20" t="e">
        <f t="shared" ca="1" si="7"/>
        <v>#DIV/0!</v>
      </c>
      <c r="L312" s="20" t="e">
        <f t="shared" ca="1" si="8"/>
        <v>#DIV/0!</v>
      </c>
      <c r="M312" s="21" t="e">
        <f t="shared" ca="1" si="9"/>
        <v>#DIV/0!</v>
      </c>
      <c r="N312" s="22" t="str">
        <f ca="1">IFERROR(__xludf.DUMMYFUNCTION("IF(COUNTIFS($C$2:C312, C312, $A$2:A312, ""&lt;="" &amp; A312) &lt; 30, STDEV.P(FILTER($G$2:G312, $C$2:C312 = C312)), STDEV.P(FILTER($G$2:G312, $C$2:C312 = C312, $A$2:A312 &gt;= A312 - 30)))
"),"#DIV/0!")</f>
        <v>#DIV/0!</v>
      </c>
    </row>
    <row r="313" spans="1:14" x14ac:dyDescent="0.2">
      <c r="A313" s="38"/>
      <c r="B313" s="7"/>
      <c r="C313" s="35"/>
      <c r="D313" s="20"/>
      <c r="E313" s="20"/>
      <c r="F313" s="20"/>
      <c r="G313" s="19" t="e">
        <f t="shared" si="5"/>
        <v>#DIV/0!</v>
      </c>
      <c r="H313" s="20" t="str">
        <f ca="1">IFERROR(__xludf.DUMMYFUNCTION("IF(COUNTIFS($C$2:C313, C313, $A$2:A313, ""&lt;="" &amp; A313) &lt; 30, AVERAGEIF($C$2:C313, C313, $G$2:G313), AVERAGE(FILTER($G$2:G313, $C$2:C313 = C313, $A$2:A313 &gt;= A313 - 30)))
"),"#DIV/0!")</f>
        <v>#DIV/0!</v>
      </c>
      <c r="I313" s="20" t="e">
        <f t="shared" ca="1" si="6"/>
        <v>#DIV/0!</v>
      </c>
      <c r="J313" s="20" t="str">
        <f ca="1">IFERROR(__xludf.DUMMYFUNCTION("IF(OR($I313=2, $I313=3), 0, IFERROR(COUNTIFS($C$2:C313, $C313, $A$2:A314, ""&gt;""&amp;IFERROR(MAX(FILTER($A$2:A314, $C$2:C313=$C313, $I$2:I313&lt;&gt;1)), 0), $I$2:I313, 1),1))
"),"#DIV/0!")</f>
        <v>#DIV/0!</v>
      </c>
      <c r="K313" s="20" t="e">
        <f t="shared" ca="1" si="7"/>
        <v>#DIV/0!</v>
      </c>
      <c r="L313" s="20" t="e">
        <f t="shared" ca="1" si="8"/>
        <v>#DIV/0!</v>
      </c>
      <c r="M313" s="21" t="e">
        <f t="shared" ca="1" si="9"/>
        <v>#DIV/0!</v>
      </c>
      <c r="N313" s="22" t="str">
        <f ca="1">IFERROR(__xludf.DUMMYFUNCTION("IF(COUNTIFS($C$2:C313, C313, $A$2:A313, ""&lt;="" &amp; A313) &lt; 30, STDEV.P(FILTER($G$2:G313, $C$2:C313 = C313)), STDEV.P(FILTER($G$2:G313, $C$2:C313 = C313, $A$2:A313 &gt;= A313 - 30)))
"),"#DIV/0!")</f>
        <v>#DIV/0!</v>
      </c>
    </row>
    <row r="314" spans="1:14" x14ac:dyDescent="0.2">
      <c r="A314" s="38"/>
      <c r="B314" s="5"/>
      <c r="C314" s="35"/>
      <c r="D314" s="19"/>
      <c r="E314" s="19"/>
      <c r="F314" s="19"/>
      <c r="G314" s="19" t="e">
        <f t="shared" si="5"/>
        <v>#DIV/0!</v>
      </c>
      <c r="H314" s="20" t="str">
        <f ca="1">IFERROR(__xludf.DUMMYFUNCTION("IF(COUNTIFS($C$2:C314, C314, $A$2:A314, ""&lt;="" &amp; A314) &lt; 30, AVERAGEIF($C$2:C314, C314, $G$2:G314), AVERAGE(FILTER($G$2:G314, $C$2:C314 = C314, $A$2:A314 &gt;= A314 - 30)))
"),"#DIV/0!")</f>
        <v>#DIV/0!</v>
      </c>
      <c r="I314" s="20" t="e">
        <f t="shared" ca="1" si="6"/>
        <v>#DIV/0!</v>
      </c>
      <c r="J314" s="20" t="str">
        <f ca="1">IFERROR(__xludf.DUMMYFUNCTION("IF(OR($I314=2, $I314=3), 0, IFERROR(COUNTIFS($C$2:C314, $C314, $A$2:A315, ""&gt;""&amp;IFERROR(MAX(FILTER($A$2:A315, $C$2:C314=$C314, $I$2:I314&lt;&gt;1)), 0), $I$2:I314, 1),1))
"),"#DIV/0!")</f>
        <v>#DIV/0!</v>
      </c>
      <c r="K314" s="20" t="e">
        <f t="shared" ca="1" si="7"/>
        <v>#DIV/0!</v>
      </c>
      <c r="L314" s="20" t="e">
        <f t="shared" ca="1" si="8"/>
        <v>#DIV/0!</v>
      </c>
      <c r="M314" s="21" t="e">
        <f t="shared" ca="1" si="9"/>
        <v>#DIV/0!</v>
      </c>
      <c r="N314" s="22" t="str">
        <f ca="1">IFERROR(__xludf.DUMMYFUNCTION("IF(COUNTIFS($C$2:C314, C314, $A$2:A314, ""&lt;="" &amp; A314) &lt; 30, STDEV.P(FILTER($G$2:G314, $C$2:C314 = C314)), STDEV.P(FILTER($G$2:G314, $C$2:C314 = C314, $A$2:A314 &gt;= A314 - 30)))
"),"#DIV/0!")</f>
        <v>#DIV/0!</v>
      </c>
    </row>
    <row r="315" spans="1:14" x14ac:dyDescent="0.2">
      <c r="A315" s="38"/>
      <c r="B315" s="5"/>
      <c r="C315" s="35"/>
      <c r="D315" s="19"/>
      <c r="E315" s="19"/>
      <c r="F315" s="19"/>
      <c r="G315" s="19" t="e">
        <f t="shared" si="5"/>
        <v>#DIV/0!</v>
      </c>
      <c r="H315" s="20" t="str">
        <f ca="1">IFERROR(__xludf.DUMMYFUNCTION("IF(COUNTIFS($C$2:C315, C315, $A$2:A315, ""&lt;="" &amp; A315) &lt; 30, AVERAGEIF($C$2:C315, C315, $G$2:G315), AVERAGE(FILTER($G$2:G315, $C$2:C315 = C315, $A$2:A315 &gt;= A315 - 30)))
"),"#DIV/0!")</f>
        <v>#DIV/0!</v>
      </c>
      <c r="I315" s="20" t="e">
        <f t="shared" ca="1" si="6"/>
        <v>#DIV/0!</v>
      </c>
      <c r="J315" s="20" t="str">
        <f ca="1">IFERROR(__xludf.DUMMYFUNCTION("IF(OR($I315=2, $I315=3), 0, IFERROR(COUNTIFS($C$2:C315, $C315, $A$2:A316, ""&gt;""&amp;IFERROR(MAX(FILTER($A$2:A316, $C$2:C315=$C315, $I$2:I315&lt;&gt;1)), 0), $I$2:I315, 1),1))
"),"#DIV/0!")</f>
        <v>#DIV/0!</v>
      </c>
      <c r="K315" s="20" t="e">
        <f t="shared" ca="1" si="7"/>
        <v>#DIV/0!</v>
      </c>
      <c r="L315" s="20" t="e">
        <f t="shared" ca="1" si="8"/>
        <v>#DIV/0!</v>
      </c>
      <c r="M315" s="21" t="e">
        <f t="shared" ca="1" si="9"/>
        <v>#DIV/0!</v>
      </c>
      <c r="N315" s="22" t="str">
        <f ca="1">IFERROR(__xludf.DUMMYFUNCTION("IF(COUNTIFS($C$2:C315, C315, $A$2:A315, ""&lt;="" &amp; A315) &lt; 30, STDEV.P(FILTER($G$2:G315, $C$2:C315 = C315)), STDEV.P(FILTER($G$2:G315, $C$2:C315 = C315, $A$2:A315 &gt;= A315 - 30)))
"),"#DIV/0!")</f>
        <v>#DIV/0!</v>
      </c>
    </row>
    <row r="316" spans="1:14" x14ac:dyDescent="0.2">
      <c r="A316" s="38"/>
      <c r="B316" s="5"/>
      <c r="C316" s="35"/>
      <c r="D316" s="19"/>
      <c r="E316" s="19"/>
      <c r="F316" s="19"/>
      <c r="G316" s="19" t="e">
        <f t="shared" si="5"/>
        <v>#DIV/0!</v>
      </c>
      <c r="H316" s="20" t="str">
        <f ca="1">IFERROR(__xludf.DUMMYFUNCTION("IF(COUNTIFS($C$2:C316, C316, $A$2:A316, ""&lt;="" &amp; A316) &lt; 30, AVERAGEIF($C$2:C316, C316, $G$2:G316), AVERAGE(FILTER($G$2:G316, $C$2:C316 = C316, $A$2:A316 &gt;= A316 - 30)))
"),"#DIV/0!")</f>
        <v>#DIV/0!</v>
      </c>
      <c r="I316" s="20" t="e">
        <f t="shared" ca="1" si="6"/>
        <v>#DIV/0!</v>
      </c>
      <c r="J316" s="20" t="str">
        <f ca="1">IFERROR(__xludf.DUMMYFUNCTION("IF(OR($I316=2, $I316=3), 0, IFERROR(COUNTIFS($C$2:C316, $C316, $A$2:A317, ""&gt;""&amp;IFERROR(MAX(FILTER($A$2:A317, $C$2:C316=$C316, $I$2:I316&lt;&gt;1)), 0), $I$2:I316, 1),1))
"),"#DIV/0!")</f>
        <v>#DIV/0!</v>
      </c>
      <c r="K316" s="20" t="e">
        <f t="shared" ca="1" si="7"/>
        <v>#DIV/0!</v>
      </c>
      <c r="L316" s="20" t="e">
        <f t="shared" ca="1" si="8"/>
        <v>#DIV/0!</v>
      </c>
      <c r="M316" s="21" t="e">
        <f t="shared" ca="1" si="9"/>
        <v>#DIV/0!</v>
      </c>
      <c r="N316" s="22" t="str">
        <f ca="1">IFERROR(__xludf.DUMMYFUNCTION("IF(COUNTIFS($C$2:C316, C316, $A$2:A316, ""&lt;="" &amp; A316) &lt; 30, STDEV.P(FILTER($G$2:G316, $C$2:C316 = C316)), STDEV.P(FILTER($G$2:G316, $C$2:C316 = C316, $A$2:A316 &gt;= A316 - 30)))
"),"#DIV/0!")</f>
        <v>#DIV/0!</v>
      </c>
    </row>
    <row r="317" spans="1:14" x14ac:dyDescent="0.2">
      <c r="A317" s="38"/>
      <c r="B317" s="5"/>
      <c r="C317" s="35"/>
      <c r="D317" s="19"/>
      <c r="E317" s="19"/>
      <c r="F317" s="19"/>
      <c r="G317" s="19" t="e">
        <f t="shared" si="5"/>
        <v>#DIV/0!</v>
      </c>
      <c r="H317" s="20" t="str">
        <f ca="1">IFERROR(__xludf.DUMMYFUNCTION("IF(COUNTIFS($C$2:C317, C317, $A$2:A317, ""&lt;="" &amp; A317) &lt; 30, AVERAGEIF($C$2:C317, C317, $G$2:G317), AVERAGE(FILTER($G$2:G317, $C$2:C317 = C317, $A$2:A317 &gt;= A317 - 30)))
"),"#DIV/0!")</f>
        <v>#DIV/0!</v>
      </c>
      <c r="I317" s="20" t="e">
        <f t="shared" ca="1" si="6"/>
        <v>#DIV/0!</v>
      </c>
      <c r="J317" s="20" t="str">
        <f ca="1">IFERROR(__xludf.DUMMYFUNCTION("IF(OR($I317=2, $I317=3), 0, IFERROR(COUNTIFS($C$2:C317, $C317, $A$2:A318, ""&gt;""&amp;IFERROR(MAX(FILTER($A$2:A318, $C$2:C317=$C317, $I$2:I317&lt;&gt;1)), 0), $I$2:I317, 1),1))
"),"#DIV/0!")</f>
        <v>#DIV/0!</v>
      </c>
      <c r="K317" s="20" t="e">
        <f t="shared" ca="1" si="7"/>
        <v>#DIV/0!</v>
      </c>
      <c r="L317" s="20" t="e">
        <f t="shared" ca="1" si="8"/>
        <v>#DIV/0!</v>
      </c>
      <c r="M317" s="21" t="e">
        <f t="shared" ca="1" si="9"/>
        <v>#DIV/0!</v>
      </c>
      <c r="N317" s="22" t="str">
        <f ca="1">IFERROR(__xludf.DUMMYFUNCTION("IF(COUNTIFS($C$2:C317, C317, $A$2:A317, ""&lt;="" &amp; A317) &lt; 30, STDEV.P(FILTER($G$2:G317, $C$2:C317 = C317)), STDEV.P(FILTER($G$2:G317, $C$2:C317 = C317, $A$2:A317 &gt;= A317 - 30)))
"),"#DIV/0!")</f>
        <v>#DIV/0!</v>
      </c>
    </row>
    <row r="318" spans="1:14" x14ac:dyDescent="0.2">
      <c r="A318" s="38"/>
      <c r="B318" s="5"/>
      <c r="C318" s="35"/>
      <c r="D318" s="19"/>
      <c r="E318" s="19"/>
      <c r="F318" s="19"/>
      <c r="G318" s="19" t="e">
        <f t="shared" si="5"/>
        <v>#DIV/0!</v>
      </c>
      <c r="H318" s="20" t="str">
        <f ca="1">IFERROR(__xludf.DUMMYFUNCTION("IF(COUNTIFS($C$2:C318, C318, $A$2:A318, ""&lt;="" &amp; A318) &lt; 30, AVERAGEIF($C$2:C318, C318, $G$2:G318), AVERAGE(FILTER($G$2:G318, $C$2:C318 = C318, $A$2:A318 &gt;= A318 - 30)))
"),"#DIV/0!")</f>
        <v>#DIV/0!</v>
      </c>
      <c r="I318" s="20" t="e">
        <f t="shared" ca="1" si="6"/>
        <v>#DIV/0!</v>
      </c>
      <c r="J318" s="20" t="str">
        <f ca="1">IFERROR(__xludf.DUMMYFUNCTION("IF(OR($I318=2, $I318=3), 0, IFERROR(COUNTIFS($C$2:C318, $C318, $A$2:A319, ""&gt;""&amp;IFERROR(MAX(FILTER($A$2:A319, $C$2:C318=$C318, $I$2:I318&lt;&gt;1)), 0), $I$2:I318, 1),1))
"),"#DIV/0!")</f>
        <v>#DIV/0!</v>
      </c>
      <c r="K318" s="20" t="e">
        <f t="shared" ca="1" si="7"/>
        <v>#DIV/0!</v>
      </c>
      <c r="L318" s="20" t="e">
        <f t="shared" ca="1" si="8"/>
        <v>#DIV/0!</v>
      </c>
      <c r="M318" s="21" t="e">
        <f t="shared" ca="1" si="9"/>
        <v>#DIV/0!</v>
      </c>
      <c r="N318" s="22" t="str">
        <f ca="1">IFERROR(__xludf.DUMMYFUNCTION("IF(COUNTIFS($C$2:C318, C318, $A$2:A318, ""&lt;="" &amp; A318) &lt; 30, STDEV.P(FILTER($G$2:G318, $C$2:C318 = C318)), STDEV.P(FILTER($G$2:G318, $C$2:C318 = C318, $A$2:A318 &gt;= A318 - 30)))
"),"#DIV/0!")</f>
        <v>#DIV/0!</v>
      </c>
    </row>
    <row r="319" spans="1:14" x14ac:dyDescent="0.2">
      <c r="A319" s="38"/>
      <c r="B319" s="5"/>
      <c r="C319" s="35"/>
      <c r="D319" s="19"/>
      <c r="E319" s="19"/>
      <c r="F319" s="19"/>
      <c r="G319" s="19" t="e">
        <f t="shared" si="5"/>
        <v>#DIV/0!</v>
      </c>
      <c r="H319" s="20" t="str">
        <f ca="1">IFERROR(__xludf.DUMMYFUNCTION("IF(COUNTIFS($C$2:C319, C319, $A$2:A319, ""&lt;="" &amp; A319) &lt; 30, AVERAGEIF($C$2:C319, C319, $G$2:G319), AVERAGE(FILTER($G$2:G319, $C$2:C319 = C319, $A$2:A319 &gt;= A319 - 30)))
"),"#DIV/0!")</f>
        <v>#DIV/0!</v>
      </c>
      <c r="I319" s="20" t="e">
        <f t="shared" ca="1" si="6"/>
        <v>#DIV/0!</v>
      </c>
      <c r="J319" s="20" t="str">
        <f ca="1">IFERROR(__xludf.DUMMYFUNCTION("IF(OR($I319=2, $I319=3), 0, IFERROR(COUNTIFS($C$2:C319, $C319, $A$2:A320, ""&gt;""&amp;IFERROR(MAX(FILTER($A$2:A320, $C$2:C319=$C319, $I$2:I319&lt;&gt;1)), 0), $I$2:I319, 1),1))
"),"#DIV/0!")</f>
        <v>#DIV/0!</v>
      </c>
      <c r="K319" s="20" t="e">
        <f t="shared" ca="1" si="7"/>
        <v>#DIV/0!</v>
      </c>
      <c r="L319" s="20" t="e">
        <f t="shared" ca="1" si="8"/>
        <v>#DIV/0!</v>
      </c>
      <c r="M319" s="21" t="e">
        <f t="shared" ca="1" si="9"/>
        <v>#DIV/0!</v>
      </c>
      <c r="N319" s="22" t="str">
        <f ca="1">IFERROR(__xludf.DUMMYFUNCTION("IF(COUNTIFS($C$2:C319, C319, $A$2:A319, ""&lt;="" &amp; A319) &lt; 30, STDEV.P(FILTER($G$2:G319, $C$2:C319 = C319)), STDEV.P(FILTER($G$2:G319, $C$2:C319 = C319, $A$2:A319 &gt;= A319 - 30)))
"),"#DIV/0!")</f>
        <v>#DIV/0!</v>
      </c>
    </row>
    <row r="320" spans="1:14" x14ac:dyDescent="0.2">
      <c r="A320" s="38"/>
      <c r="B320" s="5"/>
      <c r="C320" s="35"/>
      <c r="D320" s="19"/>
      <c r="E320" s="19"/>
      <c r="F320" s="19"/>
      <c r="G320" s="19" t="e">
        <f t="shared" si="5"/>
        <v>#DIV/0!</v>
      </c>
      <c r="H320" s="20" t="str">
        <f ca="1">IFERROR(__xludf.DUMMYFUNCTION("IF(COUNTIFS($C$2:C320, C320, $A$2:A320, ""&lt;="" &amp; A320) &lt; 30, AVERAGEIF($C$2:C320, C320, $G$2:G320), AVERAGE(FILTER($G$2:G320, $C$2:C320 = C320, $A$2:A320 &gt;= A320 - 30)))
"),"#DIV/0!")</f>
        <v>#DIV/0!</v>
      </c>
      <c r="I320" s="20" t="e">
        <f t="shared" ca="1" si="6"/>
        <v>#DIV/0!</v>
      </c>
      <c r="J320" s="20" t="str">
        <f ca="1">IFERROR(__xludf.DUMMYFUNCTION("IF(OR($I320=2, $I320=3), 0, IFERROR(COUNTIFS($C$2:C320, $C320, $A$2:A321, ""&gt;""&amp;IFERROR(MAX(FILTER($A$2:A321, $C$2:C320=$C320, $I$2:I320&lt;&gt;1)), 0), $I$2:I320, 1),1))
"),"#DIV/0!")</f>
        <v>#DIV/0!</v>
      </c>
      <c r="K320" s="20" t="e">
        <f t="shared" ca="1" si="7"/>
        <v>#DIV/0!</v>
      </c>
      <c r="L320" s="20" t="e">
        <f t="shared" ca="1" si="8"/>
        <v>#DIV/0!</v>
      </c>
      <c r="M320" s="21" t="e">
        <f t="shared" ca="1" si="9"/>
        <v>#DIV/0!</v>
      </c>
      <c r="N320" s="22" t="str">
        <f ca="1">IFERROR(__xludf.DUMMYFUNCTION("IF(COUNTIFS($C$2:C320, C320, $A$2:A320, ""&lt;="" &amp; A320) &lt; 30, STDEV.P(FILTER($G$2:G320, $C$2:C320 = C320)), STDEV.P(FILTER($G$2:G320, $C$2:C320 = C320, $A$2:A320 &gt;= A320 - 30)))
"),"#DIV/0!")</f>
        <v>#DIV/0!</v>
      </c>
    </row>
    <row r="321" spans="1:14" x14ac:dyDescent="0.2">
      <c r="A321" s="38"/>
      <c r="B321" s="5"/>
      <c r="C321" s="35"/>
      <c r="D321" s="19"/>
      <c r="E321" s="19"/>
      <c r="F321" s="19"/>
      <c r="G321" s="19" t="e">
        <f t="shared" si="5"/>
        <v>#DIV/0!</v>
      </c>
      <c r="H321" s="20" t="str">
        <f ca="1">IFERROR(__xludf.DUMMYFUNCTION("IF(COUNTIFS($C$2:C321, C321, $A$2:A321, ""&lt;="" &amp; A321) &lt; 30, AVERAGEIF($C$2:C321, C321, $G$2:G321), AVERAGE(FILTER($G$2:G321, $C$2:C321 = C321, $A$2:A321 &gt;= A321 - 30)))
"),"#DIV/0!")</f>
        <v>#DIV/0!</v>
      </c>
      <c r="I321" s="20" t="e">
        <f t="shared" ca="1" si="6"/>
        <v>#DIV/0!</v>
      </c>
      <c r="J321" s="20" t="str">
        <f ca="1">IFERROR(__xludf.DUMMYFUNCTION("IF(OR($I321=2, $I321=3), 0, IFERROR(COUNTIFS($C$2:C321, $C321, $A$2:A322, ""&gt;""&amp;IFERROR(MAX(FILTER($A$2:A322, $C$2:C321=$C321, $I$2:I321&lt;&gt;1)), 0), $I$2:I321, 1),1))
"),"#DIV/0!")</f>
        <v>#DIV/0!</v>
      </c>
      <c r="K321" s="20" t="e">
        <f t="shared" ca="1" si="7"/>
        <v>#DIV/0!</v>
      </c>
      <c r="L321" s="20" t="e">
        <f t="shared" ca="1" si="8"/>
        <v>#DIV/0!</v>
      </c>
      <c r="M321" s="21" t="e">
        <f t="shared" ca="1" si="9"/>
        <v>#DIV/0!</v>
      </c>
      <c r="N321" s="22" t="str">
        <f ca="1">IFERROR(__xludf.DUMMYFUNCTION("IF(COUNTIFS($C$2:C321, C321, $A$2:A321, ""&lt;="" &amp; A321) &lt; 30, STDEV.P(FILTER($G$2:G321, $C$2:C321 = C321)), STDEV.P(FILTER($G$2:G321, $C$2:C321 = C321, $A$2:A321 &gt;= A321 - 30)))
"),"#DIV/0!")</f>
        <v>#DIV/0!</v>
      </c>
    </row>
    <row r="322" spans="1:14" x14ac:dyDescent="0.2">
      <c r="A322" s="38"/>
      <c r="B322" s="5"/>
      <c r="C322" s="35"/>
      <c r="D322" s="19"/>
      <c r="E322" s="19"/>
      <c r="F322" s="19"/>
      <c r="G322" s="19" t="e">
        <f t="shared" si="5"/>
        <v>#DIV/0!</v>
      </c>
      <c r="H322" s="20" t="str">
        <f ca="1">IFERROR(__xludf.DUMMYFUNCTION("IF(COUNTIFS($C$2:C322, C322, $A$2:A322, ""&lt;="" &amp; A322) &lt; 30, AVERAGEIF($C$2:C322, C322, $G$2:G322), AVERAGE(FILTER($G$2:G322, $C$2:C322 = C322, $A$2:A322 &gt;= A322 - 30)))
"),"#DIV/0!")</f>
        <v>#DIV/0!</v>
      </c>
      <c r="I322" s="20" t="e">
        <f t="shared" ca="1" si="6"/>
        <v>#DIV/0!</v>
      </c>
      <c r="J322" s="20" t="str">
        <f ca="1">IFERROR(__xludf.DUMMYFUNCTION("IF(OR($I322=2, $I322=3), 0, IFERROR(COUNTIFS($C$2:C322, $C322, $A$2:A323, ""&gt;""&amp;IFERROR(MAX(FILTER($A$2:A323, $C$2:C322=$C322, $I$2:I322&lt;&gt;1)), 0), $I$2:I322, 1),1))
"),"#DIV/0!")</f>
        <v>#DIV/0!</v>
      </c>
      <c r="K322" s="20" t="e">
        <f t="shared" ca="1" si="7"/>
        <v>#DIV/0!</v>
      </c>
      <c r="L322" s="20" t="e">
        <f t="shared" ca="1" si="8"/>
        <v>#DIV/0!</v>
      </c>
      <c r="M322" s="21" t="e">
        <f t="shared" ca="1" si="9"/>
        <v>#DIV/0!</v>
      </c>
      <c r="N322" s="22" t="str">
        <f ca="1">IFERROR(__xludf.DUMMYFUNCTION("IF(COUNTIFS($C$2:C322, C322, $A$2:A322, ""&lt;="" &amp; A322) &lt; 30, STDEV.P(FILTER($G$2:G322, $C$2:C322 = C322)), STDEV.P(FILTER($G$2:G322, $C$2:C322 = C322, $A$2:A322 &gt;= A322 - 30)))
"),"#DIV/0!")</f>
        <v>#DIV/0!</v>
      </c>
    </row>
    <row r="323" spans="1:14" x14ac:dyDescent="0.2">
      <c r="A323" s="38"/>
      <c r="B323" s="5"/>
      <c r="C323" s="35"/>
      <c r="D323" s="19"/>
      <c r="E323" s="19"/>
      <c r="F323" s="19"/>
      <c r="G323" s="19" t="e">
        <f t="shared" si="5"/>
        <v>#DIV/0!</v>
      </c>
      <c r="H323" s="20" t="str">
        <f ca="1">IFERROR(__xludf.DUMMYFUNCTION("IF(COUNTIFS($C$2:C323, C323, $A$2:A323, ""&lt;="" &amp; A323) &lt; 30, AVERAGEIF($C$2:C323, C323, $G$2:G323), AVERAGE(FILTER($G$2:G323, $C$2:C323 = C323, $A$2:A323 &gt;= A323 - 30)))
"),"#DIV/0!")</f>
        <v>#DIV/0!</v>
      </c>
      <c r="I323" s="20" t="e">
        <f t="shared" ca="1" si="6"/>
        <v>#DIV/0!</v>
      </c>
      <c r="J323" s="20" t="str">
        <f ca="1">IFERROR(__xludf.DUMMYFUNCTION("IF(OR($I323=2, $I323=3), 0, IFERROR(COUNTIFS($C$2:C323, $C323, $A$2:A324, ""&gt;""&amp;IFERROR(MAX(FILTER($A$2:A324, $C$2:C323=$C323, $I$2:I323&lt;&gt;1)), 0), $I$2:I323, 1),1))
"),"#DIV/0!")</f>
        <v>#DIV/0!</v>
      </c>
      <c r="K323" s="20" t="e">
        <f t="shared" ca="1" si="7"/>
        <v>#DIV/0!</v>
      </c>
      <c r="L323" s="20" t="e">
        <f t="shared" ca="1" si="8"/>
        <v>#DIV/0!</v>
      </c>
      <c r="M323" s="21" t="e">
        <f t="shared" ca="1" si="9"/>
        <v>#DIV/0!</v>
      </c>
      <c r="N323" s="22" t="str">
        <f ca="1">IFERROR(__xludf.DUMMYFUNCTION("IF(COUNTIFS($C$2:C323, C323, $A$2:A323, ""&lt;="" &amp; A323) &lt; 30, STDEV.P(FILTER($G$2:G323, $C$2:C323 = C323)), STDEV.P(FILTER($G$2:G323, $C$2:C323 = C323, $A$2:A323 &gt;= A323 - 30)))
"),"#DIV/0!")</f>
        <v>#DIV/0!</v>
      </c>
    </row>
    <row r="324" spans="1:14" x14ac:dyDescent="0.2">
      <c r="A324" s="38"/>
      <c r="B324" s="5"/>
      <c r="C324" s="35"/>
      <c r="D324" s="19"/>
      <c r="E324" s="19"/>
      <c r="F324" s="19"/>
      <c r="G324" s="19" t="e">
        <f t="shared" si="5"/>
        <v>#DIV/0!</v>
      </c>
      <c r="H324" s="20" t="str">
        <f ca="1">IFERROR(__xludf.DUMMYFUNCTION("IF(COUNTIFS($C$2:C324, C324, $A$2:A324, ""&lt;="" &amp; A324) &lt; 30, AVERAGEIF($C$2:C324, C324, $G$2:G324), AVERAGE(FILTER($G$2:G324, $C$2:C324 = C324, $A$2:A324 &gt;= A324 - 30)))
"),"#DIV/0!")</f>
        <v>#DIV/0!</v>
      </c>
      <c r="I324" s="20" t="e">
        <f t="shared" ca="1" si="6"/>
        <v>#DIV/0!</v>
      </c>
      <c r="J324" s="20" t="str">
        <f ca="1">IFERROR(__xludf.DUMMYFUNCTION("IF(OR($I324=2, $I324=3), 0, IFERROR(COUNTIFS($C$2:C324, $C324, $A$2:A325, ""&gt;""&amp;IFERROR(MAX(FILTER($A$2:A325, $C$2:C324=$C324, $I$2:I324&lt;&gt;1)), 0), $I$2:I324, 1),1))
"),"#DIV/0!")</f>
        <v>#DIV/0!</v>
      </c>
      <c r="K324" s="20" t="e">
        <f t="shared" ca="1" si="7"/>
        <v>#DIV/0!</v>
      </c>
      <c r="L324" s="20" t="e">
        <f t="shared" ca="1" si="8"/>
        <v>#DIV/0!</v>
      </c>
      <c r="M324" s="21" t="e">
        <f t="shared" ca="1" si="9"/>
        <v>#DIV/0!</v>
      </c>
      <c r="N324" s="22" t="str">
        <f ca="1">IFERROR(__xludf.DUMMYFUNCTION("IF(COUNTIFS($C$2:C324, C324, $A$2:A324, ""&lt;="" &amp; A324) &lt; 30, STDEV.P(FILTER($G$2:G324, $C$2:C324 = C324)), STDEV.P(FILTER($G$2:G324, $C$2:C324 = C324, $A$2:A324 &gt;= A324 - 30)))
"),"#DIV/0!")</f>
        <v>#DIV/0!</v>
      </c>
    </row>
    <row r="325" spans="1:14" x14ac:dyDescent="0.2">
      <c r="A325" s="38"/>
      <c r="B325" s="5"/>
      <c r="C325" s="35"/>
      <c r="D325" s="19"/>
      <c r="E325" s="19"/>
      <c r="F325" s="19"/>
      <c r="G325" s="19" t="e">
        <f t="shared" si="5"/>
        <v>#DIV/0!</v>
      </c>
      <c r="H325" s="20" t="str">
        <f ca="1">IFERROR(__xludf.DUMMYFUNCTION("IF(COUNTIFS($C$2:C325, C325, $A$2:A325, ""&lt;="" &amp; A325) &lt; 30, AVERAGEIF($C$2:C325, C325, $G$2:G325), AVERAGE(FILTER($G$2:G325, $C$2:C325 = C325, $A$2:A325 &gt;= A325 - 30)))
"),"#DIV/0!")</f>
        <v>#DIV/0!</v>
      </c>
      <c r="I325" s="20" t="e">
        <f t="shared" ca="1" si="6"/>
        <v>#DIV/0!</v>
      </c>
      <c r="J325" s="20" t="str">
        <f ca="1">IFERROR(__xludf.DUMMYFUNCTION("IF(OR($I325=2, $I325=3), 0, IFERROR(COUNTIFS($C$2:C325, $C325, $A$2:A326, ""&gt;""&amp;IFERROR(MAX(FILTER($A$2:A326, $C$2:C325=$C325, $I$2:I325&lt;&gt;1)), 0), $I$2:I325, 1),1))
"),"#DIV/0!")</f>
        <v>#DIV/0!</v>
      </c>
      <c r="K325" s="20" t="e">
        <f t="shared" ca="1" si="7"/>
        <v>#DIV/0!</v>
      </c>
      <c r="L325" s="20" t="e">
        <f t="shared" ca="1" si="8"/>
        <v>#DIV/0!</v>
      </c>
      <c r="M325" s="21" t="e">
        <f t="shared" ca="1" si="9"/>
        <v>#DIV/0!</v>
      </c>
      <c r="N325" s="22" t="str">
        <f ca="1">IFERROR(__xludf.DUMMYFUNCTION("IF(COUNTIFS($C$2:C325, C325, $A$2:A325, ""&lt;="" &amp; A325) &lt; 30, STDEV.P(FILTER($G$2:G325, $C$2:C325 = C325)), STDEV.P(FILTER($G$2:G325, $C$2:C325 = C325, $A$2:A325 &gt;= A325 - 30)))
"),"#DIV/0!")</f>
        <v>#DIV/0!</v>
      </c>
    </row>
    <row r="326" spans="1:14" x14ac:dyDescent="0.2">
      <c r="A326" s="38"/>
      <c r="B326" s="5"/>
      <c r="C326" s="35"/>
      <c r="D326" s="19"/>
      <c r="E326" s="19"/>
      <c r="F326" s="19"/>
      <c r="G326" s="19" t="e">
        <f t="shared" si="5"/>
        <v>#DIV/0!</v>
      </c>
      <c r="H326" s="20" t="str">
        <f ca="1">IFERROR(__xludf.DUMMYFUNCTION("IF(COUNTIFS($C$2:C326, C326, $A$2:A326, ""&lt;="" &amp; A326) &lt; 30, AVERAGEIF($C$2:C326, C326, $G$2:G326), AVERAGE(FILTER($G$2:G326, $C$2:C326 = C326, $A$2:A326 &gt;= A326 - 30)))
"),"#DIV/0!")</f>
        <v>#DIV/0!</v>
      </c>
      <c r="I326" s="20" t="e">
        <f t="shared" ca="1" si="6"/>
        <v>#DIV/0!</v>
      </c>
      <c r="J326" s="20" t="str">
        <f ca="1">IFERROR(__xludf.DUMMYFUNCTION("IF(OR($I326=2, $I326=3), 0, IFERROR(COUNTIFS($C$2:C326, $C326, $A$2:A327, ""&gt;""&amp;IFERROR(MAX(FILTER($A$2:A327, $C$2:C326=$C326, $I$2:I326&lt;&gt;1)), 0), $I$2:I326, 1),1))
"),"#DIV/0!")</f>
        <v>#DIV/0!</v>
      </c>
      <c r="K326" s="20" t="e">
        <f t="shared" ca="1" si="7"/>
        <v>#DIV/0!</v>
      </c>
      <c r="L326" s="20" t="e">
        <f t="shared" ca="1" si="8"/>
        <v>#DIV/0!</v>
      </c>
      <c r="M326" s="21" t="e">
        <f t="shared" ca="1" si="9"/>
        <v>#DIV/0!</v>
      </c>
      <c r="N326" s="22" t="str">
        <f ca="1">IFERROR(__xludf.DUMMYFUNCTION("IF(COUNTIFS($C$2:C326, C326, $A$2:A326, ""&lt;="" &amp; A326) &lt; 30, STDEV.P(FILTER($G$2:G326, $C$2:C326 = C326)), STDEV.P(FILTER($G$2:G326, $C$2:C326 = C326, $A$2:A326 &gt;= A326 - 30)))
"),"#DIV/0!")</f>
        <v>#DIV/0!</v>
      </c>
    </row>
    <row r="327" spans="1:14" x14ac:dyDescent="0.2">
      <c r="A327" s="38"/>
      <c r="B327" s="5"/>
      <c r="C327" s="35"/>
      <c r="D327" s="19"/>
      <c r="E327" s="19"/>
      <c r="F327" s="19"/>
      <c r="G327" s="19" t="e">
        <f t="shared" si="5"/>
        <v>#DIV/0!</v>
      </c>
      <c r="H327" s="20" t="str">
        <f ca="1">IFERROR(__xludf.DUMMYFUNCTION("IF(COUNTIFS($C$2:C327, C327, $A$2:A327, ""&lt;="" &amp; A327) &lt; 30, AVERAGEIF($C$2:C327, C327, $G$2:G327), AVERAGE(FILTER($G$2:G327, $C$2:C327 = C327, $A$2:A327 &gt;= A327 - 30)))
"),"#DIV/0!")</f>
        <v>#DIV/0!</v>
      </c>
      <c r="I327" s="20" t="e">
        <f t="shared" ca="1" si="6"/>
        <v>#DIV/0!</v>
      </c>
      <c r="J327" s="20" t="str">
        <f ca="1">IFERROR(__xludf.DUMMYFUNCTION("IF(OR($I327=2, $I327=3), 0, IFERROR(COUNTIFS($C$2:C327, $C327, $A$2:A328, ""&gt;""&amp;IFERROR(MAX(FILTER($A$2:A328, $C$2:C327=$C327, $I$2:I327&lt;&gt;1)), 0), $I$2:I327, 1),1))
"),"#DIV/0!")</f>
        <v>#DIV/0!</v>
      </c>
      <c r="K327" s="20" t="e">
        <f t="shared" ca="1" si="7"/>
        <v>#DIV/0!</v>
      </c>
      <c r="L327" s="20" t="e">
        <f t="shared" ca="1" si="8"/>
        <v>#DIV/0!</v>
      </c>
      <c r="M327" s="21" t="e">
        <f t="shared" ca="1" si="9"/>
        <v>#DIV/0!</v>
      </c>
      <c r="N327" s="22" t="str">
        <f ca="1">IFERROR(__xludf.DUMMYFUNCTION("IF(COUNTIFS($C$2:C327, C327, $A$2:A327, ""&lt;="" &amp; A327) &lt; 30, STDEV.P(FILTER($G$2:G327, $C$2:C327 = C327)), STDEV.P(FILTER($G$2:G327, $C$2:C327 = C327, $A$2:A327 &gt;= A327 - 30)))
"),"#DIV/0!")</f>
        <v>#DIV/0!</v>
      </c>
    </row>
    <row r="328" spans="1:14" x14ac:dyDescent="0.2">
      <c r="A328" s="34"/>
      <c r="B328" s="5"/>
      <c r="C328" s="35"/>
      <c r="D328" s="19"/>
      <c r="E328" s="19"/>
      <c r="F328" s="19"/>
      <c r="G328" s="19" t="e">
        <f t="shared" si="5"/>
        <v>#DIV/0!</v>
      </c>
      <c r="H328" s="20" t="str">
        <f ca="1">IFERROR(__xludf.DUMMYFUNCTION("IF(COUNTIFS($C$2:C328, C328, $A$2:A328, ""&lt;="" &amp; A328) &lt; 30, AVERAGEIF($C$2:C328, C328, $G$2:G328), AVERAGE(FILTER($G$2:G328, $C$2:C328 = C328, $A$2:A328 &gt;= A328 - 30)))
"),"#DIV/0!")</f>
        <v>#DIV/0!</v>
      </c>
      <c r="I328" s="20" t="e">
        <f t="shared" ca="1" si="6"/>
        <v>#DIV/0!</v>
      </c>
      <c r="J328" s="20" t="str">
        <f ca="1">IFERROR(__xludf.DUMMYFUNCTION("IF(OR($I328=2, $I328=3), 0, IFERROR(COUNTIFS($C$2:C328, $C328, $A$2:A329, ""&gt;""&amp;IFERROR(MAX(FILTER($A$2:A329, $C$2:C328=$C328, $I$2:I328&lt;&gt;1)), 0), $I$2:I328, 1),1))
"),"#DIV/0!")</f>
        <v>#DIV/0!</v>
      </c>
      <c r="K328" s="20" t="e">
        <f t="shared" ca="1" si="7"/>
        <v>#DIV/0!</v>
      </c>
      <c r="L328" s="20" t="e">
        <f t="shared" ca="1" si="8"/>
        <v>#DIV/0!</v>
      </c>
      <c r="M328" s="21" t="e">
        <f t="shared" ca="1" si="9"/>
        <v>#DIV/0!</v>
      </c>
      <c r="N328" s="36" t="str">
        <f ca="1">IFERROR(__xludf.DUMMYFUNCTION("IF(COUNTIFS($C$2:C328, C328, $A$2:A328, ""&lt;="" &amp; A328) &lt; 30, STDEV.P(FILTER($G$2:G328, $C$2:C328 = C328)), STDEV.P(FILTER($G$2:G328, $C$2:C328 = C328, $A$2:A328 &gt;= A328 - 30)))
"),"#DIV/0!")</f>
        <v>#DIV/0!</v>
      </c>
    </row>
    <row r="329" spans="1:14" x14ac:dyDescent="0.2">
      <c r="A329" s="39"/>
      <c r="B329" s="40"/>
      <c r="C329" s="35"/>
      <c r="D329" s="19"/>
      <c r="E329" s="19"/>
      <c r="F329" s="19"/>
      <c r="G329" s="19" t="e">
        <f t="shared" si="5"/>
        <v>#DIV/0!</v>
      </c>
      <c r="H329" s="20" t="str">
        <f ca="1">IFERROR(__xludf.DUMMYFUNCTION("IF(COUNTIFS($C$2:C329, C329, $A$2:A329, ""&lt;="" &amp; A329) &lt; 30, AVERAGEIF($C$2:C329, C329, $G$2:G329), AVERAGE(FILTER($G$2:G329, $C$2:C329 = C329, $A$2:A329 &gt;= A329 - 30)))
"),"#DIV/0!")</f>
        <v>#DIV/0!</v>
      </c>
      <c r="I329" s="20" t="e">
        <f t="shared" ca="1" si="6"/>
        <v>#DIV/0!</v>
      </c>
      <c r="J329" s="20" t="str">
        <f ca="1">IFERROR(__xludf.DUMMYFUNCTION("IF(OR($I329=2, $I329=3), 0, IFERROR(COUNTIFS($C$2:C329, $C329, $A$2:A330, ""&gt;""&amp;IFERROR(MAX(FILTER($A$2:A330, $C$2:C329=$C329, $I$2:I329&lt;&gt;1)), 0), $I$2:I329, 1),1))
"),"#DIV/0!")</f>
        <v>#DIV/0!</v>
      </c>
      <c r="K329" s="20" t="e">
        <f t="shared" ca="1" si="7"/>
        <v>#DIV/0!</v>
      </c>
      <c r="L329" s="20" t="e">
        <f t="shared" ca="1" si="8"/>
        <v>#DIV/0!</v>
      </c>
      <c r="M329" s="21" t="e">
        <f t="shared" ca="1" si="9"/>
        <v>#DIV/0!</v>
      </c>
      <c r="N329" s="22" t="str">
        <f ca="1">IFERROR(__xludf.DUMMYFUNCTION("IF(COUNTIFS($C$2:C329, C329, $A$2:A329, ""&lt;="" &amp; A329) &lt; 30, STDEV.P(FILTER($G$2:G329, $C$2:C329 = C329)), STDEV.P(FILTER($G$2:G329, $C$2:C329 = C329, $A$2:A329 &gt;= A329 - 30)))
"),"#DIV/0!")</f>
        <v>#DIV/0!</v>
      </c>
    </row>
    <row r="330" spans="1:14" x14ac:dyDescent="0.2">
      <c r="A330" s="39"/>
      <c r="B330" s="40"/>
      <c r="C330" s="35"/>
      <c r="D330" s="19"/>
      <c r="E330" s="19"/>
      <c r="F330" s="19"/>
      <c r="G330" s="19" t="e">
        <f t="shared" si="5"/>
        <v>#DIV/0!</v>
      </c>
      <c r="H330" s="20" t="str">
        <f ca="1">IFERROR(__xludf.DUMMYFUNCTION("IF(COUNTIFS($C$2:C330, C330, $A$2:A330, ""&lt;="" &amp; A330) &lt; 30, AVERAGEIF($C$2:C330, C330, $G$2:G330), AVERAGE(FILTER($G$2:G330, $C$2:C330 = C330, $A$2:A330 &gt;= A330 - 30)))
"),"#DIV/0!")</f>
        <v>#DIV/0!</v>
      </c>
      <c r="I330" s="20" t="e">
        <f t="shared" ca="1" si="6"/>
        <v>#DIV/0!</v>
      </c>
      <c r="J330" s="20" t="str">
        <f ca="1">IFERROR(__xludf.DUMMYFUNCTION("IF(OR($I330=2, $I330=3), 0, IFERROR(COUNTIFS($C$2:C330, $C330, $A$2:A331, ""&gt;""&amp;IFERROR(MAX(FILTER($A$2:A331, $C$2:C330=$C330, $I$2:I330&lt;&gt;1)), 0), $I$2:I330, 1),1))
"),"#DIV/0!")</f>
        <v>#DIV/0!</v>
      </c>
      <c r="K330" s="20" t="e">
        <f t="shared" ca="1" si="7"/>
        <v>#DIV/0!</v>
      </c>
      <c r="L330" s="20" t="e">
        <f t="shared" ca="1" si="8"/>
        <v>#DIV/0!</v>
      </c>
      <c r="M330" s="21" t="e">
        <f t="shared" ca="1" si="9"/>
        <v>#DIV/0!</v>
      </c>
      <c r="N330" s="22" t="str">
        <f ca="1">IFERROR(__xludf.DUMMYFUNCTION("IF(COUNTIFS($C$2:C330, C330, $A$2:A330, ""&lt;="" &amp; A330) &lt; 30, STDEV.P(FILTER($G$2:G330, $C$2:C330 = C330)), STDEV.P(FILTER($G$2:G330, $C$2:C330 = C330, $A$2:A330 &gt;= A330 - 30)))
"),"#DIV/0!")</f>
        <v>#DIV/0!</v>
      </c>
    </row>
    <row r="331" spans="1:14" x14ac:dyDescent="0.2">
      <c r="A331" s="39"/>
      <c r="B331" s="32"/>
      <c r="C331" s="35"/>
      <c r="D331" s="19"/>
      <c r="E331" s="19"/>
      <c r="F331" s="19"/>
      <c r="G331" s="19" t="e">
        <f t="shared" si="5"/>
        <v>#DIV/0!</v>
      </c>
      <c r="H331" s="20" t="str">
        <f ca="1">IFERROR(__xludf.DUMMYFUNCTION("IF(COUNTIFS($C$2:C331, C331, $A$2:A331, ""&lt;="" &amp; A331) &lt; 30, AVERAGEIF($C$2:C331, C331, $G$2:G331), AVERAGE(FILTER($G$2:G331, $C$2:C331 = C331, $A$2:A331 &gt;= A331 - 30)))
"),"#DIV/0!")</f>
        <v>#DIV/0!</v>
      </c>
      <c r="I331" s="20" t="e">
        <f t="shared" ca="1" si="6"/>
        <v>#DIV/0!</v>
      </c>
      <c r="J331" s="20" t="str">
        <f ca="1">IFERROR(__xludf.DUMMYFUNCTION("IF(OR($I331=2, $I331=3), 0, IFERROR(COUNTIFS($C$2:C331, $C331, $A$2:A332, ""&gt;""&amp;IFERROR(MAX(FILTER($A$2:A332, $C$2:C331=$C331, $I$2:I331&lt;&gt;1)), 0), $I$2:I331, 1),1))
"),"#DIV/0!")</f>
        <v>#DIV/0!</v>
      </c>
      <c r="K331" s="20" t="e">
        <f t="shared" ca="1" si="7"/>
        <v>#DIV/0!</v>
      </c>
      <c r="L331" s="20" t="e">
        <f t="shared" ca="1" si="8"/>
        <v>#DIV/0!</v>
      </c>
      <c r="M331" s="21" t="e">
        <f t="shared" ca="1" si="9"/>
        <v>#DIV/0!</v>
      </c>
      <c r="N331" s="22" t="str">
        <f ca="1">IFERROR(__xludf.DUMMYFUNCTION("IF(COUNTIFS($C$2:C331, C331, $A$2:A331, ""&lt;="" &amp; A331) &lt; 30, STDEV.P(FILTER($G$2:G331, $C$2:C331 = C331)), STDEV.P(FILTER($G$2:G331, $C$2:C331 = C331, $A$2:A331 &gt;= A331 - 30)))
"),"#DIV/0!")</f>
        <v>#DIV/0!</v>
      </c>
    </row>
    <row r="332" spans="1:14" x14ac:dyDescent="0.2">
      <c r="A332" s="39"/>
      <c r="B332" s="32"/>
      <c r="C332" s="35"/>
      <c r="D332" s="19"/>
      <c r="E332" s="19"/>
      <c r="F332" s="19"/>
      <c r="G332" s="19" t="e">
        <f t="shared" si="5"/>
        <v>#DIV/0!</v>
      </c>
      <c r="H332" s="20" t="str">
        <f ca="1">IFERROR(__xludf.DUMMYFUNCTION("IF(COUNTIFS($C$2:C332, C332, $A$2:A332, ""&lt;="" &amp; A332) &lt; 30, AVERAGEIF($C$2:C332, C332, $G$2:G332), AVERAGE(FILTER($G$2:G332, $C$2:C332 = C332, $A$2:A332 &gt;= A332 - 30)))
"),"#DIV/0!")</f>
        <v>#DIV/0!</v>
      </c>
      <c r="I332" s="20" t="e">
        <f t="shared" ca="1" si="6"/>
        <v>#DIV/0!</v>
      </c>
      <c r="J332" s="20" t="str">
        <f ca="1">IFERROR(__xludf.DUMMYFUNCTION("IF(OR($I332=2, $I332=3), 0, IFERROR(COUNTIFS($C$2:C332, $C332, $A$2:A333, ""&gt;""&amp;IFERROR(MAX(FILTER($A$2:A333, $C$2:C332=$C332, $I$2:I332&lt;&gt;1)), 0), $I$2:I332, 1),1))
"),"#DIV/0!")</f>
        <v>#DIV/0!</v>
      </c>
      <c r="K332" s="20" t="e">
        <f t="shared" ca="1" si="7"/>
        <v>#DIV/0!</v>
      </c>
      <c r="L332" s="20" t="e">
        <f t="shared" ca="1" si="8"/>
        <v>#DIV/0!</v>
      </c>
      <c r="M332" s="21" t="e">
        <f t="shared" ca="1" si="9"/>
        <v>#DIV/0!</v>
      </c>
      <c r="N332" s="22" t="str">
        <f ca="1">IFERROR(__xludf.DUMMYFUNCTION("IF(COUNTIFS($C$2:C332, C332, $A$2:A332, ""&lt;="" &amp; A332) &lt; 30, STDEV.P(FILTER($G$2:G332, $C$2:C332 = C332)), STDEV.P(FILTER($G$2:G332, $C$2:C332 = C332, $A$2:A332 &gt;= A332 - 30)))
"),"#DIV/0!")</f>
        <v>#DIV/0!</v>
      </c>
    </row>
    <row r="333" spans="1:14" x14ac:dyDescent="0.2">
      <c r="A333" s="39"/>
      <c r="B333" s="32"/>
      <c r="C333" s="35"/>
      <c r="D333" s="19"/>
      <c r="E333" s="19"/>
      <c r="F333" s="19"/>
      <c r="G333" s="19" t="e">
        <f t="shared" si="5"/>
        <v>#DIV/0!</v>
      </c>
      <c r="H333" s="20" t="str">
        <f ca="1">IFERROR(__xludf.DUMMYFUNCTION("IF(COUNTIFS($C$2:C333, C333, $A$2:A333, ""&lt;="" &amp; A333) &lt; 30, AVERAGEIF($C$2:C333, C333, $G$2:G333), AVERAGE(FILTER($G$2:G333, $C$2:C333 = C333, $A$2:A333 &gt;= A333 - 30)))
"),"#DIV/0!")</f>
        <v>#DIV/0!</v>
      </c>
      <c r="I333" s="20" t="e">
        <f t="shared" ca="1" si="6"/>
        <v>#DIV/0!</v>
      </c>
      <c r="J333" s="20" t="str">
        <f ca="1">IFERROR(__xludf.DUMMYFUNCTION("IF(OR($I333=2, $I333=3), 0, IFERROR(COUNTIFS($C$2:C333, $C333, $A$2:A334, ""&gt;""&amp;IFERROR(MAX(FILTER($A$2:A334, $C$2:C333=$C333, $I$2:I333&lt;&gt;1)), 0), $I$2:I333, 1),1))
"),"#DIV/0!")</f>
        <v>#DIV/0!</v>
      </c>
      <c r="K333" s="20" t="e">
        <f t="shared" ca="1" si="7"/>
        <v>#DIV/0!</v>
      </c>
      <c r="L333" s="20" t="e">
        <f t="shared" ca="1" si="8"/>
        <v>#DIV/0!</v>
      </c>
      <c r="M333" s="21" t="e">
        <f t="shared" ca="1" si="9"/>
        <v>#DIV/0!</v>
      </c>
      <c r="N333" s="22" t="str">
        <f ca="1">IFERROR(__xludf.DUMMYFUNCTION("IF(COUNTIFS($C$2:C333, C333, $A$2:A333, ""&lt;="" &amp; A333) &lt; 30, STDEV.P(FILTER($G$2:G333, $C$2:C333 = C333)), STDEV.P(FILTER($G$2:G333, $C$2:C333 = C333, $A$2:A333 &gt;= A333 - 30)))
"),"#DIV/0!")</f>
        <v>#DIV/0!</v>
      </c>
    </row>
    <row r="334" spans="1:14" x14ac:dyDescent="0.2">
      <c r="A334" s="39"/>
      <c r="B334" s="32"/>
      <c r="C334" s="35"/>
      <c r="D334" s="19"/>
      <c r="E334" s="19"/>
      <c r="F334" s="19"/>
      <c r="G334" s="19" t="e">
        <f t="shared" si="5"/>
        <v>#DIV/0!</v>
      </c>
      <c r="H334" s="20" t="str">
        <f ca="1">IFERROR(__xludf.DUMMYFUNCTION("IF(COUNTIFS($C$2:C334, C334, $A$2:A334, ""&lt;="" &amp; A334) &lt; 30, AVERAGEIF($C$2:C334, C334, $G$2:G334), AVERAGE(FILTER($G$2:G334, $C$2:C334 = C334, $A$2:A334 &gt;= A334 - 30)))
"),"#DIV/0!")</f>
        <v>#DIV/0!</v>
      </c>
      <c r="I334" s="20" t="e">
        <f t="shared" ca="1" si="6"/>
        <v>#DIV/0!</v>
      </c>
      <c r="J334" s="20" t="str">
        <f ca="1">IFERROR(__xludf.DUMMYFUNCTION("IF(OR($I334=2, $I334=3), 0, IFERROR(COUNTIFS($C$2:C334, $C334, $A$2:A335, ""&gt;""&amp;IFERROR(MAX(FILTER($A$2:A335, $C$2:C334=$C334, $I$2:I334&lt;&gt;1)), 0), $I$2:I334, 1),1))
"),"#DIV/0!")</f>
        <v>#DIV/0!</v>
      </c>
      <c r="K334" s="20" t="e">
        <f t="shared" ca="1" si="7"/>
        <v>#DIV/0!</v>
      </c>
      <c r="L334" s="20" t="e">
        <f t="shared" ca="1" si="8"/>
        <v>#DIV/0!</v>
      </c>
      <c r="M334" s="21" t="e">
        <f t="shared" ca="1" si="9"/>
        <v>#DIV/0!</v>
      </c>
      <c r="N334" s="22" t="str">
        <f ca="1">IFERROR(__xludf.DUMMYFUNCTION("IF(COUNTIFS($C$2:C334, C334, $A$2:A334, ""&lt;="" &amp; A334) &lt; 30, STDEV.P(FILTER($G$2:G334, $C$2:C334 = C334)), STDEV.P(FILTER($G$2:G334, $C$2:C334 = C334, $A$2:A334 &gt;= A334 - 30)))
"),"#DIV/0!")</f>
        <v>#DIV/0!</v>
      </c>
    </row>
    <row r="335" spans="1:14" x14ac:dyDescent="0.2">
      <c r="A335" s="39"/>
      <c r="B335" s="32"/>
      <c r="C335" s="35"/>
      <c r="D335" s="19"/>
      <c r="E335" s="19"/>
      <c r="F335" s="19"/>
      <c r="G335" s="19" t="e">
        <f t="shared" si="5"/>
        <v>#DIV/0!</v>
      </c>
      <c r="H335" s="20" t="str">
        <f ca="1">IFERROR(__xludf.DUMMYFUNCTION("IF(COUNTIFS($C$2:C335, C335, $A$2:A335, ""&lt;="" &amp; A335) &lt; 30, AVERAGEIF($C$2:C335, C335, $G$2:G335), AVERAGE(FILTER($G$2:G335, $C$2:C335 = C335, $A$2:A335 &gt;= A335 - 30)))
"),"#DIV/0!")</f>
        <v>#DIV/0!</v>
      </c>
      <c r="I335" s="20" t="e">
        <f t="shared" ca="1" si="6"/>
        <v>#DIV/0!</v>
      </c>
      <c r="J335" s="20" t="str">
        <f ca="1">IFERROR(__xludf.DUMMYFUNCTION("IF(OR($I335=2, $I335=3), 0, IFERROR(COUNTIFS($C$2:C335, $C335, $A$2:A336, ""&gt;""&amp;IFERROR(MAX(FILTER($A$2:A336, $C$2:C335=$C335, $I$2:I335&lt;&gt;1)), 0), $I$2:I335, 1),1))
"),"#DIV/0!")</f>
        <v>#DIV/0!</v>
      </c>
      <c r="K335" s="20" t="e">
        <f t="shared" ca="1" si="7"/>
        <v>#DIV/0!</v>
      </c>
      <c r="L335" s="20" t="e">
        <f t="shared" ca="1" si="8"/>
        <v>#DIV/0!</v>
      </c>
      <c r="M335" s="21" t="e">
        <f t="shared" ca="1" si="9"/>
        <v>#DIV/0!</v>
      </c>
      <c r="N335" s="22" t="str">
        <f ca="1">IFERROR(__xludf.DUMMYFUNCTION("IF(COUNTIFS($C$2:C335, C335, $A$2:A335, ""&lt;="" &amp; A335) &lt; 30, STDEV.P(FILTER($G$2:G335, $C$2:C335 = C335)), STDEV.P(FILTER($G$2:G335, $C$2:C335 = C335, $A$2:A335 &gt;= A335 - 30)))
"),"#DIV/0!")</f>
        <v>#DIV/0!</v>
      </c>
    </row>
    <row r="336" spans="1:14" x14ac:dyDescent="0.2">
      <c r="A336" s="39"/>
      <c r="B336" s="32"/>
      <c r="C336" s="35"/>
      <c r="D336" s="19"/>
      <c r="E336" s="19"/>
      <c r="F336" s="19"/>
      <c r="G336" s="19" t="e">
        <f t="shared" si="5"/>
        <v>#DIV/0!</v>
      </c>
      <c r="H336" s="20" t="str">
        <f ca="1">IFERROR(__xludf.DUMMYFUNCTION("IF(COUNTIFS($C$2:C336, C336, $A$2:A336, ""&lt;="" &amp; A336) &lt; 30, AVERAGEIF($C$2:C336, C336, $G$2:G336), AVERAGE(FILTER($G$2:G336, $C$2:C336 = C336, $A$2:A336 &gt;= A336 - 30)))
"),"#DIV/0!")</f>
        <v>#DIV/0!</v>
      </c>
      <c r="I336" s="20" t="e">
        <f t="shared" ca="1" si="6"/>
        <v>#DIV/0!</v>
      </c>
      <c r="J336" s="20" t="str">
        <f ca="1">IFERROR(__xludf.DUMMYFUNCTION("IF(OR($I336=2, $I336=3), 0, IFERROR(COUNTIFS($C$2:C336, $C336, $A$2:A337, ""&gt;""&amp;IFERROR(MAX(FILTER($A$2:A337, $C$2:C336=$C336, $I$2:I336&lt;&gt;1)), 0), $I$2:I336, 1),1))
"),"#DIV/0!")</f>
        <v>#DIV/0!</v>
      </c>
      <c r="K336" s="20" t="e">
        <f t="shared" ca="1" si="7"/>
        <v>#DIV/0!</v>
      </c>
      <c r="L336" s="20" t="e">
        <f t="shared" ca="1" si="8"/>
        <v>#DIV/0!</v>
      </c>
      <c r="M336" s="21" t="e">
        <f t="shared" ca="1" si="9"/>
        <v>#DIV/0!</v>
      </c>
      <c r="N336" s="22" t="str">
        <f ca="1">IFERROR(__xludf.DUMMYFUNCTION("IF(COUNTIFS($C$2:C336, C336, $A$2:A336, ""&lt;="" &amp; A336) &lt; 30, STDEV.P(FILTER($G$2:G336, $C$2:C336 = C336)), STDEV.P(FILTER($G$2:G336, $C$2:C336 = C336, $A$2:A336 &gt;= A336 - 30)))
"),"#DIV/0!")</f>
        <v>#DIV/0!</v>
      </c>
    </row>
    <row r="337" spans="1:14" x14ac:dyDescent="0.2">
      <c r="A337" s="39"/>
      <c r="B337" s="32"/>
      <c r="C337" s="35"/>
      <c r="D337" s="19"/>
      <c r="E337" s="19"/>
      <c r="F337" s="19"/>
      <c r="G337" s="19" t="e">
        <f t="shared" si="5"/>
        <v>#DIV/0!</v>
      </c>
      <c r="H337" s="20" t="str">
        <f ca="1">IFERROR(__xludf.DUMMYFUNCTION("IF(COUNTIFS($C$2:C337, C337, $A$2:A337, ""&lt;="" &amp; A337) &lt; 30, AVERAGEIF($C$2:C337, C337, $G$2:G337), AVERAGE(FILTER($G$2:G337, $C$2:C337 = C337, $A$2:A337 &gt;= A337 - 30)))
"),"#DIV/0!")</f>
        <v>#DIV/0!</v>
      </c>
      <c r="I337" s="20" t="e">
        <f t="shared" ca="1" si="6"/>
        <v>#DIV/0!</v>
      </c>
      <c r="J337" s="20" t="str">
        <f ca="1">IFERROR(__xludf.DUMMYFUNCTION("IF(OR($I337=2, $I337=3), 0, IFERROR(COUNTIFS($C$2:C337, $C337, $A$2:A338, ""&gt;""&amp;IFERROR(MAX(FILTER($A$2:A338, $C$2:C337=$C337, $I$2:I337&lt;&gt;1)), 0), $I$2:I337, 1),1))
"),"#DIV/0!")</f>
        <v>#DIV/0!</v>
      </c>
      <c r="K337" s="20" t="e">
        <f t="shared" ca="1" si="7"/>
        <v>#DIV/0!</v>
      </c>
      <c r="L337" s="20" t="e">
        <f t="shared" ca="1" si="8"/>
        <v>#DIV/0!</v>
      </c>
      <c r="M337" s="21" t="e">
        <f t="shared" ca="1" si="9"/>
        <v>#DIV/0!</v>
      </c>
      <c r="N337" s="22" t="str">
        <f ca="1">IFERROR(__xludf.DUMMYFUNCTION("IF(COUNTIFS($C$2:C337, C337, $A$2:A337, ""&lt;="" &amp; A337) &lt; 30, STDEV.P(FILTER($G$2:G337, $C$2:C337 = C337)), STDEV.P(FILTER($G$2:G337, $C$2:C337 = C337, $A$2:A337 &gt;= A337 - 30)))
"),"#DIV/0!")</f>
        <v>#DIV/0!</v>
      </c>
    </row>
    <row r="338" spans="1:14" x14ac:dyDescent="0.2">
      <c r="A338" s="39"/>
      <c r="B338" s="32"/>
      <c r="C338" s="35"/>
      <c r="D338" s="19"/>
      <c r="E338" s="19"/>
      <c r="F338" s="19"/>
      <c r="G338" s="19" t="e">
        <f t="shared" si="5"/>
        <v>#DIV/0!</v>
      </c>
      <c r="H338" s="20" t="str">
        <f ca="1">IFERROR(__xludf.DUMMYFUNCTION("IF(COUNTIFS($C$2:C338, C338, $A$2:A338, ""&lt;="" &amp; A338) &lt; 30, AVERAGEIF($C$2:C338, C338, $G$2:G338), AVERAGE(FILTER($G$2:G338, $C$2:C338 = C338, $A$2:A338 &gt;= A338 - 30)))
"),"#DIV/0!")</f>
        <v>#DIV/0!</v>
      </c>
      <c r="I338" s="20" t="e">
        <f t="shared" ca="1" si="6"/>
        <v>#DIV/0!</v>
      </c>
      <c r="J338" s="20" t="str">
        <f ca="1">IFERROR(__xludf.DUMMYFUNCTION("IF(OR($I338=2, $I338=3), 0, IFERROR(COUNTIFS($C$2:C338, $C338, $A$2:A339, ""&gt;""&amp;IFERROR(MAX(FILTER($A$2:A339, $C$2:C338=$C338, $I$2:I338&lt;&gt;1)), 0), $I$2:I338, 1),1))
"),"#DIV/0!")</f>
        <v>#DIV/0!</v>
      </c>
      <c r="K338" s="20" t="e">
        <f t="shared" ca="1" si="7"/>
        <v>#DIV/0!</v>
      </c>
      <c r="L338" s="20" t="e">
        <f t="shared" ca="1" si="8"/>
        <v>#DIV/0!</v>
      </c>
      <c r="M338" s="21" t="e">
        <f t="shared" ca="1" si="9"/>
        <v>#DIV/0!</v>
      </c>
      <c r="N338" s="22" t="str">
        <f ca="1">IFERROR(__xludf.DUMMYFUNCTION("IF(COUNTIFS($C$2:C338, C338, $A$2:A338, ""&lt;="" &amp; A338) &lt; 30, STDEV.P(FILTER($G$2:G338, $C$2:C338 = C338)), STDEV.P(FILTER($G$2:G338, $C$2:C338 = C338, $A$2:A338 &gt;= A338 - 30)))
"),"#DIV/0!")</f>
        <v>#DIV/0!</v>
      </c>
    </row>
    <row r="339" spans="1:14" x14ac:dyDescent="0.2">
      <c r="A339" s="39"/>
      <c r="B339" s="32"/>
      <c r="C339" s="35"/>
      <c r="D339" s="20"/>
      <c r="E339" s="20"/>
      <c r="F339" s="20"/>
      <c r="G339" s="19" t="e">
        <f t="shared" si="5"/>
        <v>#DIV/0!</v>
      </c>
      <c r="H339" s="20" t="str">
        <f ca="1">IFERROR(__xludf.DUMMYFUNCTION("IF(COUNTIFS($C$2:C339, C339, $A$2:A339, ""&lt;="" &amp; A339) &lt; 30, AVERAGEIF($C$2:C339, C339, $G$2:G339), AVERAGE(FILTER($G$2:G339, $C$2:C339 = C339, $A$2:A339 &gt;= A339 - 30)))
"),"#DIV/0!")</f>
        <v>#DIV/0!</v>
      </c>
      <c r="I339" s="20" t="e">
        <f t="shared" ca="1" si="6"/>
        <v>#DIV/0!</v>
      </c>
      <c r="J339" s="20" t="str">
        <f ca="1">IFERROR(__xludf.DUMMYFUNCTION("IF(OR($I339=2, $I339=3), 0, IFERROR(COUNTIFS($C$2:C339, $C339, $A$2:A340, ""&gt;""&amp;IFERROR(MAX(FILTER($A$2:A340, $C$2:C339=$C339, $I$2:I339&lt;&gt;1)), 0), $I$2:I339, 1),1))
"),"#DIV/0!")</f>
        <v>#DIV/0!</v>
      </c>
      <c r="K339" s="20" t="e">
        <f t="shared" ca="1" si="7"/>
        <v>#DIV/0!</v>
      </c>
      <c r="L339" s="20" t="e">
        <f t="shared" ca="1" si="8"/>
        <v>#DIV/0!</v>
      </c>
      <c r="M339" s="21" t="e">
        <f t="shared" ca="1" si="9"/>
        <v>#DIV/0!</v>
      </c>
      <c r="N339" s="22" t="str">
        <f ca="1">IFERROR(__xludf.DUMMYFUNCTION("IF(COUNTIFS($C$2:C339, C339, $A$2:A339, ""&lt;="" &amp; A339) &lt; 30, STDEV.P(FILTER($G$2:G339, $C$2:C339 = C339)), STDEV.P(FILTER($G$2:G339, $C$2:C339 = C339, $A$2:A339 &gt;= A339 - 30)))
"),"#DIV/0!")</f>
        <v>#DIV/0!</v>
      </c>
    </row>
    <row r="340" spans="1:14" x14ac:dyDescent="0.2">
      <c r="A340" s="39"/>
      <c r="B340" s="32"/>
      <c r="C340" s="35"/>
      <c r="D340" s="20"/>
      <c r="E340" s="20"/>
      <c r="F340" s="20"/>
      <c r="G340" s="19" t="e">
        <f t="shared" si="5"/>
        <v>#DIV/0!</v>
      </c>
      <c r="H340" s="20" t="str">
        <f ca="1">IFERROR(__xludf.DUMMYFUNCTION("IF(COUNTIFS($C$2:C340, C340, $A$2:A340, ""&lt;="" &amp; A340) &lt; 30, AVERAGEIF($C$2:C340, C340, $G$2:G340), AVERAGE(FILTER($G$2:G340, $C$2:C340 = C340, $A$2:A340 &gt;= A340 - 30)))
"),"#DIV/0!")</f>
        <v>#DIV/0!</v>
      </c>
      <c r="I340" s="20" t="e">
        <f t="shared" ca="1" si="6"/>
        <v>#DIV/0!</v>
      </c>
      <c r="J340" s="20" t="str">
        <f ca="1">IFERROR(__xludf.DUMMYFUNCTION("IF(OR($I340=2, $I340=3), 0, IFERROR(COUNTIFS($C$2:C340, $C340, $A$2:A341, ""&gt;""&amp;IFERROR(MAX(FILTER($A$2:A341, $C$2:C340=$C340, $I$2:I340&lt;&gt;1)), 0), $I$2:I340, 1),1))
"),"#DIV/0!")</f>
        <v>#DIV/0!</v>
      </c>
      <c r="K340" s="20" t="e">
        <f t="shared" ca="1" si="7"/>
        <v>#DIV/0!</v>
      </c>
      <c r="L340" s="20" t="e">
        <f t="shared" ca="1" si="8"/>
        <v>#DIV/0!</v>
      </c>
      <c r="M340" s="21" t="e">
        <f t="shared" ca="1" si="9"/>
        <v>#DIV/0!</v>
      </c>
      <c r="N340" s="22" t="str">
        <f ca="1">IFERROR(__xludf.DUMMYFUNCTION("IF(COUNTIFS($C$2:C340, C340, $A$2:A340, ""&lt;="" &amp; A340) &lt; 30, STDEV.P(FILTER($G$2:G340, $C$2:C340 = C340)), STDEV.P(FILTER($G$2:G340, $C$2:C340 = C340, $A$2:A340 &gt;= A340 - 30)))
"),"#DIV/0!")</f>
        <v>#DIV/0!</v>
      </c>
    </row>
    <row r="341" spans="1:14" x14ac:dyDescent="0.2">
      <c r="A341" s="39"/>
      <c r="B341" s="32"/>
      <c r="C341" s="35"/>
      <c r="D341" s="20"/>
      <c r="E341" s="20"/>
      <c r="F341" s="20"/>
      <c r="G341" s="19" t="e">
        <f t="shared" si="5"/>
        <v>#DIV/0!</v>
      </c>
      <c r="H341" s="20" t="str">
        <f ca="1">IFERROR(__xludf.DUMMYFUNCTION("IF(COUNTIFS($C$2:C341, C341, $A$2:A341, ""&lt;="" &amp; A341) &lt; 30, AVERAGEIF($C$2:C341, C341, $G$2:G341), AVERAGE(FILTER($G$2:G341, $C$2:C341 = C341, $A$2:A341 &gt;= A341 - 30)))
"),"#DIV/0!")</f>
        <v>#DIV/0!</v>
      </c>
      <c r="I341" s="20" t="e">
        <f t="shared" ca="1" si="6"/>
        <v>#DIV/0!</v>
      </c>
      <c r="J341" s="20" t="str">
        <f ca="1">IFERROR(__xludf.DUMMYFUNCTION("IF(OR($I341=2, $I341=3), 0, IFERROR(COUNTIFS($C$2:C341, $C341, $A$2:A342, ""&gt;""&amp;IFERROR(MAX(FILTER($A$2:A342, $C$2:C341=$C341, $I$2:I341&lt;&gt;1)), 0), $I$2:I341, 1),1))
"),"#DIV/0!")</f>
        <v>#DIV/0!</v>
      </c>
      <c r="K341" s="20" t="e">
        <f t="shared" ca="1" si="7"/>
        <v>#DIV/0!</v>
      </c>
      <c r="L341" s="20" t="e">
        <f t="shared" ca="1" si="8"/>
        <v>#DIV/0!</v>
      </c>
      <c r="M341" s="21" t="e">
        <f t="shared" ca="1" si="9"/>
        <v>#DIV/0!</v>
      </c>
      <c r="N341" s="22" t="str">
        <f ca="1">IFERROR(__xludf.DUMMYFUNCTION("IF(COUNTIFS($C$2:C341, C341, $A$2:A341, ""&lt;="" &amp; A341) &lt; 30, STDEV.P(FILTER($G$2:G341, $C$2:C341 = C341)), STDEV.P(FILTER($G$2:G341, $C$2:C341 = C341, $A$2:A341 &gt;= A341 - 30)))
"),"#DIV/0!")</f>
        <v>#DIV/0!</v>
      </c>
    </row>
    <row r="342" spans="1:14" x14ac:dyDescent="0.2">
      <c r="A342" s="39"/>
      <c r="B342" s="32"/>
      <c r="C342" s="35"/>
      <c r="D342" s="20"/>
      <c r="E342" s="20"/>
      <c r="F342" s="20"/>
      <c r="G342" s="19" t="e">
        <f t="shared" si="5"/>
        <v>#DIV/0!</v>
      </c>
      <c r="H342" s="20" t="str">
        <f ca="1">IFERROR(__xludf.DUMMYFUNCTION("IF(COUNTIFS($C$2:C342, C342, $A$2:A342, ""&lt;="" &amp; A342) &lt; 30, AVERAGEIF($C$2:C342, C342, $G$2:G342), AVERAGE(FILTER($G$2:G342, $C$2:C342 = C342, $A$2:A342 &gt;= A342 - 30)))
"),"#DIV/0!")</f>
        <v>#DIV/0!</v>
      </c>
      <c r="I342" s="20" t="e">
        <f t="shared" ca="1" si="6"/>
        <v>#DIV/0!</v>
      </c>
      <c r="J342" s="20" t="str">
        <f ca="1">IFERROR(__xludf.DUMMYFUNCTION("IF(OR($I342=2, $I342=3), 0, IFERROR(COUNTIFS($C$2:C342, $C342, $A$2:A343, ""&gt;""&amp;IFERROR(MAX(FILTER($A$2:A343, $C$2:C342=$C342, $I$2:I342&lt;&gt;1)), 0), $I$2:I342, 1),1))
"),"#DIV/0!")</f>
        <v>#DIV/0!</v>
      </c>
      <c r="K342" s="20" t="e">
        <f t="shared" ca="1" si="7"/>
        <v>#DIV/0!</v>
      </c>
      <c r="L342" s="20" t="e">
        <f t="shared" ca="1" si="8"/>
        <v>#DIV/0!</v>
      </c>
      <c r="M342" s="21" t="e">
        <f t="shared" ca="1" si="9"/>
        <v>#DIV/0!</v>
      </c>
      <c r="N342" s="22" t="str">
        <f ca="1">IFERROR(__xludf.DUMMYFUNCTION("IF(COUNTIFS($C$2:C342, C342, $A$2:A342, ""&lt;="" &amp; A342) &lt; 30, STDEV.P(FILTER($G$2:G342, $C$2:C342 = C342)), STDEV.P(FILTER($G$2:G342, $C$2:C342 = C342, $A$2:A342 &gt;= A342 - 30)))
"),"#DIV/0!")</f>
        <v>#DIV/0!</v>
      </c>
    </row>
    <row r="343" spans="1:14" x14ac:dyDescent="0.2">
      <c r="A343" s="39"/>
      <c r="B343" s="32"/>
      <c r="C343" s="35"/>
      <c r="D343" s="20"/>
      <c r="E343" s="20"/>
      <c r="F343" s="20"/>
      <c r="G343" s="19" t="e">
        <f t="shared" si="5"/>
        <v>#DIV/0!</v>
      </c>
      <c r="H343" s="20" t="str">
        <f ca="1">IFERROR(__xludf.DUMMYFUNCTION("IF(COUNTIFS($C$2:C343, C343, $A$2:A343, ""&lt;="" &amp; A343) &lt; 30, AVERAGEIF($C$2:C343, C343, $G$2:G343), AVERAGE(FILTER($G$2:G343, $C$2:C343 = C343, $A$2:A343 &gt;= A343 - 30)))
"),"#DIV/0!")</f>
        <v>#DIV/0!</v>
      </c>
      <c r="I343" s="20" t="e">
        <f t="shared" ca="1" si="6"/>
        <v>#DIV/0!</v>
      </c>
      <c r="J343" s="20" t="str">
        <f ca="1">IFERROR(__xludf.DUMMYFUNCTION("IF(OR($I343=2, $I343=3), 0, IFERROR(COUNTIFS($C$2:C343, $C343, $A$2:A344, ""&gt;""&amp;IFERROR(MAX(FILTER($A$2:A344, $C$2:C343=$C343, $I$2:I343&lt;&gt;1)), 0), $I$2:I343, 1),1))
"),"#DIV/0!")</f>
        <v>#DIV/0!</v>
      </c>
      <c r="K343" s="20" t="e">
        <f t="shared" ca="1" si="7"/>
        <v>#DIV/0!</v>
      </c>
      <c r="L343" s="20" t="e">
        <f t="shared" ca="1" si="8"/>
        <v>#DIV/0!</v>
      </c>
      <c r="M343" s="21" t="e">
        <f t="shared" ca="1" si="9"/>
        <v>#DIV/0!</v>
      </c>
      <c r="N343" s="22" t="str">
        <f ca="1">IFERROR(__xludf.DUMMYFUNCTION("IF(COUNTIFS($C$2:C343, C343, $A$2:A343, ""&lt;="" &amp; A343) &lt; 30, STDEV.P(FILTER($G$2:G343, $C$2:C343 = C343)), STDEV.P(FILTER($G$2:G343, $C$2:C343 = C343, $A$2:A343 &gt;= A343 - 30)))
"),"#DIV/0!")</f>
        <v>#DIV/0!</v>
      </c>
    </row>
    <row r="344" spans="1:14" x14ac:dyDescent="0.2">
      <c r="A344" s="39"/>
      <c r="B344" s="32"/>
      <c r="C344" s="35"/>
      <c r="D344" s="20"/>
      <c r="E344" s="20"/>
      <c r="F344" s="20"/>
      <c r="G344" s="19" t="e">
        <f t="shared" si="5"/>
        <v>#DIV/0!</v>
      </c>
      <c r="H344" s="20" t="str">
        <f ca="1">IFERROR(__xludf.DUMMYFUNCTION("IF(COUNTIFS($C$2:C344, C344, $A$2:A344, ""&lt;="" &amp; A344) &lt; 30, AVERAGEIF($C$2:C344, C344, $G$2:G344), AVERAGE(FILTER($G$2:G344, $C$2:C344 = C344, $A$2:A344 &gt;= A344 - 30)))
"),"#DIV/0!")</f>
        <v>#DIV/0!</v>
      </c>
      <c r="I344" s="20" t="e">
        <f t="shared" ca="1" si="6"/>
        <v>#DIV/0!</v>
      </c>
      <c r="J344" s="20" t="str">
        <f ca="1">IFERROR(__xludf.DUMMYFUNCTION("IF(OR($I344=2, $I344=3), 0, IFERROR(COUNTIFS($C$2:C344, $C344, $A$2:A345, ""&gt;""&amp;IFERROR(MAX(FILTER($A$2:A345, $C$2:C344=$C344, $I$2:I344&lt;&gt;1)), 0), $I$2:I344, 1),1))
"),"#DIV/0!")</f>
        <v>#DIV/0!</v>
      </c>
      <c r="K344" s="20" t="e">
        <f t="shared" ca="1" si="7"/>
        <v>#DIV/0!</v>
      </c>
      <c r="L344" s="20" t="e">
        <f t="shared" ca="1" si="8"/>
        <v>#DIV/0!</v>
      </c>
      <c r="M344" s="21" t="e">
        <f t="shared" ca="1" si="9"/>
        <v>#DIV/0!</v>
      </c>
      <c r="N344" s="22" t="str">
        <f ca="1">IFERROR(__xludf.DUMMYFUNCTION("IF(COUNTIFS($C$2:C344, C344, $A$2:A344, ""&lt;="" &amp; A344) &lt; 30, STDEV.P(FILTER($G$2:G344, $C$2:C344 = C344)), STDEV.P(FILTER($G$2:G344, $C$2:C344 = C344, $A$2:A344 &gt;= A344 - 30)))
"),"#DIV/0!")</f>
        <v>#DIV/0!</v>
      </c>
    </row>
    <row r="345" spans="1:14" x14ac:dyDescent="0.2">
      <c r="A345" s="39"/>
      <c r="B345" s="40"/>
      <c r="C345" s="35"/>
      <c r="D345" s="19"/>
      <c r="E345" s="19"/>
      <c r="F345" s="19"/>
      <c r="G345" s="19" t="e">
        <f t="shared" si="5"/>
        <v>#DIV/0!</v>
      </c>
      <c r="H345" s="20" t="str">
        <f ca="1">IFERROR(__xludf.DUMMYFUNCTION("IF(COUNTIFS($C$2:C345, C345, $A$2:A345, ""&lt;="" &amp; A345) &lt; 30, AVERAGEIF($C$2:C345, C345, $G$2:G345), AVERAGE(FILTER($G$2:G345, $C$2:C345 = C345, $A$2:A345 &gt;= A345 - 30)))
"),"#DIV/0!")</f>
        <v>#DIV/0!</v>
      </c>
      <c r="I345" s="20" t="e">
        <f t="shared" ca="1" si="6"/>
        <v>#DIV/0!</v>
      </c>
      <c r="J345" s="20" t="str">
        <f ca="1">IFERROR(__xludf.DUMMYFUNCTION("IF(OR($I345=2, $I345=3), 0, IFERROR(COUNTIFS($C$2:C345, $C345, $A$2:A346, ""&gt;""&amp;IFERROR(MAX(FILTER($A$2:A346, $C$2:C345=$C345, $I$2:I345&lt;&gt;1)), 0), $I$2:I345, 1),1))
"),"#DIV/0!")</f>
        <v>#DIV/0!</v>
      </c>
      <c r="K345" s="20" t="e">
        <f t="shared" ca="1" si="7"/>
        <v>#DIV/0!</v>
      </c>
      <c r="L345" s="20" t="e">
        <f t="shared" ca="1" si="8"/>
        <v>#DIV/0!</v>
      </c>
      <c r="M345" s="21" t="e">
        <f t="shared" ca="1" si="9"/>
        <v>#DIV/0!</v>
      </c>
      <c r="N345" s="22" t="str">
        <f ca="1">IFERROR(__xludf.DUMMYFUNCTION("IF(COUNTIFS($C$2:C345, C345, $A$2:A345, ""&lt;="" &amp; A345) &lt; 30, STDEV.P(FILTER($G$2:G345, $C$2:C345 = C345)), STDEV.P(FILTER($G$2:G345, $C$2:C345 = C345, $A$2:A345 &gt;= A345 - 30)))
"),"#DIV/0!")</f>
        <v>#DIV/0!</v>
      </c>
    </row>
    <row r="346" spans="1:14" x14ac:dyDescent="0.2">
      <c r="A346" s="39"/>
      <c r="B346" s="40"/>
      <c r="C346" s="35"/>
      <c r="D346" s="19"/>
      <c r="E346" s="19"/>
      <c r="F346" s="19"/>
      <c r="G346" s="19" t="e">
        <f t="shared" si="5"/>
        <v>#DIV/0!</v>
      </c>
      <c r="H346" s="20" t="str">
        <f ca="1">IFERROR(__xludf.DUMMYFUNCTION("IF(COUNTIFS($C$2:C346, C346, $A$2:A346, ""&lt;="" &amp; A346) &lt; 30, AVERAGEIF($C$2:C346, C346, $G$2:G346), AVERAGE(FILTER($G$2:G346, $C$2:C346 = C346, $A$2:A346 &gt;= A346 - 30)))
"),"#DIV/0!")</f>
        <v>#DIV/0!</v>
      </c>
      <c r="I346" s="20" t="e">
        <f t="shared" ca="1" si="6"/>
        <v>#DIV/0!</v>
      </c>
      <c r="J346" s="20" t="str">
        <f ca="1">IFERROR(__xludf.DUMMYFUNCTION("IF(OR($I346=2, $I346=3), 0, IFERROR(COUNTIFS($C$2:C346, $C346, $A$2:A347, ""&gt;""&amp;IFERROR(MAX(FILTER($A$2:A347, $C$2:C346=$C346, $I$2:I346&lt;&gt;1)), 0), $I$2:I346, 1),1))
"),"#DIV/0!")</f>
        <v>#DIV/0!</v>
      </c>
      <c r="K346" s="20" t="e">
        <f t="shared" ca="1" si="7"/>
        <v>#DIV/0!</v>
      </c>
      <c r="L346" s="20" t="e">
        <f t="shared" ca="1" si="8"/>
        <v>#DIV/0!</v>
      </c>
      <c r="M346" s="21" t="e">
        <f t="shared" ca="1" si="9"/>
        <v>#DIV/0!</v>
      </c>
      <c r="N346" s="22" t="str">
        <f ca="1">IFERROR(__xludf.DUMMYFUNCTION("IF(COUNTIFS($C$2:C346, C346, $A$2:A346, ""&lt;="" &amp; A346) &lt; 30, STDEV.P(FILTER($G$2:G346, $C$2:C346 = C346)), STDEV.P(FILTER($G$2:G346, $C$2:C346 = C346, $A$2:A346 &gt;= A346 - 30)))
"),"#DIV/0!")</f>
        <v>#DIV/0!</v>
      </c>
    </row>
    <row r="347" spans="1:14" x14ac:dyDescent="0.2">
      <c r="A347" s="39"/>
      <c r="B347" s="40"/>
      <c r="C347" s="35"/>
      <c r="D347" s="19"/>
      <c r="E347" s="19"/>
      <c r="F347" s="19"/>
      <c r="G347" s="19" t="e">
        <f t="shared" si="5"/>
        <v>#DIV/0!</v>
      </c>
      <c r="H347" s="20" t="str">
        <f ca="1">IFERROR(__xludf.DUMMYFUNCTION("IF(COUNTIFS($C$2:C347, C347, $A$2:A347, ""&lt;="" &amp; A347) &lt; 30, AVERAGEIF($C$2:C347, C347, $G$2:G347), AVERAGE(FILTER($G$2:G347, $C$2:C347 = C347, $A$2:A347 &gt;= A347 - 30)))
"),"#DIV/0!")</f>
        <v>#DIV/0!</v>
      </c>
      <c r="I347" s="20" t="e">
        <f t="shared" ca="1" si="6"/>
        <v>#DIV/0!</v>
      </c>
      <c r="J347" s="20" t="str">
        <f ca="1">IFERROR(__xludf.DUMMYFUNCTION("IF(OR($I347=2, $I347=3), 0, IFERROR(COUNTIFS($C$2:C347, $C347, $A$2:A348, ""&gt;""&amp;IFERROR(MAX(FILTER($A$2:A348, $C$2:C347=$C347, $I$2:I347&lt;&gt;1)), 0), $I$2:I347, 1),1))
"),"#DIV/0!")</f>
        <v>#DIV/0!</v>
      </c>
      <c r="K347" s="20" t="e">
        <f t="shared" ca="1" si="7"/>
        <v>#DIV/0!</v>
      </c>
      <c r="L347" s="20" t="e">
        <f t="shared" ca="1" si="8"/>
        <v>#DIV/0!</v>
      </c>
      <c r="M347" s="21" t="e">
        <f t="shared" ca="1" si="9"/>
        <v>#DIV/0!</v>
      </c>
      <c r="N347" s="22" t="str">
        <f ca="1">IFERROR(__xludf.DUMMYFUNCTION("IF(COUNTIFS($C$2:C347, C347, $A$2:A347, ""&lt;="" &amp; A347) &lt; 30, STDEV.P(FILTER($G$2:G347, $C$2:C347 = C347)), STDEV.P(FILTER($G$2:G347, $C$2:C347 = C347, $A$2:A347 &gt;= A347 - 30)))
"),"#DIV/0!")</f>
        <v>#DIV/0!</v>
      </c>
    </row>
    <row r="348" spans="1:14" x14ac:dyDescent="0.2">
      <c r="A348" s="39"/>
      <c r="B348" s="40"/>
      <c r="C348" s="35"/>
      <c r="D348" s="19"/>
      <c r="E348" s="19"/>
      <c r="F348" s="19"/>
      <c r="G348" s="19" t="e">
        <f t="shared" si="5"/>
        <v>#DIV/0!</v>
      </c>
      <c r="H348" s="20" t="str">
        <f ca="1">IFERROR(__xludf.DUMMYFUNCTION("IF(COUNTIFS($C$2:C348, C348, $A$2:A348, ""&lt;="" &amp; A348) &lt; 30, AVERAGEIF($C$2:C348, C348, $G$2:G348), AVERAGE(FILTER($G$2:G348, $C$2:C348 = C348, $A$2:A348 &gt;= A348 - 30)))
"),"#DIV/0!")</f>
        <v>#DIV/0!</v>
      </c>
      <c r="I348" s="20" t="e">
        <f t="shared" ca="1" si="6"/>
        <v>#DIV/0!</v>
      </c>
      <c r="J348" s="20" t="str">
        <f ca="1">IFERROR(__xludf.DUMMYFUNCTION("IF(OR($I348=2, $I348=3), 0, IFERROR(COUNTIFS($C$2:C348, $C348, $A$2:A349, ""&gt;""&amp;IFERROR(MAX(FILTER($A$2:A349, $C$2:C348=$C348, $I$2:I348&lt;&gt;1)), 0), $I$2:I348, 1),1))
"),"#DIV/0!")</f>
        <v>#DIV/0!</v>
      </c>
      <c r="K348" s="20" t="e">
        <f t="shared" ca="1" si="7"/>
        <v>#DIV/0!</v>
      </c>
      <c r="L348" s="20" t="e">
        <f t="shared" ca="1" si="8"/>
        <v>#DIV/0!</v>
      </c>
      <c r="M348" s="21" t="e">
        <f t="shared" ca="1" si="9"/>
        <v>#DIV/0!</v>
      </c>
      <c r="N348" s="22" t="str">
        <f ca="1">IFERROR(__xludf.DUMMYFUNCTION("IF(COUNTIFS($C$2:C348, C348, $A$2:A348, ""&lt;="" &amp; A348) &lt; 30, STDEV.P(FILTER($G$2:G348, $C$2:C348 = C348)), STDEV.P(FILTER($G$2:G348, $C$2:C348 = C348, $A$2:A348 &gt;= A348 - 30)))
"),"#DIV/0!")</f>
        <v>#DIV/0!</v>
      </c>
    </row>
    <row r="349" spans="1:14" x14ac:dyDescent="0.2">
      <c r="A349" s="39"/>
      <c r="B349" s="40"/>
      <c r="C349" s="35"/>
      <c r="D349" s="19"/>
      <c r="E349" s="19"/>
      <c r="F349" s="19"/>
      <c r="G349" s="19" t="e">
        <f t="shared" si="5"/>
        <v>#DIV/0!</v>
      </c>
      <c r="H349" s="20" t="str">
        <f ca="1">IFERROR(__xludf.DUMMYFUNCTION("IF(COUNTIFS($C$2:C349, C349, $A$2:A349, ""&lt;="" &amp; A349) &lt; 30, AVERAGEIF($C$2:C349, C349, $G$2:G349), AVERAGE(FILTER($G$2:G349, $C$2:C349 = C349, $A$2:A349 &gt;= A349 - 30)))
"),"#DIV/0!")</f>
        <v>#DIV/0!</v>
      </c>
      <c r="I349" s="20" t="e">
        <f t="shared" ca="1" si="6"/>
        <v>#DIV/0!</v>
      </c>
      <c r="J349" s="20" t="str">
        <f ca="1">IFERROR(__xludf.DUMMYFUNCTION("IF(OR($I349=2, $I349=3), 0, IFERROR(COUNTIFS($C$2:C349, $C349, $A$2:A350, ""&gt;""&amp;IFERROR(MAX(FILTER($A$2:A350, $C$2:C349=$C349, $I$2:I349&lt;&gt;1)), 0), $I$2:I349, 1),1))
"),"#DIV/0!")</f>
        <v>#DIV/0!</v>
      </c>
      <c r="K349" s="20" t="e">
        <f t="shared" ca="1" si="7"/>
        <v>#DIV/0!</v>
      </c>
      <c r="L349" s="20" t="e">
        <f t="shared" ca="1" si="8"/>
        <v>#DIV/0!</v>
      </c>
      <c r="M349" s="21" t="e">
        <f t="shared" ca="1" si="9"/>
        <v>#DIV/0!</v>
      </c>
      <c r="N349" s="22" t="str">
        <f ca="1">IFERROR(__xludf.DUMMYFUNCTION("IF(COUNTIFS($C$2:C349, C349, $A$2:A349, ""&lt;="" &amp; A349) &lt; 30, STDEV.P(FILTER($G$2:G349, $C$2:C349 = C349)), STDEV.P(FILTER($G$2:G349, $C$2:C349 = C349, $A$2:A349 &gt;= A349 - 30)))
"),"#DIV/0!")</f>
        <v>#DIV/0!</v>
      </c>
    </row>
    <row r="350" spans="1:14" x14ac:dyDescent="0.2">
      <c r="A350" s="39"/>
      <c r="B350" s="40"/>
      <c r="C350" s="35"/>
      <c r="D350" s="19"/>
      <c r="E350" s="19"/>
      <c r="F350" s="19"/>
      <c r="G350" s="19" t="e">
        <f t="shared" si="5"/>
        <v>#DIV/0!</v>
      </c>
      <c r="H350" s="20" t="str">
        <f ca="1">IFERROR(__xludf.DUMMYFUNCTION("IF(COUNTIFS($C$2:C350, C350, $A$2:A350, ""&lt;="" &amp; A350) &lt; 30, AVERAGEIF($C$2:C350, C350, $G$2:G350), AVERAGE(FILTER($G$2:G350, $C$2:C350 = C350, $A$2:A350 &gt;= A350 - 30)))
"),"#DIV/0!")</f>
        <v>#DIV/0!</v>
      </c>
      <c r="I350" s="20" t="e">
        <f t="shared" ca="1" si="6"/>
        <v>#DIV/0!</v>
      </c>
      <c r="J350" s="20" t="str">
        <f ca="1">IFERROR(__xludf.DUMMYFUNCTION("IF(OR($I350=2, $I350=3), 0, IFERROR(COUNTIFS($C$2:C350, $C350, $A$2:A351, ""&gt;""&amp;IFERROR(MAX(FILTER($A$2:A351, $C$2:C350=$C350, $I$2:I350&lt;&gt;1)), 0), $I$2:I350, 1),1))
"),"#DIV/0!")</f>
        <v>#DIV/0!</v>
      </c>
      <c r="K350" s="20" t="e">
        <f t="shared" ca="1" si="7"/>
        <v>#DIV/0!</v>
      </c>
      <c r="L350" s="20" t="e">
        <f t="shared" ca="1" si="8"/>
        <v>#DIV/0!</v>
      </c>
      <c r="M350" s="21" t="e">
        <f t="shared" ca="1" si="9"/>
        <v>#DIV/0!</v>
      </c>
      <c r="N350" s="22" t="str">
        <f ca="1">IFERROR(__xludf.DUMMYFUNCTION("IF(COUNTIFS($C$2:C350, C350, $A$2:A350, ""&lt;="" &amp; A350) &lt; 30, STDEV.P(FILTER($G$2:G350, $C$2:C350 = C350)), STDEV.P(FILTER($G$2:G350, $C$2:C350 = C350, $A$2:A350 &gt;= A350 - 30)))
"),"#DIV/0!")</f>
        <v>#DIV/0!</v>
      </c>
    </row>
    <row r="351" spans="1:14" x14ac:dyDescent="0.2">
      <c r="A351" s="39"/>
      <c r="B351" s="40"/>
      <c r="C351" s="35"/>
      <c r="D351" s="19"/>
      <c r="E351" s="19"/>
      <c r="F351" s="19"/>
      <c r="G351" s="19" t="e">
        <f t="shared" si="5"/>
        <v>#DIV/0!</v>
      </c>
      <c r="H351" s="20" t="str">
        <f ca="1">IFERROR(__xludf.DUMMYFUNCTION("IF(COUNTIFS($C$2:C351, C351, $A$2:A351, ""&lt;="" &amp; A351) &lt; 30, AVERAGEIF($C$2:C351, C351, $G$2:G351), AVERAGE(FILTER($G$2:G351, $C$2:C351 = C351, $A$2:A351 &gt;= A351 - 30)))
"),"#DIV/0!")</f>
        <v>#DIV/0!</v>
      </c>
      <c r="I351" s="20" t="e">
        <f t="shared" ca="1" si="6"/>
        <v>#DIV/0!</v>
      </c>
      <c r="J351" s="20" t="str">
        <f ca="1">IFERROR(__xludf.DUMMYFUNCTION("IF(OR($I351=2, $I351=3), 0, IFERROR(COUNTIFS($C$2:C351, $C351, $A$2:A352, ""&gt;""&amp;IFERROR(MAX(FILTER($A$2:A352, $C$2:C351=$C351, $I$2:I351&lt;&gt;1)), 0), $I$2:I351, 1),1))
"),"#DIV/0!")</f>
        <v>#DIV/0!</v>
      </c>
      <c r="K351" s="20" t="e">
        <f t="shared" ca="1" si="7"/>
        <v>#DIV/0!</v>
      </c>
      <c r="L351" s="20" t="e">
        <f t="shared" ca="1" si="8"/>
        <v>#DIV/0!</v>
      </c>
      <c r="M351" s="21" t="e">
        <f t="shared" ca="1" si="9"/>
        <v>#DIV/0!</v>
      </c>
      <c r="N351" s="22" t="str">
        <f ca="1">IFERROR(__xludf.DUMMYFUNCTION("IF(COUNTIFS($C$2:C351, C351, $A$2:A351, ""&lt;="" &amp; A351) &lt; 30, STDEV.P(FILTER($G$2:G351, $C$2:C351 = C351)), STDEV.P(FILTER($G$2:G351, $C$2:C351 = C351, $A$2:A351 &gt;= A351 - 30)))
"),"#DIV/0!")</f>
        <v>#DIV/0!</v>
      </c>
    </row>
    <row r="352" spans="1:14" x14ac:dyDescent="0.2">
      <c r="A352" s="39"/>
      <c r="B352" s="32"/>
      <c r="C352" s="35"/>
      <c r="D352" s="19"/>
      <c r="E352" s="19"/>
      <c r="F352" s="19"/>
      <c r="G352" s="19" t="e">
        <f t="shared" si="5"/>
        <v>#DIV/0!</v>
      </c>
      <c r="H352" s="20" t="str">
        <f ca="1">IFERROR(__xludf.DUMMYFUNCTION("IF(COUNTIFS($C$2:C352, C352, $A$2:A352, ""&lt;="" &amp; A352) &lt; 30, AVERAGEIF($C$2:C352, C352, $G$2:G352), AVERAGE(FILTER($G$2:G352, $C$2:C352 = C352, $A$2:A352 &gt;= A352 - 30)))
"),"#DIV/0!")</f>
        <v>#DIV/0!</v>
      </c>
      <c r="I352" s="20" t="e">
        <f t="shared" ca="1" si="6"/>
        <v>#DIV/0!</v>
      </c>
      <c r="J352" s="20" t="str">
        <f ca="1">IFERROR(__xludf.DUMMYFUNCTION("IF(OR($I352=2, $I352=3), 0, IFERROR(COUNTIFS($C$2:C352, $C352, $A$2:A353, ""&gt;""&amp;IFERROR(MAX(FILTER($A$2:A353, $C$2:C352=$C352, $I$2:I352&lt;&gt;1)), 0), $I$2:I352, 1),1))
"),"#DIV/0!")</f>
        <v>#DIV/0!</v>
      </c>
      <c r="K352" s="20" t="e">
        <f t="shared" ca="1" si="7"/>
        <v>#DIV/0!</v>
      </c>
      <c r="L352" s="20" t="e">
        <f t="shared" ca="1" si="8"/>
        <v>#DIV/0!</v>
      </c>
      <c r="M352" s="21" t="e">
        <f t="shared" ca="1" si="9"/>
        <v>#DIV/0!</v>
      </c>
      <c r="N352" s="22" t="str">
        <f ca="1">IFERROR(__xludf.DUMMYFUNCTION("IF(COUNTIFS($C$2:C352, C352, $A$2:A352, ""&lt;="" &amp; A352) &lt; 30, STDEV.P(FILTER($G$2:G352, $C$2:C352 = C352)), STDEV.P(FILTER($G$2:G352, $C$2:C352 = C352, $A$2:A352 &gt;= A352 - 30)))
"),"#DIV/0!")</f>
        <v>#DIV/0!</v>
      </c>
    </row>
    <row r="353" spans="1:14" x14ac:dyDescent="0.2">
      <c r="A353" s="39"/>
      <c r="B353" s="32"/>
      <c r="C353" s="35"/>
      <c r="D353" s="19"/>
      <c r="E353" s="19"/>
      <c r="F353" s="19"/>
      <c r="G353" s="19" t="e">
        <f t="shared" si="5"/>
        <v>#DIV/0!</v>
      </c>
      <c r="H353" s="20" t="str">
        <f ca="1">IFERROR(__xludf.DUMMYFUNCTION("IF(COUNTIFS($C$2:C353, C353, $A$2:A353, ""&lt;="" &amp; A353) &lt; 30, AVERAGEIF($C$2:C353, C353, $G$2:G353), AVERAGE(FILTER($G$2:G353, $C$2:C353 = C353, $A$2:A353 &gt;= A353 - 30)))
"),"#DIV/0!")</f>
        <v>#DIV/0!</v>
      </c>
      <c r="I353" s="20" t="e">
        <f t="shared" ca="1" si="6"/>
        <v>#DIV/0!</v>
      </c>
      <c r="J353" s="20" t="str">
        <f ca="1">IFERROR(__xludf.DUMMYFUNCTION("IF(OR($I353=2, $I353=3), 0, IFERROR(COUNTIFS($C$2:C353, $C353, $A$2:A354, ""&gt;""&amp;IFERROR(MAX(FILTER($A$2:A354, $C$2:C353=$C353, $I$2:I353&lt;&gt;1)), 0), $I$2:I353, 1),1))
"),"#DIV/0!")</f>
        <v>#DIV/0!</v>
      </c>
      <c r="K353" s="20" t="e">
        <f t="shared" ca="1" si="7"/>
        <v>#DIV/0!</v>
      </c>
      <c r="L353" s="20" t="e">
        <f t="shared" ca="1" si="8"/>
        <v>#DIV/0!</v>
      </c>
      <c r="M353" s="21" t="e">
        <f t="shared" ca="1" si="9"/>
        <v>#DIV/0!</v>
      </c>
      <c r="N353" s="22" t="str">
        <f ca="1">IFERROR(__xludf.DUMMYFUNCTION("IF(COUNTIFS($C$2:C353, C353, $A$2:A353, ""&lt;="" &amp; A353) &lt; 30, STDEV.P(FILTER($G$2:G353, $C$2:C353 = C353)), STDEV.P(FILTER($G$2:G353, $C$2:C353 = C353, $A$2:A353 &gt;= A353 - 30)))
"),"#DIV/0!")</f>
        <v>#DIV/0!</v>
      </c>
    </row>
    <row r="354" spans="1:14" x14ac:dyDescent="0.2">
      <c r="A354" s="39"/>
      <c r="B354" s="32"/>
      <c r="C354" s="35"/>
      <c r="D354" s="19"/>
      <c r="E354" s="19"/>
      <c r="F354" s="19"/>
      <c r="G354" s="19" t="e">
        <f t="shared" si="5"/>
        <v>#DIV/0!</v>
      </c>
      <c r="H354" s="20" t="str">
        <f ca="1">IFERROR(__xludf.DUMMYFUNCTION("IF(COUNTIFS($C$2:C354, C354, $A$2:A354, ""&lt;="" &amp; A354) &lt; 30, AVERAGEIF($C$2:C354, C354, $G$2:G354), AVERAGE(FILTER($G$2:G354, $C$2:C354 = C354, $A$2:A354 &gt;= A354 - 30)))
"),"#DIV/0!")</f>
        <v>#DIV/0!</v>
      </c>
      <c r="I354" s="20" t="e">
        <f t="shared" ca="1" si="6"/>
        <v>#DIV/0!</v>
      </c>
      <c r="J354" s="20" t="str">
        <f ca="1">IFERROR(__xludf.DUMMYFUNCTION("IF(OR($I354=2, $I354=3), 0, IFERROR(COUNTIFS($C$2:C354, $C354, $A$2:A355, ""&gt;""&amp;IFERROR(MAX(FILTER($A$2:A355, $C$2:C354=$C354, $I$2:I354&lt;&gt;1)), 0), $I$2:I354, 1),1))
"),"#DIV/0!")</f>
        <v>#DIV/0!</v>
      </c>
      <c r="K354" s="20" t="e">
        <f t="shared" ca="1" si="7"/>
        <v>#DIV/0!</v>
      </c>
      <c r="L354" s="20" t="e">
        <f t="shared" ca="1" si="8"/>
        <v>#DIV/0!</v>
      </c>
      <c r="M354" s="21" t="e">
        <f t="shared" ca="1" si="9"/>
        <v>#DIV/0!</v>
      </c>
      <c r="N354" s="22" t="str">
        <f ca="1">IFERROR(__xludf.DUMMYFUNCTION("IF(COUNTIFS($C$2:C354, C354, $A$2:A354, ""&lt;="" &amp; A354) &lt; 30, STDEV.P(FILTER($G$2:G354, $C$2:C354 = C354)), STDEV.P(FILTER($G$2:G354, $C$2:C354 = C354, $A$2:A354 &gt;= A354 - 30)))
"),"#DIV/0!")</f>
        <v>#DIV/0!</v>
      </c>
    </row>
    <row r="355" spans="1:14" x14ac:dyDescent="0.2">
      <c r="A355" s="39"/>
      <c r="B355" s="32"/>
      <c r="C355" s="35"/>
      <c r="D355" s="19"/>
      <c r="E355" s="19"/>
      <c r="F355" s="19"/>
      <c r="G355" s="19" t="e">
        <f t="shared" si="5"/>
        <v>#DIV/0!</v>
      </c>
      <c r="H355" s="20" t="str">
        <f ca="1">IFERROR(__xludf.DUMMYFUNCTION("IF(COUNTIFS($C$2:C355, C355, $A$2:A355, ""&lt;="" &amp; A355) &lt; 30, AVERAGEIF($C$2:C355, C355, $G$2:G355), AVERAGE(FILTER($G$2:G355, $C$2:C355 = C355, $A$2:A355 &gt;= A355 - 30)))
"),"#DIV/0!")</f>
        <v>#DIV/0!</v>
      </c>
      <c r="I355" s="20" t="e">
        <f t="shared" ca="1" si="6"/>
        <v>#DIV/0!</v>
      </c>
      <c r="J355" s="20" t="str">
        <f ca="1">IFERROR(__xludf.DUMMYFUNCTION("IF(OR($I355=2, $I355=3), 0, IFERROR(COUNTIFS($C$2:C355, $C355, $A$2:A356, ""&gt;""&amp;IFERROR(MAX(FILTER($A$2:A356, $C$2:C355=$C355, $I$2:I355&lt;&gt;1)), 0), $I$2:I355, 1),1))
"),"#DIV/0!")</f>
        <v>#DIV/0!</v>
      </c>
      <c r="K355" s="20" t="e">
        <f t="shared" ca="1" si="7"/>
        <v>#DIV/0!</v>
      </c>
      <c r="L355" s="20" t="e">
        <f t="shared" ca="1" si="8"/>
        <v>#DIV/0!</v>
      </c>
      <c r="M355" s="21" t="e">
        <f t="shared" ca="1" si="9"/>
        <v>#DIV/0!</v>
      </c>
      <c r="N355" s="22" t="str">
        <f ca="1">IFERROR(__xludf.DUMMYFUNCTION("IF(COUNTIFS($C$2:C355, C355, $A$2:A355, ""&lt;="" &amp; A355) &lt; 30, STDEV.P(FILTER($G$2:G355, $C$2:C355 = C355)), STDEV.P(FILTER($G$2:G355, $C$2:C355 = C355, $A$2:A355 &gt;= A355 - 30)))
"),"#DIV/0!")</f>
        <v>#DIV/0!</v>
      </c>
    </row>
    <row r="356" spans="1:14" x14ac:dyDescent="0.2">
      <c r="A356" s="39"/>
      <c r="B356" s="32"/>
      <c r="C356" s="35"/>
      <c r="D356" s="19"/>
      <c r="E356" s="19"/>
      <c r="F356" s="19"/>
      <c r="G356" s="19" t="e">
        <f t="shared" si="5"/>
        <v>#DIV/0!</v>
      </c>
      <c r="H356" s="20" t="str">
        <f ca="1">IFERROR(__xludf.DUMMYFUNCTION("IF(COUNTIFS($C$2:C356, C356, $A$2:A356, ""&lt;="" &amp; A356) &lt; 30, AVERAGEIF($C$2:C356, C356, $G$2:G356), AVERAGE(FILTER($G$2:G356, $C$2:C356 = C356, $A$2:A356 &gt;= A356 - 30)))
"),"#DIV/0!")</f>
        <v>#DIV/0!</v>
      </c>
      <c r="I356" s="20" t="e">
        <f t="shared" ca="1" si="6"/>
        <v>#DIV/0!</v>
      </c>
      <c r="J356" s="20" t="str">
        <f ca="1">IFERROR(__xludf.DUMMYFUNCTION("IF(OR($I356=2, $I356=3), 0, IFERROR(COUNTIFS($C$2:C356, $C356, $A$2:A357, ""&gt;""&amp;IFERROR(MAX(FILTER($A$2:A357, $C$2:C356=$C356, $I$2:I356&lt;&gt;1)), 0), $I$2:I356, 1),1))
"),"#DIV/0!")</f>
        <v>#DIV/0!</v>
      </c>
      <c r="K356" s="20" t="e">
        <f t="shared" ca="1" si="7"/>
        <v>#DIV/0!</v>
      </c>
      <c r="L356" s="20" t="e">
        <f t="shared" ca="1" si="8"/>
        <v>#DIV/0!</v>
      </c>
      <c r="M356" s="21" t="e">
        <f t="shared" ca="1" si="9"/>
        <v>#DIV/0!</v>
      </c>
      <c r="N356" s="22" t="str">
        <f ca="1">IFERROR(__xludf.DUMMYFUNCTION("IF(COUNTIFS($C$2:C356, C356, $A$2:A356, ""&lt;="" &amp; A356) &lt; 30, STDEV.P(FILTER($G$2:G356, $C$2:C356 = C356)), STDEV.P(FILTER($G$2:G356, $C$2:C356 = C356, $A$2:A356 &gt;= A356 - 30)))
"),"#DIV/0!")</f>
        <v>#DIV/0!</v>
      </c>
    </row>
    <row r="357" spans="1:14" x14ac:dyDescent="0.2">
      <c r="A357" s="37"/>
      <c r="B357" s="32"/>
      <c r="C357" s="35"/>
      <c r="D357" s="19"/>
      <c r="E357" s="19"/>
      <c r="F357" s="19"/>
      <c r="G357" s="19" t="e">
        <f t="shared" si="5"/>
        <v>#DIV/0!</v>
      </c>
      <c r="H357" s="20" t="str">
        <f ca="1">IFERROR(__xludf.DUMMYFUNCTION("IF(COUNTIFS($C$2:C357, C357, $A$2:A357, ""&lt;="" &amp; A357) &lt; 30, AVERAGEIF($C$2:C357, C357, $G$2:G357), AVERAGE(FILTER($G$2:G357, $C$2:C357 = C357, $A$2:A357 &gt;= A357 - 30)))
"),"#DIV/0!")</f>
        <v>#DIV/0!</v>
      </c>
      <c r="I357" s="20" t="e">
        <f t="shared" ca="1" si="6"/>
        <v>#DIV/0!</v>
      </c>
      <c r="J357" s="20" t="str">
        <f ca="1">IFERROR(__xludf.DUMMYFUNCTION("IF(OR($I357=2, $I357=3), 0, IFERROR(COUNTIFS($C$2:C357, $C357, $A$2:A358, ""&gt;""&amp;IFERROR(MAX(FILTER($A$2:A358, $C$2:C357=$C357, $I$2:I357&lt;&gt;1)), 0), $I$2:I357, 1),1))
"),"#DIV/0!")</f>
        <v>#DIV/0!</v>
      </c>
      <c r="K357" s="20" t="e">
        <f t="shared" ca="1" si="7"/>
        <v>#DIV/0!</v>
      </c>
      <c r="L357" s="20" t="e">
        <f t="shared" ca="1" si="8"/>
        <v>#DIV/0!</v>
      </c>
      <c r="M357" s="21" t="e">
        <f t="shared" ca="1" si="9"/>
        <v>#DIV/0!</v>
      </c>
      <c r="N357" s="36" t="str">
        <f ca="1">IFERROR(__xludf.DUMMYFUNCTION("IF(COUNTIFS($C$2:C357, C357, $A$2:A357, ""&lt;="" &amp; A357) &lt; 30, STDEV.P(FILTER($G$2:G357, $C$2:C357 = C357)), STDEV.P(FILTER($G$2:G357, $C$2:C357 = C357, $A$2:A357 &gt;= A357 - 30)))
"),"#DIV/0!")</f>
        <v>#DIV/0!</v>
      </c>
    </row>
    <row r="358" spans="1:14" x14ac:dyDescent="0.2">
      <c r="A358" s="37"/>
      <c r="B358" s="32"/>
      <c r="C358" s="35"/>
      <c r="D358" s="19"/>
      <c r="E358" s="19"/>
      <c r="F358" s="19"/>
      <c r="G358" s="19" t="e">
        <f t="shared" si="5"/>
        <v>#DIV/0!</v>
      </c>
      <c r="H358" s="20" t="str">
        <f ca="1">IFERROR(__xludf.DUMMYFUNCTION("IF(COUNTIFS($C$2:C358, C358, $A$2:A358, ""&lt;="" &amp; A358) &lt; 30, AVERAGEIF($C$2:C358, C358, $G$2:G358), AVERAGE(FILTER($G$2:G358, $C$2:C358 = C358, $A$2:A358 &gt;= A358 - 30)))
"),"#DIV/0!")</f>
        <v>#DIV/0!</v>
      </c>
      <c r="I358" s="20" t="e">
        <f t="shared" ca="1" si="6"/>
        <v>#DIV/0!</v>
      </c>
      <c r="J358" s="20" t="str">
        <f ca="1">IFERROR(__xludf.DUMMYFUNCTION("IF(OR($I358=2, $I358=3), 0, IFERROR(COUNTIFS($C$2:C358, $C358, $A$2:A359, ""&gt;""&amp;IFERROR(MAX(FILTER($A$2:A359, $C$2:C358=$C358, $I$2:I358&lt;&gt;1)), 0), $I$2:I358, 1),1))
"),"#DIV/0!")</f>
        <v>#DIV/0!</v>
      </c>
      <c r="K358" s="20" t="e">
        <f t="shared" ca="1" si="7"/>
        <v>#DIV/0!</v>
      </c>
      <c r="L358" s="20" t="e">
        <f t="shared" ca="1" si="8"/>
        <v>#DIV/0!</v>
      </c>
      <c r="M358" s="21" t="e">
        <f t="shared" ca="1" si="9"/>
        <v>#DIV/0!</v>
      </c>
      <c r="N358" s="36" t="str">
        <f ca="1">IFERROR(__xludf.DUMMYFUNCTION("IF(COUNTIFS($C$2:C358, C358, $A$2:A358, ""&lt;="" &amp; A358) &lt; 30, STDEV.P(FILTER($G$2:G358, $C$2:C358 = C358)), STDEV.P(FILTER($G$2:G358, $C$2:C358 = C358, $A$2:A358 &gt;= A358 - 30)))
"),"#DIV/0!")</f>
        <v>#DIV/0!</v>
      </c>
    </row>
    <row r="359" spans="1:14" x14ac:dyDescent="0.2">
      <c r="A359" s="39"/>
      <c r="B359" s="40"/>
      <c r="C359" s="35"/>
      <c r="D359" s="19"/>
      <c r="E359" s="19"/>
      <c r="F359" s="19"/>
      <c r="G359" s="19" t="e">
        <f t="shared" si="5"/>
        <v>#DIV/0!</v>
      </c>
      <c r="H359" s="20" t="str">
        <f ca="1">IFERROR(__xludf.DUMMYFUNCTION("IF(COUNTIFS($C$2:C359, C359, $A$2:A359, ""&lt;="" &amp; A359) &lt; 30, AVERAGEIF($C$2:C359, C359, $G$2:G359), AVERAGE(FILTER($G$2:G359, $C$2:C359 = C359, $A$2:A359 &gt;= A359 - 30)))
"),"#DIV/0!")</f>
        <v>#DIV/0!</v>
      </c>
      <c r="I359" s="20" t="e">
        <f t="shared" ca="1" si="6"/>
        <v>#DIV/0!</v>
      </c>
      <c r="J359" s="20" t="str">
        <f ca="1">IFERROR(__xludf.DUMMYFUNCTION("IF(OR($I359=2, $I359=3), 0, IFERROR(COUNTIFS($C$2:C359, $C359, $A$2:A360, ""&gt;""&amp;IFERROR(MAX(FILTER($A$2:A360, $C$2:C359=$C359, $I$2:I359&lt;&gt;1)), 0), $I$2:I359, 1),1))
"),"#DIV/0!")</f>
        <v>#DIV/0!</v>
      </c>
      <c r="K359" s="20" t="e">
        <f t="shared" ca="1" si="7"/>
        <v>#DIV/0!</v>
      </c>
      <c r="L359" s="20" t="e">
        <f t="shared" ca="1" si="8"/>
        <v>#DIV/0!</v>
      </c>
      <c r="M359" s="21" t="e">
        <f t="shared" ca="1" si="9"/>
        <v>#DIV/0!</v>
      </c>
      <c r="N359" s="22" t="str">
        <f ca="1">IFERROR(__xludf.DUMMYFUNCTION("IF(COUNTIFS($C$2:C359, C359, $A$2:A359, ""&lt;="" &amp; A359) &lt; 30, STDEV.P(FILTER($G$2:G359, $C$2:C359 = C359)), STDEV.P(FILTER($G$2:G359, $C$2:C359 = C359, $A$2:A359 &gt;= A359 - 30)))
"),"#DIV/0!")</f>
        <v>#DIV/0!</v>
      </c>
    </row>
    <row r="360" spans="1:14" x14ac:dyDescent="0.2">
      <c r="A360" s="39"/>
      <c r="B360" s="40"/>
      <c r="C360" s="35"/>
      <c r="D360" s="19"/>
      <c r="E360" s="19"/>
      <c r="F360" s="19"/>
      <c r="G360" s="19" t="e">
        <f t="shared" si="5"/>
        <v>#DIV/0!</v>
      </c>
      <c r="H360" s="20" t="str">
        <f ca="1">IFERROR(__xludf.DUMMYFUNCTION("IF(COUNTIFS($C$2:C360, C360, $A$2:A360, ""&lt;="" &amp; A360) &lt; 30, AVERAGEIF($C$2:C360, C360, $G$2:G360), AVERAGE(FILTER($G$2:G360, $C$2:C360 = C360, $A$2:A360 &gt;= A360 - 30)))
"),"#DIV/0!")</f>
        <v>#DIV/0!</v>
      </c>
      <c r="I360" s="20" t="e">
        <f t="shared" ca="1" si="6"/>
        <v>#DIV/0!</v>
      </c>
      <c r="J360" s="20" t="str">
        <f ca="1">IFERROR(__xludf.DUMMYFUNCTION("IF(OR($I360=2, $I360=3), 0, IFERROR(COUNTIFS($C$2:C360, $C360, $A$2:A361, ""&gt;""&amp;IFERROR(MAX(FILTER($A$2:A361, $C$2:C360=$C360, $I$2:I360&lt;&gt;1)), 0), $I$2:I360, 1),1))
"),"#DIV/0!")</f>
        <v>#DIV/0!</v>
      </c>
      <c r="K360" s="20" t="e">
        <f t="shared" ca="1" si="7"/>
        <v>#DIV/0!</v>
      </c>
      <c r="L360" s="20" t="e">
        <f t="shared" ca="1" si="8"/>
        <v>#DIV/0!</v>
      </c>
      <c r="M360" s="21" t="e">
        <f t="shared" ca="1" si="9"/>
        <v>#DIV/0!</v>
      </c>
      <c r="N360" s="22" t="str">
        <f ca="1">IFERROR(__xludf.DUMMYFUNCTION("IF(COUNTIFS($C$2:C360, C360, $A$2:A360, ""&lt;="" &amp; A360) &lt; 30, STDEV.P(FILTER($G$2:G360, $C$2:C360 = C360)), STDEV.P(FILTER($G$2:G360, $C$2:C360 = C360, $A$2:A360 &gt;= A360 - 30)))
"),"#DIV/0!")</f>
        <v>#DIV/0!</v>
      </c>
    </row>
    <row r="361" spans="1:14" x14ac:dyDescent="0.2">
      <c r="A361" s="39"/>
      <c r="B361" s="32"/>
      <c r="C361" s="35"/>
      <c r="D361" s="20"/>
      <c r="E361" s="20"/>
      <c r="F361" s="20"/>
      <c r="G361" s="19" t="e">
        <f t="shared" si="5"/>
        <v>#DIV/0!</v>
      </c>
      <c r="H361" s="20" t="str">
        <f ca="1">IFERROR(__xludf.DUMMYFUNCTION("IF(COUNTIFS($C$2:C361, C361, $A$2:A361, ""&lt;="" &amp; A361) &lt; 30, AVERAGEIF($C$2:C361, C361, $G$2:G361), AVERAGE(FILTER($G$2:G361, $C$2:C361 = C361, $A$2:A361 &gt;= A361 - 30)))
"),"#DIV/0!")</f>
        <v>#DIV/0!</v>
      </c>
      <c r="I361" s="20" t="e">
        <f t="shared" ca="1" si="6"/>
        <v>#DIV/0!</v>
      </c>
      <c r="J361" s="20" t="str">
        <f ca="1">IFERROR(__xludf.DUMMYFUNCTION("IF(OR($I361=2, $I361=3), 0, IFERROR(COUNTIFS($C$2:C361, $C361, $A$2:A362, ""&gt;""&amp;IFERROR(MAX(FILTER($A$2:A362, $C$2:C361=$C361, $I$2:I361&lt;&gt;1)), 0), $I$2:I361, 1),1))
"),"#DIV/0!")</f>
        <v>#DIV/0!</v>
      </c>
      <c r="K361" s="20" t="e">
        <f t="shared" ca="1" si="7"/>
        <v>#DIV/0!</v>
      </c>
      <c r="L361" s="20" t="e">
        <f t="shared" ca="1" si="8"/>
        <v>#DIV/0!</v>
      </c>
      <c r="M361" s="21" t="e">
        <f t="shared" ca="1" si="9"/>
        <v>#DIV/0!</v>
      </c>
      <c r="N361" s="22" t="str">
        <f ca="1">IFERROR(__xludf.DUMMYFUNCTION("IF(COUNTIFS($C$2:C361, C361, $A$2:A361, ""&lt;="" &amp; A361) &lt; 30, STDEV.P(FILTER($G$2:G361, $C$2:C361 = C361)), STDEV.P(FILTER($G$2:G361, $C$2:C361 = C361, $A$2:A361 &gt;= A361 - 30)))
"),"#DIV/0!")</f>
        <v>#DIV/0!</v>
      </c>
    </row>
    <row r="362" spans="1:14" x14ac:dyDescent="0.2">
      <c r="A362" s="39"/>
      <c r="B362" s="32"/>
      <c r="C362" s="35"/>
      <c r="D362" s="20"/>
      <c r="E362" s="20"/>
      <c r="F362" s="20"/>
      <c r="G362" s="19" t="e">
        <f t="shared" si="5"/>
        <v>#DIV/0!</v>
      </c>
      <c r="H362" s="20" t="str">
        <f ca="1">IFERROR(__xludf.DUMMYFUNCTION("IF(COUNTIFS($C$2:C362, C362, $A$2:A362, ""&lt;="" &amp; A362) &lt; 30, AVERAGEIF($C$2:C362, C362, $G$2:G362), AVERAGE(FILTER($G$2:G362, $C$2:C362 = C362, $A$2:A362 &gt;= A362 - 30)))
"),"#DIV/0!")</f>
        <v>#DIV/0!</v>
      </c>
      <c r="I362" s="20" t="e">
        <f t="shared" ca="1" si="6"/>
        <v>#DIV/0!</v>
      </c>
      <c r="J362" s="20" t="str">
        <f ca="1">IFERROR(__xludf.DUMMYFUNCTION("IF(OR($I362=2, $I362=3), 0, IFERROR(COUNTIFS($C$2:C362, $C362, $A$2:A363, ""&gt;""&amp;IFERROR(MAX(FILTER($A$2:A363, $C$2:C362=$C362, $I$2:I362&lt;&gt;1)), 0), $I$2:I362, 1),1))
"),"#DIV/0!")</f>
        <v>#DIV/0!</v>
      </c>
      <c r="K362" s="20" t="e">
        <f t="shared" ca="1" si="7"/>
        <v>#DIV/0!</v>
      </c>
      <c r="L362" s="20" t="e">
        <f t="shared" ca="1" si="8"/>
        <v>#DIV/0!</v>
      </c>
      <c r="M362" s="21" t="e">
        <f t="shared" ca="1" si="9"/>
        <v>#DIV/0!</v>
      </c>
      <c r="N362" s="22" t="str">
        <f ca="1">IFERROR(__xludf.DUMMYFUNCTION("IF(COUNTIFS($C$2:C362, C362, $A$2:A362, ""&lt;="" &amp; A362) &lt; 30, STDEV.P(FILTER($G$2:G362, $C$2:C362 = C362)), STDEV.P(FILTER($G$2:G362, $C$2:C362 = C362, $A$2:A362 &gt;= A362 - 30)))
"),"#DIV/0!")</f>
        <v>#DIV/0!</v>
      </c>
    </row>
    <row r="363" spans="1:14" x14ac:dyDescent="0.2">
      <c r="A363" s="39"/>
      <c r="B363" s="32"/>
      <c r="C363" s="35"/>
      <c r="D363" s="20"/>
      <c r="E363" s="20"/>
      <c r="F363" s="20"/>
      <c r="G363" s="19" t="e">
        <f t="shared" si="5"/>
        <v>#DIV/0!</v>
      </c>
      <c r="H363" s="20" t="str">
        <f ca="1">IFERROR(__xludf.DUMMYFUNCTION("IF(COUNTIFS($C$2:C363, C363, $A$2:A363, ""&lt;="" &amp; A363) &lt; 30, AVERAGEIF($C$2:C363, C363, $G$2:G363), AVERAGE(FILTER($G$2:G363, $C$2:C363 = C363, $A$2:A363 &gt;= A363 - 30)))
"),"#DIV/0!")</f>
        <v>#DIV/0!</v>
      </c>
      <c r="I363" s="20" t="e">
        <f t="shared" ca="1" si="6"/>
        <v>#DIV/0!</v>
      </c>
      <c r="J363" s="20" t="str">
        <f ca="1">IFERROR(__xludf.DUMMYFUNCTION("IF(OR($I363=2, $I363=3), 0, IFERROR(COUNTIFS($C$2:C363, $C363, $A$2:A364, ""&gt;""&amp;IFERROR(MAX(FILTER($A$2:A364, $C$2:C363=$C363, $I$2:I363&lt;&gt;1)), 0), $I$2:I363, 1),1))
"),"#DIV/0!")</f>
        <v>#DIV/0!</v>
      </c>
      <c r="K363" s="20" t="e">
        <f t="shared" ca="1" si="7"/>
        <v>#DIV/0!</v>
      </c>
      <c r="L363" s="20" t="e">
        <f t="shared" ca="1" si="8"/>
        <v>#DIV/0!</v>
      </c>
      <c r="M363" s="21" t="e">
        <f t="shared" ca="1" si="9"/>
        <v>#DIV/0!</v>
      </c>
      <c r="N363" s="22" t="str">
        <f ca="1">IFERROR(__xludf.DUMMYFUNCTION("IF(COUNTIFS($C$2:C363, C363, $A$2:A363, ""&lt;="" &amp; A363) &lt; 30, STDEV.P(FILTER($G$2:G363, $C$2:C363 = C363)), STDEV.P(FILTER($G$2:G363, $C$2:C363 = C363, $A$2:A363 &gt;= A363 - 30)))
"),"#DIV/0!")</f>
        <v>#DIV/0!</v>
      </c>
    </row>
    <row r="364" spans="1:14" x14ac:dyDescent="0.2">
      <c r="A364" s="39"/>
      <c r="B364" s="32"/>
      <c r="C364" s="35"/>
      <c r="D364" s="20"/>
      <c r="E364" s="20"/>
      <c r="F364" s="20"/>
      <c r="G364" s="19" t="e">
        <f t="shared" si="5"/>
        <v>#DIV/0!</v>
      </c>
      <c r="H364" s="20" t="str">
        <f ca="1">IFERROR(__xludf.DUMMYFUNCTION("IF(COUNTIFS($C$2:C364, C364, $A$2:A364, ""&lt;="" &amp; A364) &lt; 30, AVERAGEIF($C$2:C364, C364, $G$2:G364), AVERAGE(FILTER($G$2:G364, $C$2:C364 = C364, $A$2:A364 &gt;= A364 - 30)))
"),"#DIV/0!")</f>
        <v>#DIV/0!</v>
      </c>
      <c r="I364" s="20" t="e">
        <f t="shared" ca="1" si="6"/>
        <v>#DIV/0!</v>
      </c>
      <c r="J364" s="20" t="str">
        <f ca="1">IFERROR(__xludf.DUMMYFUNCTION("IF(OR($I364=2, $I364=3), 0, IFERROR(COUNTIFS($C$2:C364, $C364, $A$2:A365, ""&gt;""&amp;IFERROR(MAX(FILTER($A$2:A365, $C$2:C364=$C364, $I$2:I364&lt;&gt;1)), 0), $I$2:I364, 1),1))
"),"#DIV/0!")</f>
        <v>#DIV/0!</v>
      </c>
      <c r="K364" s="20" t="e">
        <f t="shared" ca="1" si="7"/>
        <v>#DIV/0!</v>
      </c>
      <c r="L364" s="20" t="e">
        <f t="shared" ca="1" si="8"/>
        <v>#DIV/0!</v>
      </c>
      <c r="M364" s="21" t="e">
        <f t="shared" ca="1" si="9"/>
        <v>#DIV/0!</v>
      </c>
      <c r="N364" s="22" t="str">
        <f ca="1">IFERROR(__xludf.DUMMYFUNCTION("IF(COUNTIFS($C$2:C364, C364, $A$2:A364, ""&lt;="" &amp; A364) &lt; 30, STDEV.P(FILTER($G$2:G364, $C$2:C364 = C364)), STDEV.P(FILTER($G$2:G364, $C$2:C364 = C364, $A$2:A364 &gt;= A364 - 30)))
"),"#DIV/0!")</f>
        <v>#DIV/0!</v>
      </c>
    </row>
    <row r="365" spans="1:14" x14ac:dyDescent="0.2">
      <c r="A365" s="39"/>
      <c r="B365" s="40"/>
      <c r="C365" s="35"/>
      <c r="D365" s="19"/>
      <c r="E365" s="19"/>
      <c r="F365" s="19"/>
      <c r="G365" s="19" t="e">
        <f t="shared" si="5"/>
        <v>#DIV/0!</v>
      </c>
      <c r="H365" s="20" t="str">
        <f ca="1">IFERROR(__xludf.DUMMYFUNCTION("IF(COUNTIFS($C$2:C365, C365, $A$2:A365, ""&lt;="" &amp; A365) &lt; 30, AVERAGEIF($C$2:C365, C365, $G$2:G365), AVERAGE(FILTER($G$2:G365, $C$2:C365 = C365, $A$2:A365 &gt;= A365 - 30)))
"),"#DIV/0!")</f>
        <v>#DIV/0!</v>
      </c>
      <c r="I365" s="20" t="e">
        <f t="shared" ca="1" si="6"/>
        <v>#DIV/0!</v>
      </c>
      <c r="J365" s="20" t="str">
        <f ca="1">IFERROR(__xludf.DUMMYFUNCTION("IF(OR($I365=2, $I365=3), 0, IFERROR(COUNTIFS($C$2:C365, $C365, $A$2:A366, ""&gt;""&amp;IFERROR(MAX(FILTER($A$2:A366, $C$2:C365=$C365, $I$2:I365&lt;&gt;1)), 0), $I$2:I365, 1),1))
"),"#DIV/0!")</f>
        <v>#DIV/0!</v>
      </c>
      <c r="K365" s="20" t="e">
        <f t="shared" ca="1" si="7"/>
        <v>#DIV/0!</v>
      </c>
      <c r="L365" s="20" t="e">
        <f t="shared" ca="1" si="8"/>
        <v>#DIV/0!</v>
      </c>
      <c r="M365" s="21" t="e">
        <f t="shared" ca="1" si="9"/>
        <v>#DIV/0!</v>
      </c>
      <c r="N365" s="22" t="str">
        <f ca="1">IFERROR(__xludf.DUMMYFUNCTION("IF(COUNTIFS($C$2:C365, C365, $A$2:A365, ""&lt;="" &amp; A365) &lt; 30, STDEV.P(FILTER($G$2:G365, $C$2:C365 = C365)), STDEV.P(FILTER($G$2:G365, $C$2:C365 = C365, $A$2:A365 &gt;= A365 - 30)))
"),"#DIV/0!")</f>
        <v>#DIV/0!</v>
      </c>
    </row>
    <row r="366" spans="1:14" x14ac:dyDescent="0.2">
      <c r="A366" s="39"/>
      <c r="B366" s="40"/>
      <c r="C366" s="35"/>
      <c r="D366" s="19"/>
      <c r="E366" s="19"/>
      <c r="F366" s="19"/>
      <c r="G366" s="19" t="e">
        <f t="shared" si="5"/>
        <v>#DIV/0!</v>
      </c>
      <c r="H366" s="20" t="str">
        <f ca="1">IFERROR(__xludf.DUMMYFUNCTION("IF(COUNTIFS($C$2:C366, C366, $A$2:A366, ""&lt;="" &amp; A366) &lt; 30, AVERAGEIF($C$2:C366, C366, $G$2:G366), AVERAGE(FILTER($G$2:G366, $C$2:C366 = C366, $A$2:A366 &gt;= A366 - 30)))
"),"#DIV/0!")</f>
        <v>#DIV/0!</v>
      </c>
      <c r="I366" s="20" t="e">
        <f t="shared" ca="1" si="6"/>
        <v>#DIV/0!</v>
      </c>
      <c r="J366" s="20" t="str">
        <f ca="1">IFERROR(__xludf.DUMMYFUNCTION("IF(OR($I366=2, $I366=3), 0, IFERROR(COUNTIFS($C$2:C366, $C366, $A$2:A367, ""&gt;""&amp;IFERROR(MAX(FILTER($A$2:A367, $C$2:C366=$C366, $I$2:I366&lt;&gt;1)), 0), $I$2:I366, 1),1))
"),"#DIV/0!")</f>
        <v>#DIV/0!</v>
      </c>
      <c r="K366" s="20" t="e">
        <f t="shared" ca="1" si="7"/>
        <v>#DIV/0!</v>
      </c>
      <c r="L366" s="20" t="e">
        <f t="shared" ca="1" si="8"/>
        <v>#DIV/0!</v>
      </c>
      <c r="M366" s="21" t="e">
        <f t="shared" ca="1" si="9"/>
        <v>#DIV/0!</v>
      </c>
      <c r="N366" s="22" t="str">
        <f ca="1">IFERROR(__xludf.DUMMYFUNCTION("IF(COUNTIFS($C$2:C366, C366, $A$2:A366, ""&lt;="" &amp; A366) &lt; 30, STDEV.P(FILTER($G$2:G366, $C$2:C366 = C366)), STDEV.P(FILTER($G$2:G366, $C$2:C366 = C366, $A$2:A366 &gt;= A366 - 30)))
"),"#DIV/0!")</f>
        <v>#DIV/0!</v>
      </c>
    </row>
    <row r="367" spans="1:14" x14ac:dyDescent="0.2">
      <c r="A367" s="39"/>
      <c r="B367" s="40"/>
      <c r="C367" s="35"/>
      <c r="D367" s="19"/>
      <c r="E367" s="19"/>
      <c r="F367" s="19"/>
      <c r="G367" s="19" t="e">
        <f t="shared" si="5"/>
        <v>#DIV/0!</v>
      </c>
      <c r="H367" s="20" t="str">
        <f ca="1">IFERROR(__xludf.DUMMYFUNCTION("IF(COUNTIFS($C$2:C367, C367, $A$2:A367, ""&lt;="" &amp; A367) &lt; 30, AVERAGEIF($C$2:C367, C367, $G$2:G367), AVERAGE(FILTER($G$2:G367, $C$2:C367 = C367, $A$2:A367 &gt;= A367 - 30)))
"),"#DIV/0!")</f>
        <v>#DIV/0!</v>
      </c>
      <c r="I367" s="20" t="e">
        <f t="shared" ca="1" si="6"/>
        <v>#DIV/0!</v>
      </c>
      <c r="J367" s="20" t="str">
        <f ca="1">IFERROR(__xludf.DUMMYFUNCTION("IF(OR($I367=2, $I367=3), 0, IFERROR(COUNTIFS($C$2:C367, $C367, $A$2:A368, ""&gt;""&amp;IFERROR(MAX(FILTER($A$2:A368, $C$2:C367=$C367, $I$2:I367&lt;&gt;1)), 0), $I$2:I367, 1),1))
"),"#DIV/0!")</f>
        <v>#DIV/0!</v>
      </c>
      <c r="K367" s="20" t="e">
        <f t="shared" ca="1" si="7"/>
        <v>#DIV/0!</v>
      </c>
      <c r="L367" s="20" t="e">
        <f t="shared" ca="1" si="8"/>
        <v>#DIV/0!</v>
      </c>
      <c r="M367" s="21" t="e">
        <f t="shared" ca="1" si="9"/>
        <v>#DIV/0!</v>
      </c>
      <c r="N367" s="22" t="str">
        <f ca="1">IFERROR(__xludf.DUMMYFUNCTION("IF(COUNTIFS($C$2:C367, C367, $A$2:A367, ""&lt;="" &amp; A367) &lt; 30, STDEV.P(FILTER($G$2:G367, $C$2:C367 = C367)), STDEV.P(FILTER($G$2:G367, $C$2:C367 = C367, $A$2:A367 &gt;= A367 - 30)))
"),"#DIV/0!")</f>
        <v>#DIV/0!</v>
      </c>
    </row>
    <row r="368" spans="1:14" x14ac:dyDescent="0.2">
      <c r="A368" s="39"/>
      <c r="B368" s="40"/>
      <c r="C368" s="35"/>
      <c r="D368" s="19"/>
      <c r="E368" s="19"/>
      <c r="F368" s="19"/>
      <c r="G368" s="19" t="e">
        <f t="shared" si="5"/>
        <v>#DIV/0!</v>
      </c>
      <c r="H368" s="20" t="str">
        <f ca="1">IFERROR(__xludf.DUMMYFUNCTION("IF(COUNTIFS($C$2:C368, C368, $A$2:A368, ""&lt;="" &amp; A368) &lt; 30, AVERAGEIF($C$2:C368, C368, $G$2:G368), AVERAGE(FILTER($G$2:G368, $C$2:C368 = C368, $A$2:A368 &gt;= A368 - 30)))
"),"#DIV/0!")</f>
        <v>#DIV/0!</v>
      </c>
      <c r="I368" s="20" t="e">
        <f t="shared" ca="1" si="6"/>
        <v>#DIV/0!</v>
      </c>
      <c r="J368" s="20" t="str">
        <f ca="1">IFERROR(__xludf.DUMMYFUNCTION("IF(OR($I368=2, $I368=3), 0, IFERROR(COUNTIFS($C$2:C368, $C368, $A$2:A369, ""&gt;""&amp;IFERROR(MAX(FILTER($A$2:A369, $C$2:C368=$C368, $I$2:I368&lt;&gt;1)), 0), $I$2:I368, 1),1))
"),"#DIV/0!")</f>
        <v>#DIV/0!</v>
      </c>
      <c r="K368" s="20" t="e">
        <f t="shared" ca="1" si="7"/>
        <v>#DIV/0!</v>
      </c>
      <c r="L368" s="20" t="e">
        <f t="shared" ca="1" si="8"/>
        <v>#DIV/0!</v>
      </c>
      <c r="M368" s="21" t="e">
        <f t="shared" ca="1" si="9"/>
        <v>#DIV/0!</v>
      </c>
      <c r="N368" s="22" t="str">
        <f ca="1">IFERROR(__xludf.DUMMYFUNCTION("IF(COUNTIFS($C$2:C368, C368, $A$2:A368, ""&lt;="" &amp; A368) &lt; 30, STDEV.P(FILTER($G$2:G368, $C$2:C368 = C368)), STDEV.P(FILTER($G$2:G368, $C$2:C368 = C368, $A$2:A368 &gt;= A368 - 30)))
"),"#DIV/0!")</f>
        <v>#DIV/0!</v>
      </c>
    </row>
    <row r="369" spans="1:14" x14ac:dyDescent="0.2">
      <c r="A369" s="39"/>
      <c r="B369" s="40"/>
      <c r="C369" s="35"/>
      <c r="D369" s="19"/>
      <c r="E369" s="19"/>
      <c r="F369" s="19"/>
      <c r="G369" s="19" t="e">
        <f t="shared" si="5"/>
        <v>#DIV/0!</v>
      </c>
      <c r="H369" s="20" t="str">
        <f ca="1">IFERROR(__xludf.DUMMYFUNCTION("IF(COUNTIFS($C$2:C369, C369, $A$2:A369, ""&lt;="" &amp; A369) &lt; 30, AVERAGEIF($C$2:C369, C369, $G$2:G369), AVERAGE(FILTER($G$2:G369, $C$2:C369 = C369, $A$2:A369 &gt;= A369 - 30)))
"),"#DIV/0!")</f>
        <v>#DIV/0!</v>
      </c>
      <c r="I369" s="20" t="e">
        <f t="shared" ca="1" si="6"/>
        <v>#DIV/0!</v>
      </c>
      <c r="J369" s="20" t="str">
        <f ca="1">IFERROR(__xludf.DUMMYFUNCTION("IF(OR($I369=2, $I369=3), 0, IFERROR(COUNTIFS($C$2:C369, $C369, $A$2:A370, ""&gt;""&amp;IFERROR(MAX(FILTER($A$2:A370, $C$2:C369=$C369, $I$2:I369&lt;&gt;1)), 0), $I$2:I369, 1),1))
"),"#DIV/0!")</f>
        <v>#DIV/0!</v>
      </c>
      <c r="K369" s="20" t="e">
        <f t="shared" ca="1" si="7"/>
        <v>#DIV/0!</v>
      </c>
      <c r="L369" s="20" t="e">
        <f t="shared" ca="1" si="8"/>
        <v>#DIV/0!</v>
      </c>
      <c r="M369" s="21" t="e">
        <f t="shared" ca="1" si="9"/>
        <v>#DIV/0!</v>
      </c>
      <c r="N369" s="22" t="str">
        <f ca="1">IFERROR(__xludf.DUMMYFUNCTION("IF(COUNTIFS($C$2:C369, C369, $A$2:A369, ""&lt;="" &amp; A369) &lt; 30, STDEV.P(FILTER($G$2:G369, $C$2:C369 = C369)), STDEV.P(FILTER($G$2:G369, $C$2:C369 = C369, $A$2:A369 &gt;= A369 - 30)))
"),"#DIV/0!")</f>
        <v>#DIV/0!</v>
      </c>
    </row>
    <row r="370" spans="1:14" x14ac:dyDescent="0.2">
      <c r="A370" s="39"/>
      <c r="B370" s="40"/>
      <c r="C370" s="35"/>
      <c r="D370" s="19"/>
      <c r="E370" s="19"/>
      <c r="F370" s="19"/>
      <c r="G370" s="19" t="e">
        <f t="shared" si="5"/>
        <v>#DIV/0!</v>
      </c>
      <c r="H370" s="20" t="str">
        <f ca="1">IFERROR(__xludf.DUMMYFUNCTION("IF(COUNTIFS($C$2:C370, C370, $A$2:A370, ""&lt;="" &amp; A370) &lt; 30, AVERAGEIF($C$2:C370, C370, $G$2:G370), AVERAGE(FILTER($G$2:G370, $C$2:C370 = C370, $A$2:A370 &gt;= A370 - 30)))
"),"#DIV/0!")</f>
        <v>#DIV/0!</v>
      </c>
      <c r="I370" s="20" t="e">
        <f t="shared" ca="1" si="6"/>
        <v>#DIV/0!</v>
      </c>
      <c r="J370" s="20" t="str">
        <f ca="1">IFERROR(__xludf.DUMMYFUNCTION("IF(OR($I370=2, $I370=3), 0, IFERROR(COUNTIFS($C$2:C370, $C370, $A$2:A371, ""&gt;""&amp;IFERROR(MAX(FILTER($A$2:A371, $C$2:C370=$C370, $I$2:I370&lt;&gt;1)), 0), $I$2:I370, 1),1))
"),"#DIV/0!")</f>
        <v>#DIV/0!</v>
      </c>
      <c r="K370" s="20" t="e">
        <f t="shared" ca="1" si="7"/>
        <v>#DIV/0!</v>
      </c>
      <c r="L370" s="20" t="e">
        <f t="shared" ca="1" si="8"/>
        <v>#DIV/0!</v>
      </c>
      <c r="M370" s="21" t="e">
        <f t="shared" ca="1" si="9"/>
        <v>#DIV/0!</v>
      </c>
      <c r="N370" s="22" t="str">
        <f ca="1">IFERROR(__xludf.DUMMYFUNCTION("IF(COUNTIFS($C$2:C370, C370, $A$2:A370, ""&lt;="" &amp; A370) &lt; 30, STDEV.P(FILTER($G$2:G370, $C$2:C370 = C370)), STDEV.P(FILTER($G$2:G370, $C$2:C370 = C370, $A$2:A370 &gt;= A370 - 30)))
"),"#DIV/0!")</f>
        <v>#DIV/0!</v>
      </c>
    </row>
    <row r="371" spans="1:14" x14ac:dyDescent="0.2">
      <c r="A371" s="39"/>
      <c r="B371" s="40"/>
      <c r="C371" s="35"/>
      <c r="D371" s="19"/>
      <c r="E371" s="19"/>
      <c r="F371" s="19"/>
      <c r="G371" s="19" t="e">
        <f t="shared" si="5"/>
        <v>#DIV/0!</v>
      </c>
      <c r="H371" s="20" t="str">
        <f ca="1">IFERROR(__xludf.DUMMYFUNCTION("IF(COUNTIFS($C$2:C371, C371, $A$2:A371, ""&lt;="" &amp; A371) &lt; 30, AVERAGEIF($C$2:C371, C371, $G$2:G371), AVERAGE(FILTER($G$2:G371, $C$2:C371 = C371, $A$2:A371 &gt;= A371 - 30)))
"),"#DIV/0!")</f>
        <v>#DIV/0!</v>
      </c>
      <c r="I371" s="20" t="e">
        <f t="shared" ca="1" si="6"/>
        <v>#DIV/0!</v>
      </c>
      <c r="J371" s="20" t="str">
        <f ca="1">IFERROR(__xludf.DUMMYFUNCTION("IF(OR($I371=2, $I371=3), 0, IFERROR(COUNTIFS($C$2:C371, $C371, $A$2:A372, ""&gt;""&amp;IFERROR(MAX(FILTER($A$2:A372, $C$2:C371=$C371, $I$2:I371&lt;&gt;1)), 0), $I$2:I371, 1),1))
"),"#DIV/0!")</f>
        <v>#DIV/0!</v>
      </c>
      <c r="K371" s="20" t="e">
        <f t="shared" ca="1" si="7"/>
        <v>#DIV/0!</v>
      </c>
      <c r="L371" s="20" t="e">
        <f t="shared" ca="1" si="8"/>
        <v>#DIV/0!</v>
      </c>
      <c r="M371" s="21" t="e">
        <f t="shared" ca="1" si="9"/>
        <v>#DIV/0!</v>
      </c>
      <c r="N371" s="22" t="str">
        <f ca="1">IFERROR(__xludf.DUMMYFUNCTION("IF(COUNTIFS($C$2:C371, C371, $A$2:A371, ""&lt;="" &amp; A371) &lt; 30, STDEV.P(FILTER($G$2:G371, $C$2:C371 = C371)), STDEV.P(FILTER($G$2:G371, $C$2:C371 = C371, $A$2:A371 &gt;= A371 - 30)))
"),"#DIV/0!")</f>
        <v>#DIV/0!</v>
      </c>
    </row>
    <row r="372" spans="1:14" x14ac:dyDescent="0.2">
      <c r="A372" s="39"/>
      <c r="B372" s="40"/>
      <c r="C372" s="35"/>
      <c r="D372" s="19"/>
      <c r="E372" s="19"/>
      <c r="F372" s="19"/>
      <c r="G372" s="19" t="e">
        <f t="shared" si="5"/>
        <v>#DIV/0!</v>
      </c>
      <c r="H372" s="20" t="str">
        <f ca="1">IFERROR(__xludf.DUMMYFUNCTION("IF(COUNTIFS($C$2:C372, C372, $A$2:A372, ""&lt;="" &amp; A372) &lt; 30, AVERAGEIF($C$2:C372, C372, $G$2:G372), AVERAGE(FILTER($G$2:G372, $C$2:C372 = C372, $A$2:A372 &gt;= A372 - 30)))
"),"#DIV/0!")</f>
        <v>#DIV/0!</v>
      </c>
      <c r="I372" s="20" t="e">
        <f t="shared" ca="1" si="6"/>
        <v>#DIV/0!</v>
      </c>
      <c r="J372" s="20" t="str">
        <f ca="1">IFERROR(__xludf.DUMMYFUNCTION("IF(OR($I372=2, $I372=3), 0, IFERROR(COUNTIFS($C$2:C372, $C372, $A$2:A373, ""&gt;""&amp;IFERROR(MAX(FILTER($A$2:A373, $C$2:C372=$C372, $I$2:I372&lt;&gt;1)), 0), $I$2:I372, 1),1))
"),"#DIV/0!")</f>
        <v>#DIV/0!</v>
      </c>
      <c r="K372" s="20" t="e">
        <f t="shared" ca="1" si="7"/>
        <v>#DIV/0!</v>
      </c>
      <c r="L372" s="20" t="e">
        <f t="shared" ca="1" si="8"/>
        <v>#DIV/0!</v>
      </c>
      <c r="M372" s="21" t="e">
        <f t="shared" ca="1" si="9"/>
        <v>#DIV/0!</v>
      </c>
      <c r="N372" s="22" t="str">
        <f ca="1">IFERROR(__xludf.DUMMYFUNCTION("IF(COUNTIFS($C$2:C372, C372, $A$2:A372, ""&lt;="" &amp; A372) &lt; 30, STDEV.P(FILTER($G$2:G372, $C$2:C372 = C372)), STDEV.P(FILTER($G$2:G372, $C$2:C372 = C372, $A$2:A372 &gt;= A372 - 30)))
"),"#DIV/0!")</f>
        <v>#DIV/0!</v>
      </c>
    </row>
    <row r="373" spans="1:14" x14ac:dyDescent="0.2">
      <c r="A373" s="39"/>
      <c r="B373" s="40"/>
      <c r="C373" s="35"/>
      <c r="D373" s="19"/>
      <c r="E373" s="19"/>
      <c r="F373" s="19"/>
      <c r="G373" s="19" t="e">
        <f t="shared" si="5"/>
        <v>#DIV/0!</v>
      </c>
      <c r="H373" s="20" t="str">
        <f ca="1">IFERROR(__xludf.DUMMYFUNCTION("IF(COUNTIFS($C$2:C373, C373, $A$2:A373, ""&lt;="" &amp; A373) &lt; 30, AVERAGEIF($C$2:C373, C373, $G$2:G373), AVERAGE(FILTER($G$2:G373, $C$2:C373 = C373, $A$2:A373 &gt;= A373 - 30)))
"),"#DIV/0!")</f>
        <v>#DIV/0!</v>
      </c>
      <c r="I373" s="20" t="e">
        <f t="shared" ca="1" si="6"/>
        <v>#DIV/0!</v>
      </c>
      <c r="J373" s="20" t="str">
        <f ca="1">IFERROR(__xludf.DUMMYFUNCTION("IF(OR($I373=2, $I373=3), 0, IFERROR(COUNTIFS($C$2:C373, $C373, $A$2:A374, ""&gt;""&amp;IFERROR(MAX(FILTER($A$2:A374, $C$2:C373=$C373, $I$2:I373&lt;&gt;1)), 0), $I$2:I373, 1),1))
"),"#DIV/0!")</f>
        <v>#DIV/0!</v>
      </c>
      <c r="K373" s="20" t="e">
        <f t="shared" ca="1" si="7"/>
        <v>#DIV/0!</v>
      </c>
      <c r="L373" s="20" t="e">
        <f t="shared" ca="1" si="8"/>
        <v>#DIV/0!</v>
      </c>
      <c r="M373" s="21" t="e">
        <f t="shared" ca="1" si="9"/>
        <v>#DIV/0!</v>
      </c>
      <c r="N373" s="22" t="str">
        <f ca="1">IFERROR(__xludf.DUMMYFUNCTION("IF(COUNTIFS($C$2:C373, C373, $A$2:A373, ""&lt;="" &amp; A373) &lt; 30, STDEV.P(FILTER($G$2:G373, $C$2:C373 = C373)), STDEV.P(FILTER($G$2:G373, $C$2:C373 = C373, $A$2:A373 &gt;= A373 - 30)))
"),"#DIV/0!")</f>
        <v>#DIV/0!</v>
      </c>
    </row>
    <row r="374" spans="1:14" x14ac:dyDescent="0.2">
      <c r="A374" s="39"/>
      <c r="B374" s="32"/>
      <c r="C374" s="35"/>
      <c r="D374" s="20"/>
      <c r="E374" s="20"/>
      <c r="F374" s="20"/>
      <c r="G374" s="19" t="e">
        <f t="shared" si="5"/>
        <v>#DIV/0!</v>
      </c>
      <c r="H374" s="20" t="str">
        <f ca="1">IFERROR(__xludf.DUMMYFUNCTION("IF(COUNTIFS($C$2:C374, C374, $A$2:A374, ""&lt;="" &amp; A374) &lt; 30, AVERAGEIF($C$2:C374, C374, $G$2:G374), AVERAGE(FILTER($G$2:G374, $C$2:C374 = C374, $A$2:A374 &gt;= A374 - 30)))
"),"#DIV/0!")</f>
        <v>#DIV/0!</v>
      </c>
      <c r="I374" s="20" t="e">
        <f t="shared" ca="1" si="6"/>
        <v>#DIV/0!</v>
      </c>
      <c r="J374" s="20" t="str">
        <f ca="1">IFERROR(__xludf.DUMMYFUNCTION("IF(OR($I374=2, $I374=3), 0, IFERROR(COUNTIFS($C$2:C374, $C374, $A$2:A375, ""&gt;""&amp;IFERROR(MAX(FILTER($A$2:A375, $C$2:C374=$C374, $I$2:I374&lt;&gt;1)), 0), $I$2:I374, 1),1))
"),"#DIV/0!")</f>
        <v>#DIV/0!</v>
      </c>
      <c r="K374" s="20" t="e">
        <f t="shared" ca="1" si="7"/>
        <v>#DIV/0!</v>
      </c>
      <c r="L374" s="20" t="e">
        <f t="shared" ca="1" si="8"/>
        <v>#DIV/0!</v>
      </c>
      <c r="M374" s="21" t="e">
        <f t="shared" ca="1" si="9"/>
        <v>#DIV/0!</v>
      </c>
      <c r="N374" s="22" t="str">
        <f ca="1">IFERROR(__xludf.DUMMYFUNCTION("IF(COUNTIFS($C$2:C374, C374, $A$2:A374, ""&lt;="" &amp; A374) &lt; 30, STDEV.P(FILTER($G$2:G374, $C$2:C374 = C374)), STDEV.P(FILTER($G$2:G374, $C$2:C374 = C374, $A$2:A374 &gt;= A374 - 30)))
"),"#DIV/0!")</f>
        <v>#DIV/0!</v>
      </c>
    </row>
    <row r="375" spans="1:14" x14ac:dyDescent="0.2">
      <c r="A375" s="39"/>
      <c r="B375" s="40"/>
      <c r="C375" s="35"/>
      <c r="D375" s="19"/>
      <c r="E375" s="19"/>
      <c r="F375" s="19"/>
      <c r="G375" s="19" t="e">
        <f t="shared" si="5"/>
        <v>#DIV/0!</v>
      </c>
      <c r="H375" s="20" t="str">
        <f ca="1">IFERROR(__xludf.DUMMYFUNCTION("IF(COUNTIFS($C$2:C375, C375, $A$2:A375, ""&lt;="" &amp; A375) &lt; 30, AVERAGEIF($C$2:C375, C375, $G$2:G375), AVERAGE(FILTER($G$2:G375, $C$2:C375 = C375, $A$2:A375 &gt;= A375 - 30)))
"),"#DIV/0!")</f>
        <v>#DIV/0!</v>
      </c>
      <c r="I375" s="20" t="e">
        <f t="shared" ca="1" si="6"/>
        <v>#DIV/0!</v>
      </c>
      <c r="J375" s="20" t="str">
        <f ca="1">IFERROR(__xludf.DUMMYFUNCTION("IF(OR($I375=2, $I375=3), 0, IFERROR(COUNTIFS($C$2:C375, $C375, $A$2:A376, ""&gt;""&amp;IFERROR(MAX(FILTER($A$2:A376, $C$2:C375=$C375, $I$2:I375&lt;&gt;1)), 0), $I$2:I375, 1),1))
"),"#DIV/0!")</f>
        <v>#DIV/0!</v>
      </c>
      <c r="K375" s="20" t="e">
        <f t="shared" ca="1" si="7"/>
        <v>#DIV/0!</v>
      </c>
      <c r="L375" s="20" t="e">
        <f t="shared" ca="1" si="8"/>
        <v>#DIV/0!</v>
      </c>
      <c r="M375" s="21" t="e">
        <f t="shared" ca="1" si="9"/>
        <v>#DIV/0!</v>
      </c>
      <c r="N375" s="22" t="str">
        <f ca="1">IFERROR(__xludf.DUMMYFUNCTION("IF(COUNTIFS($C$2:C375, C375, $A$2:A375, ""&lt;="" &amp; A375) &lt; 30, STDEV.P(FILTER($G$2:G375, $C$2:C375 = C375)), STDEV.P(FILTER($G$2:G375, $C$2:C375 = C375, $A$2:A375 &gt;= A375 - 30)))
"),"#DIV/0!")</f>
        <v>#DIV/0!</v>
      </c>
    </row>
    <row r="376" spans="1:14" x14ac:dyDescent="0.2">
      <c r="A376" s="39"/>
      <c r="B376" s="40"/>
      <c r="C376" s="35"/>
      <c r="D376" s="19"/>
      <c r="E376" s="19"/>
      <c r="F376" s="19"/>
      <c r="G376" s="19" t="e">
        <f t="shared" si="5"/>
        <v>#DIV/0!</v>
      </c>
      <c r="H376" s="20" t="str">
        <f ca="1">IFERROR(__xludf.DUMMYFUNCTION("IF(COUNTIFS($C$2:C376, C376, $A$2:A376, ""&lt;="" &amp; A376) &lt; 30, AVERAGEIF($C$2:C376, C376, $G$2:G376), AVERAGE(FILTER($G$2:G376, $C$2:C376 = C376, $A$2:A376 &gt;= A376 - 30)))
"),"#DIV/0!")</f>
        <v>#DIV/0!</v>
      </c>
      <c r="I376" s="20" t="e">
        <f t="shared" ca="1" si="6"/>
        <v>#DIV/0!</v>
      </c>
      <c r="J376" s="20" t="str">
        <f ca="1">IFERROR(__xludf.DUMMYFUNCTION("IF(OR($I376=2, $I376=3), 0, IFERROR(COUNTIFS($C$2:C376, $C376, $A$2:A377, ""&gt;""&amp;IFERROR(MAX(FILTER($A$2:A377, $C$2:C376=$C376, $I$2:I376&lt;&gt;1)), 0), $I$2:I376, 1),1))
"),"#DIV/0!")</f>
        <v>#DIV/0!</v>
      </c>
      <c r="K376" s="20" t="e">
        <f t="shared" ca="1" si="7"/>
        <v>#DIV/0!</v>
      </c>
      <c r="L376" s="20" t="e">
        <f t="shared" ca="1" si="8"/>
        <v>#DIV/0!</v>
      </c>
      <c r="M376" s="21" t="e">
        <f t="shared" ca="1" si="9"/>
        <v>#DIV/0!</v>
      </c>
      <c r="N376" s="22" t="str">
        <f ca="1">IFERROR(__xludf.DUMMYFUNCTION("IF(COUNTIFS($C$2:C376, C376, $A$2:A376, ""&lt;="" &amp; A376) &lt; 30, STDEV.P(FILTER($G$2:G376, $C$2:C376 = C376)), STDEV.P(FILTER($G$2:G376, $C$2:C376 = C376, $A$2:A376 &gt;= A376 - 30)))
"),"#DIV/0!")</f>
        <v>#DIV/0!</v>
      </c>
    </row>
    <row r="377" spans="1:14" x14ac:dyDescent="0.2">
      <c r="A377" s="39"/>
      <c r="B377" s="40"/>
      <c r="C377" s="35"/>
      <c r="D377" s="19"/>
      <c r="E377" s="19"/>
      <c r="F377" s="19"/>
      <c r="G377" s="19" t="e">
        <f t="shared" si="5"/>
        <v>#DIV/0!</v>
      </c>
      <c r="H377" s="20" t="str">
        <f ca="1">IFERROR(__xludf.DUMMYFUNCTION("IF(COUNTIFS($C$2:C377, C377, $A$2:A377, ""&lt;="" &amp; A377) &lt; 30, AVERAGEIF($C$2:C377, C377, $G$2:G377), AVERAGE(FILTER($G$2:G377, $C$2:C377 = C377, $A$2:A377 &gt;= A377 - 30)))
"),"#DIV/0!")</f>
        <v>#DIV/0!</v>
      </c>
      <c r="I377" s="20" t="e">
        <f t="shared" ca="1" si="6"/>
        <v>#DIV/0!</v>
      </c>
      <c r="J377" s="20" t="str">
        <f ca="1">IFERROR(__xludf.DUMMYFUNCTION("IF(OR($I377=2, $I377=3), 0, IFERROR(COUNTIFS($C$2:C377, $C377, $A$2:A378, ""&gt;""&amp;IFERROR(MAX(FILTER($A$2:A378, $C$2:C377=$C377, $I$2:I377&lt;&gt;1)), 0), $I$2:I377, 1),1))
"),"#DIV/0!")</f>
        <v>#DIV/0!</v>
      </c>
      <c r="K377" s="20" t="e">
        <f t="shared" ca="1" si="7"/>
        <v>#DIV/0!</v>
      </c>
      <c r="L377" s="20" t="e">
        <f t="shared" ca="1" si="8"/>
        <v>#DIV/0!</v>
      </c>
      <c r="M377" s="21" t="e">
        <f t="shared" ca="1" si="9"/>
        <v>#DIV/0!</v>
      </c>
      <c r="N377" s="22" t="str">
        <f ca="1">IFERROR(__xludf.DUMMYFUNCTION("IF(COUNTIFS($C$2:C377, C377, $A$2:A377, ""&lt;="" &amp; A377) &lt; 30, STDEV.P(FILTER($G$2:G377, $C$2:C377 = C377)), STDEV.P(FILTER($G$2:G377, $C$2:C377 = C377, $A$2:A377 &gt;= A377 - 30)))
"),"#DIV/0!")</f>
        <v>#DIV/0!</v>
      </c>
    </row>
    <row r="378" spans="1:14" x14ac:dyDescent="0.2">
      <c r="A378" s="39"/>
      <c r="B378" s="40"/>
      <c r="C378" s="35"/>
      <c r="D378" s="19"/>
      <c r="E378" s="19"/>
      <c r="F378" s="19"/>
      <c r="G378" s="19" t="e">
        <f t="shared" si="5"/>
        <v>#DIV/0!</v>
      </c>
      <c r="H378" s="20" t="str">
        <f ca="1">IFERROR(__xludf.DUMMYFUNCTION("IF(COUNTIFS($C$2:C378, C378, $A$2:A378, ""&lt;="" &amp; A378) &lt; 30, AVERAGEIF($C$2:C378, C378, $G$2:G378), AVERAGE(FILTER($G$2:G378, $C$2:C378 = C378, $A$2:A378 &gt;= A378 - 30)))
"),"#DIV/0!")</f>
        <v>#DIV/0!</v>
      </c>
      <c r="I378" s="20" t="e">
        <f t="shared" ca="1" si="6"/>
        <v>#DIV/0!</v>
      </c>
      <c r="J378" s="20" t="str">
        <f ca="1">IFERROR(__xludf.DUMMYFUNCTION("IF(OR($I378=2, $I378=3), 0, IFERROR(COUNTIFS($C$2:C378, $C378, $A$2:A379, ""&gt;""&amp;IFERROR(MAX(FILTER($A$2:A379, $C$2:C378=$C378, $I$2:I378&lt;&gt;1)), 0), $I$2:I378, 1),1))
"),"#DIV/0!")</f>
        <v>#DIV/0!</v>
      </c>
      <c r="K378" s="20" t="e">
        <f t="shared" ca="1" si="7"/>
        <v>#DIV/0!</v>
      </c>
      <c r="L378" s="20" t="e">
        <f t="shared" ca="1" si="8"/>
        <v>#DIV/0!</v>
      </c>
      <c r="M378" s="21" t="e">
        <f t="shared" ca="1" si="9"/>
        <v>#DIV/0!</v>
      </c>
      <c r="N378" s="22" t="str">
        <f ca="1">IFERROR(__xludf.DUMMYFUNCTION("IF(COUNTIFS($C$2:C378, C378, $A$2:A378, ""&lt;="" &amp; A378) &lt; 30, STDEV.P(FILTER($G$2:G378, $C$2:C378 = C378)), STDEV.P(FILTER($G$2:G378, $C$2:C378 = C378, $A$2:A378 &gt;= A378 - 30)))
"),"#DIV/0!")</f>
        <v>#DIV/0!</v>
      </c>
    </row>
    <row r="379" spans="1:14" x14ac:dyDescent="0.2">
      <c r="A379" s="39"/>
      <c r="B379" s="40"/>
      <c r="C379" s="35"/>
      <c r="D379" s="19"/>
      <c r="E379" s="19"/>
      <c r="F379" s="19"/>
      <c r="G379" s="19" t="e">
        <f t="shared" si="5"/>
        <v>#DIV/0!</v>
      </c>
      <c r="H379" s="20" t="str">
        <f ca="1">IFERROR(__xludf.DUMMYFUNCTION("IF(COUNTIFS($C$2:C379, C379, $A$2:A379, ""&lt;="" &amp; A379) &lt; 30, AVERAGEIF($C$2:C379, C379, $G$2:G379), AVERAGE(FILTER($G$2:G379, $C$2:C379 = C379, $A$2:A379 &gt;= A379 - 30)))
"),"#DIV/0!")</f>
        <v>#DIV/0!</v>
      </c>
      <c r="I379" s="20" t="e">
        <f t="shared" ca="1" si="6"/>
        <v>#DIV/0!</v>
      </c>
      <c r="J379" s="20" t="str">
        <f ca="1">IFERROR(__xludf.DUMMYFUNCTION("IF(OR($I379=2, $I379=3), 0, IFERROR(COUNTIFS($C$2:C379, $C379, $A$2:A380, ""&gt;""&amp;IFERROR(MAX(FILTER($A$2:A380, $C$2:C379=$C379, $I$2:I379&lt;&gt;1)), 0), $I$2:I379, 1),1))
"),"#DIV/0!")</f>
        <v>#DIV/0!</v>
      </c>
      <c r="K379" s="20" t="e">
        <f t="shared" ca="1" si="7"/>
        <v>#DIV/0!</v>
      </c>
      <c r="L379" s="20" t="e">
        <f t="shared" ca="1" si="8"/>
        <v>#DIV/0!</v>
      </c>
      <c r="M379" s="21" t="e">
        <f t="shared" ca="1" si="9"/>
        <v>#DIV/0!</v>
      </c>
      <c r="N379" s="22" t="str">
        <f ca="1">IFERROR(__xludf.DUMMYFUNCTION("IF(COUNTIFS($C$2:C379, C379, $A$2:A379, ""&lt;="" &amp; A379) &lt; 30, STDEV.P(FILTER($G$2:G379, $C$2:C379 = C379)), STDEV.P(FILTER($G$2:G379, $C$2:C379 = C379, $A$2:A379 &gt;= A379 - 30)))
"),"#DIV/0!")</f>
        <v>#DIV/0!</v>
      </c>
    </row>
    <row r="380" spans="1:14" x14ac:dyDescent="0.2">
      <c r="A380" s="39"/>
      <c r="B380" s="40"/>
      <c r="C380" s="35"/>
      <c r="D380" s="19"/>
      <c r="E380" s="19"/>
      <c r="F380" s="19"/>
      <c r="G380" s="19" t="e">
        <f t="shared" si="5"/>
        <v>#DIV/0!</v>
      </c>
      <c r="H380" s="20" t="str">
        <f ca="1">IFERROR(__xludf.DUMMYFUNCTION("IF(COUNTIFS($C$2:C380, C380, $A$2:A380, ""&lt;="" &amp; A380) &lt; 30, AVERAGEIF($C$2:C380, C380, $G$2:G380), AVERAGE(FILTER($G$2:G380, $C$2:C380 = C380, $A$2:A380 &gt;= A380 - 30)))
"),"#DIV/0!")</f>
        <v>#DIV/0!</v>
      </c>
      <c r="I380" s="20" t="e">
        <f t="shared" ca="1" si="6"/>
        <v>#DIV/0!</v>
      </c>
      <c r="J380" s="20" t="str">
        <f ca="1">IFERROR(__xludf.DUMMYFUNCTION("IF(OR($I380=2, $I380=3), 0, IFERROR(COUNTIFS($C$2:C380, $C380, $A$2:A381, ""&gt;""&amp;IFERROR(MAX(FILTER($A$2:A381, $C$2:C380=$C380, $I$2:I380&lt;&gt;1)), 0), $I$2:I380, 1),1))
"),"#DIV/0!")</f>
        <v>#DIV/0!</v>
      </c>
      <c r="K380" s="20" t="e">
        <f t="shared" ca="1" si="7"/>
        <v>#DIV/0!</v>
      </c>
      <c r="L380" s="20" t="e">
        <f t="shared" ca="1" si="8"/>
        <v>#DIV/0!</v>
      </c>
      <c r="M380" s="21" t="e">
        <f t="shared" ca="1" si="9"/>
        <v>#DIV/0!</v>
      </c>
      <c r="N380" s="22" t="str">
        <f ca="1">IFERROR(__xludf.DUMMYFUNCTION("IF(COUNTIFS($C$2:C380, C380, $A$2:A380, ""&lt;="" &amp; A380) &lt; 30, STDEV.P(FILTER($G$2:G380, $C$2:C380 = C380)), STDEV.P(FILTER($G$2:G380, $C$2:C380 = C380, $A$2:A380 &gt;= A380 - 30)))
"),"#DIV/0!")</f>
        <v>#DIV/0!</v>
      </c>
    </row>
    <row r="381" spans="1:14" x14ac:dyDescent="0.2">
      <c r="A381" s="39"/>
      <c r="B381" s="40"/>
      <c r="C381" s="35"/>
      <c r="D381" s="19"/>
      <c r="E381" s="19"/>
      <c r="F381" s="19"/>
      <c r="G381" s="19" t="e">
        <f t="shared" si="5"/>
        <v>#DIV/0!</v>
      </c>
      <c r="H381" s="20" t="str">
        <f ca="1">IFERROR(__xludf.DUMMYFUNCTION("IF(COUNTIFS($C$2:C381, C381, $A$2:A381, ""&lt;="" &amp; A381) &lt; 30, AVERAGEIF($C$2:C381, C381, $G$2:G381), AVERAGE(FILTER($G$2:G381, $C$2:C381 = C381, $A$2:A381 &gt;= A381 - 30)))
"),"#DIV/0!")</f>
        <v>#DIV/0!</v>
      </c>
      <c r="I381" s="20" t="e">
        <f t="shared" ca="1" si="6"/>
        <v>#DIV/0!</v>
      </c>
      <c r="J381" s="20" t="str">
        <f ca="1">IFERROR(__xludf.DUMMYFUNCTION("IF(OR($I381=2, $I381=3), 0, IFERROR(COUNTIFS($C$2:C381, $C381, $A$2:A382, ""&gt;""&amp;IFERROR(MAX(FILTER($A$2:A382, $C$2:C381=$C381, $I$2:I381&lt;&gt;1)), 0), $I$2:I381, 1),1))
"),"#DIV/0!")</f>
        <v>#DIV/0!</v>
      </c>
      <c r="K381" s="20" t="e">
        <f t="shared" ca="1" si="7"/>
        <v>#DIV/0!</v>
      </c>
      <c r="L381" s="20" t="e">
        <f t="shared" ca="1" si="8"/>
        <v>#DIV/0!</v>
      </c>
      <c r="M381" s="21" t="e">
        <f t="shared" ca="1" si="9"/>
        <v>#DIV/0!</v>
      </c>
      <c r="N381" s="22" t="str">
        <f ca="1">IFERROR(__xludf.DUMMYFUNCTION("IF(COUNTIFS($C$2:C381, C381, $A$2:A381, ""&lt;="" &amp; A381) &lt; 30, STDEV.P(FILTER($G$2:G381, $C$2:C381 = C381)), STDEV.P(FILTER($G$2:G381, $C$2:C381 = C381, $A$2:A381 &gt;= A381 - 30)))
"),"#DIV/0!")</f>
        <v>#DIV/0!</v>
      </c>
    </row>
    <row r="382" spans="1:14" x14ac:dyDescent="0.2">
      <c r="A382" s="39"/>
      <c r="B382" s="32"/>
      <c r="C382" s="35"/>
      <c r="D382" s="20"/>
      <c r="E382" s="20"/>
      <c r="F382" s="20"/>
      <c r="G382" s="19" t="e">
        <f t="shared" si="5"/>
        <v>#DIV/0!</v>
      </c>
      <c r="H382" s="20" t="str">
        <f ca="1">IFERROR(__xludf.DUMMYFUNCTION("IF(COUNTIFS($C$2:C382, C382, $A$2:A382, ""&lt;="" &amp; A382) &lt; 30, AVERAGEIF($C$2:C382, C382, $G$2:G382), AVERAGE(FILTER($G$2:G382, $C$2:C382 = C382, $A$2:A382 &gt;= A382 - 30)))
"),"#DIV/0!")</f>
        <v>#DIV/0!</v>
      </c>
      <c r="I382" s="20" t="e">
        <f t="shared" ca="1" si="6"/>
        <v>#DIV/0!</v>
      </c>
      <c r="J382" s="20" t="str">
        <f ca="1">IFERROR(__xludf.DUMMYFUNCTION("IF(OR($I382=2, $I382=3), 0, IFERROR(COUNTIFS($C$2:C382, $C382, $A$2:A383, ""&gt;""&amp;IFERROR(MAX(FILTER($A$2:A383, $C$2:C382=$C382, $I$2:I382&lt;&gt;1)), 0), $I$2:I382, 1),1))
"),"#DIV/0!")</f>
        <v>#DIV/0!</v>
      </c>
      <c r="K382" s="20" t="e">
        <f t="shared" ca="1" si="7"/>
        <v>#DIV/0!</v>
      </c>
      <c r="L382" s="20" t="e">
        <f t="shared" ca="1" si="8"/>
        <v>#DIV/0!</v>
      </c>
      <c r="M382" s="21" t="e">
        <f t="shared" ca="1" si="9"/>
        <v>#DIV/0!</v>
      </c>
      <c r="N382" s="22" t="str">
        <f ca="1">IFERROR(__xludf.DUMMYFUNCTION("IF(COUNTIFS($C$2:C382, C382, $A$2:A382, ""&lt;="" &amp; A382) &lt; 30, STDEV.P(FILTER($G$2:G382, $C$2:C382 = C382)), STDEV.P(FILTER($G$2:G382, $C$2:C382 = C382, $A$2:A382 &gt;= A382 - 30)))
"),"#DIV/0!")</f>
        <v>#DIV/0!</v>
      </c>
    </row>
    <row r="383" spans="1:14" x14ac:dyDescent="0.2">
      <c r="A383" s="39"/>
      <c r="B383" s="32"/>
      <c r="C383" s="35"/>
      <c r="D383" s="20"/>
      <c r="E383" s="20"/>
      <c r="F383" s="20"/>
      <c r="G383" s="19" t="e">
        <f t="shared" si="5"/>
        <v>#DIV/0!</v>
      </c>
      <c r="H383" s="20" t="str">
        <f ca="1">IFERROR(__xludf.DUMMYFUNCTION("IF(COUNTIFS($C$2:C383, C383, $A$2:A383, ""&lt;="" &amp; A383) &lt; 30, AVERAGEIF($C$2:C383, C383, $G$2:G383), AVERAGE(FILTER($G$2:G383, $C$2:C383 = C383, $A$2:A383 &gt;= A383 - 30)))
"),"#DIV/0!")</f>
        <v>#DIV/0!</v>
      </c>
      <c r="I383" s="20" t="e">
        <f t="shared" ca="1" si="6"/>
        <v>#DIV/0!</v>
      </c>
      <c r="J383" s="20" t="str">
        <f ca="1">IFERROR(__xludf.DUMMYFUNCTION("IF(OR($I383=2, $I383=3), 0, IFERROR(COUNTIFS($C$2:C383, $C383, $A$2:A384, ""&gt;""&amp;IFERROR(MAX(FILTER($A$2:A384, $C$2:C383=$C383, $I$2:I383&lt;&gt;1)), 0), $I$2:I383, 1),1))
"),"#DIV/0!")</f>
        <v>#DIV/0!</v>
      </c>
      <c r="K383" s="20" t="e">
        <f t="shared" ca="1" si="7"/>
        <v>#DIV/0!</v>
      </c>
      <c r="L383" s="20" t="e">
        <f t="shared" ca="1" si="8"/>
        <v>#DIV/0!</v>
      </c>
      <c r="M383" s="21" t="e">
        <f t="shared" ca="1" si="9"/>
        <v>#DIV/0!</v>
      </c>
      <c r="N383" s="22" t="str">
        <f ca="1">IFERROR(__xludf.DUMMYFUNCTION("IF(COUNTIFS($C$2:C383, C383, $A$2:A383, ""&lt;="" &amp; A383) &lt; 30, STDEV.P(FILTER($G$2:G383, $C$2:C383 = C383)), STDEV.P(FILTER($G$2:G383, $C$2:C383 = C383, $A$2:A383 &gt;= A383 - 30)))
"),"#DIV/0!")</f>
        <v>#DIV/0!</v>
      </c>
    </row>
    <row r="384" spans="1:14" x14ac:dyDescent="0.2">
      <c r="A384" s="39"/>
      <c r="B384" s="32"/>
      <c r="C384" s="35"/>
      <c r="D384" s="20"/>
      <c r="E384" s="20"/>
      <c r="F384" s="20"/>
      <c r="G384" s="19" t="e">
        <f t="shared" si="5"/>
        <v>#DIV/0!</v>
      </c>
      <c r="H384" s="20" t="str">
        <f ca="1">IFERROR(__xludf.DUMMYFUNCTION("IF(COUNTIFS($C$2:C384, C384, $A$2:A384, ""&lt;="" &amp; A384) &lt; 30, AVERAGEIF($C$2:C384, C384, $G$2:G384), AVERAGE(FILTER($G$2:G384, $C$2:C384 = C384, $A$2:A384 &gt;= A384 - 30)))
"),"#DIV/0!")</f>
        <v>#DIV/0!</v>
      </c>
      <c r="I384" s="20" t="e">
        <f t="shared" ca="1" si="6"/>
        <v>#DIV/0!</v>
      </c>
      <c r="J384" s="20" t="str">
        <f ca="1">IFERROR(__xludf.DUMMYFUNCTION("IF(OR($I384=2, $I384=3), 0, IFERROR(COUNTIFS($C$2:C384, $C384, $A$2:A385, ""&gt;""&amp;IFERROR(MAX(FILTER($A$2:A385, $C$2:C384=$C384, $I$2:I384&lt;&gt;1)), 0), $I$2:I384, 1),1))
"),"#DIV/0!")</f>
        <v>#DIV/0!</v>
      </c>
      <c r="K384" s="20" t="e">
        <f t="shared" ca="1" si="7"/>
        <v>#DIV/0!</v>
      </c>
      <c r="L384" s="20" t="e">
        <f t="shared" ca="1" si="8"/>
        <v>#DIV/0!</v>
      </c>
      <c r="M384" s="21" t="e">
        <f t="shared" ca="1" si="9"/>
        <v>#DIV/0!</v>
      </c>
      <c r="N384" s="22" t="str">
        <f ca="1">IFERROR(__xludf.DUMMYFUNCTION("IF(COUNTIFS($C$2:C384, C384, $A$2:A384, ""&lt;="" &amp; A384) &lt; 30, STDEV.P(FILTER($G$2:G384, $C$2:C384 = C384)), STDEV.P(FILTER($G$2:G384, $C$2:C384 = C384, $A$2:A384 &gt;= A384 - 30)))
"),"#DIV/0!")</f>
        <v>#DIV/0!</v>
      </c>
    </row>
    <row r="385" spans="1:14" x14ac:dyDescent="0.2">
      <c r="A385" s="39"/>
      <c r="B385" s="32"/>
      <c r="C385" s="35"/>
      <c r="D385" s="20"/>
      <c r="E385" s="20"/>
      <c r="F385" s="20"/>
      <c r="G385" s="19" t="e">
        <f t="shared" si="5"/>
        <v>#DIV/0!</v>
      </c>
      <c r="H385" s="20" t="str">
        <f ca="1">IFERROR(__xludf.DUMMYFUNCTION("IF(COUNTIFS($C$2:C385, C385, $A$2:A385, ""&lt;="" &amp; A385) &lt; 30, AVERAGEIF($C$2:C385, C385, $G$2:G385), AVERAGE(FILTER($G$2:G385, $C$2:C385 = C385, $A$2:A385 &gt;= A385 - 30)))
"),"#DIV/0!")</f>
        <v>#DIV/0!</v>
      </c>
      <c r="I385" s="20" t="e">
        <f t="shared" ca="1" si="6"/>
        <v>#DIV/0!</v>
      </c>
      <c r="J385" s="20" t="str">
        <f ca="1">IFERROR(__xludf.DUMMYFUNCTION("IF(OR($I385=2, $I385=3), 0, IFERROR(COUNTIFS($C$2:C385, $C385, $A$2:A386, ""&gt;""&amp;IFERROR(MAX(FILTER($A$2:A386, $C$2:C385=$C385, $I$2:I385&lt;&gt;1)), 0), $I$2:I385, 1),1))
"),"#DIV/0!")</f>
        <v>#DIV/0!</v>
      </c>
      <c r="K385" s="20" t="e">
        <f t="shared" ca="1" si="7"/>
        <v>#DIV/0!</v>
      </c>
      <c r="L385" s="20" t="e">
        <f t="shared" ca="1" si="8"/>
        <v>#DIV/0!</v>
      </c>
      <c r="M385" s="21" t="e">
        <f t="shared" ca="1" si="9"/>
        <v>#DIV/0!</v>
      </c>
      <c r="N385" s="22" t="str">
        <f ca="1">IFERROR(__xludf.DUMMYFUNCTION("IF(COUNTIFS($C$2:C385, C385, $A$2:A385, ""&lt;="" &amp; A385) &lt; 30, STDEV.P(FILTER($G$2:G385, $C$2:C385 = C385)), STDEV.P(FILTER($G$2:G385, $C$2:C385 = C385, $A$2:A385 &gt;= A385 - 30)))
"),"#DIV/0!")</f>
        <v>#DIV/0!</v>
      </c>
    </row>
    <row r="386" spans="1:14" x14ac:dyDescent="0.2">
      <c r="A386" s="39"/>
      <c r="B386" s="32"/>
      <c r="C386" s="35"/>
      <c r="D386" s="20"/>
      <c r="E386" s="20"/>
      <c r="F386" s="20"/>
      <c r="G386" s="19" t="e">
        <f t="shared" si="5"/>
        <v>#DIV/0!</v>
      </c>
      <c r="H386" s="20" t="str">
        <f ca="1">IFERROR(__xludf.DUMMYFUNCTION("IF(COUNTIFS($C$2:C386, C386, $A$2:A386, ""&lt;="" &amp; A386) &lt; 30, AVERAGEIF($C$2:C386, C386, $G$2:G386), AVERAGE(FILTER($G$2:G386, $C$2:C386 = C386, $A$2:A386 &gt;= A386 - 30)))
"),"#DIV/0!")</f>
        <v>#DIV/0!</v>
      </c>
      <c r="I386" s="20" t="e">
        <f t="shared" ca="1" si="6"/>
        <v>#DIV/0!</v>
      </c>
      <c r="J386" s="20" t="str">
        <f ca="1">IFERROR(__xludf.DUMMYFUNCTION("IF(OR($I386=2, $I386=3), 0, IFERROR(COUNTIFS($C$2:C386, $C386, $A$2:A387, ""&gt;""&amp;IFERROR(MAX(FILTER($A$2:A387, $C$2:C386=$C386, $I$2:I386&lt;&gt;1)), 0), $I$2:I386, 1),1))
"),"#DIV/0!")</f>
        <v>#DIV/0!</v>
      </c>
      <c r="K386" s="20" t="e">
        <f t="shared" ca="1" si="7"/>
        <v>#DIV/0!</v>
      </c>
      <c r="L386" s="20" t="e">
        <f t="shared" ca="1" si="8"/>
        <v>#DIV/0!</v>
      </c>
      <c r="M386" s="21" t="e">
        <f t="shared" ca="1" si="9"/>
        <v>#DIV/0!</v>
      </c>
      <c r="N386" s="22" t="str">
        <f ca="1">IFERROR(__xludf.DUMMYFUNCTION("IF(COUNTIFS($C$2:C386, C386, $A$2:A386, ""&lt;="" &amp; A386) &lt; 30, STDEV.P(FILTER($G$2:G386, $C$2:C386 = C386)), STDEV.P(FILTER($G$2:G386, $C$2:C386 = C386, $A$2:A386 &gt;= A386 - 30)))
"),"#DIV/0!")</f>
        <v>#DIV/0!</v>
      </c>
    </row>
    <row r="387" spans="1:14" x14ac:dyDescent="0.2">
      <c r="A387" s="37"/>
      <c r="B387" s="40"/>
      <c r="C387" s="35"/>
      <c r="D387" s="19"/>
      <c r="E387" s="19"/>
      <c r="F387" s="19"/>
      <c r="G387" s="19" t="e">
        <f t="shared" si="5"/>
        <v>#DIV/0!</v>
      </c>
      <c r="H387" s="20" t="str">
        <f ca="1">IFERROR(__xludf.DUMMYFUNCTION("IF(COUNTIFS($C$2:C387, C387, $A$2:A387, ""&lt;="" &amp; A387) &lt; 30, AVERAGEIF($C$2:C387, C387, $G$2:G387), AVERAGE(FILTER($G$2:G387, $C$2:C387 = C387, $A$2:A387 &gt;= A387 - 30)))
"),"#DIV/0!")</f>
        <v>#DIV/0!</v>
      </c>
      <c r="I387" s="20" t="e">
        <f t="shared" ca="1" si="6"/>
        <v>#DIV/0!</v>
      </c>
      <c r="J387" s="20" t="str">
        <f ca="1">IFERROR(__xludf.DUMMYFUNCTION("IF(OR($I387=2, $I387=3), 0, IFERROR(COUNTIFS($C$2:C387, $C387, $A$2:A388, ""&gt;""&amp;IFERROR(MAX(FILTER($A$2:A388, $C$2:C387=$C387, $I$2:I387&lt;&gt;1)), 0), $I$2:I387, 1),1))
"),"#DIV/0!")</f>
        <v>#DIV/0!</v>
      </c>
      <c r="K387" s="20" t="e">
        <f t="shared" ca="1" si="7"/>
        <v>#DIV/0!</v>
      </c>
      <c r="L387" s="20" t="e">
        <f t="shared" ca="1" si="8"/>
        <v>#DIV/0!</v>
      </c>
      <c r="M387" s="21" t="e">
        <f t="shared" ca="1" si="9"/>
        <v>#DIV/0!</v>
      </c>
      <c r="N387" s="36" t="str">
        <f ca="1">IFERROR(__xludf.DUMMYFUNCTION("IF(COUNTIFS($C$2:C387, C387, $A$2:A387, ""&lt;="" &amp; A387) &lt; 30, STDEV.P(FILTER($G$2:G387, $C$2:C387 = C387)), STDEV.P(FILTER($G$2:G387, $C$2:C387 = C387, $A$2:A387 &gt;= A387 - 30)))
"),"#DIV/0!")</f>
        <v>#DIV/0!</v>
      </c>
    </row>
    <row r="388" spans="1:14" x14ac:dyDescent="0.2">
      <c r="A388" s="37"/>
      <c r="B388" s="40"/>
      <c r="C388" s="35"/>
      <c r="D388" s="19"/>
      <c r="E388" s="19"/>
      <c r="F388" s="19"/>
      <c r="G388" s="19" t="e">
        <f t="shared" si="5"/>
        <v>#DIV/0!</v>
      </c>
      <c r="H388" s="20" t="str">
        <f ca="1">IFERROR(__xludf.DUMMYFUNCTION("IF(COUNTIFS($C$2:C388, C388, $A$2:A388, ""&lt;="" &amp; A388) &lt; 30, AVERAGEIF($C$2:C388, C388, $G$2:G388), AVERAGE(FILTER($G$2:G388, $C$2:C388 = C388, $A$2:A388 &gt;= A388 - 30)))
"),"#DIV/0!")</f>
        <v>#DIV/0!</v>
      </c>
      <c r="I388" s="20" t="e">
        <f t="shared" ca="1" si="6"/>
        <v>#DIV/0!</v>
      </c>
      <c r="J388" s="20" t="str">
        <f ca="1">IFERROR(__xludf.DUMMYFUNCTION("IF(OR($I388=2, $I388=3), 0, IFERROR(COUNTIFS($C$2:C388, $C388, $A$2:A389, ""&gt;""&amp;IFERROR(MAX(FILTER($A$2:A389, $C$2:C388=$C388, $I$2:I388&lt;&gt;1)), 0), $I$2:I388, 1),1))
"),"#DIV/0!")</f>
        <v>#DIV/0!</v>
      </c>
      <c r="K388" s="20" t="e">
        <f t="shared" ca="1" si="7"/>
        <v>#DIV/0!</v>
      </c>
      <c r="L388" s="20" t="e">
        <f t="shared" ca="1" si="8"/>
        <v>#DIV/0!</v>
      </c>
      <c r="M388" s="21" t="e">
        <f t="shared" ca="1" si="9"/>
        <v>#DIV/0!</v>
      </c>
      <c r="N388" s="36" t="str">
        <f ca="1">IFERROR(__xludf.DUMMYFUNCTION("IF(COUNTIFS($C$2:C388, C388, $A$2:A388, ""&lt;="" &amp; A388) &lt; 30, STDEV.P(FILTER($G$2:G388, $C$2:C388 = C388)), STDEV.P(FILTER($G$2:G388, $C$2:C388 = C388, $A$2:A388 &gt;= A388 - 30)))
"),"#DIV/0!")</f>
        <v>#DIV/0!</v>
      </c>
    </row>
    <row r="389" spans="1:14" x14ac:dyDescent="0.2">
      <c r="A389" s="39"/>
      <c r="B389" s="40"/>
      <c r="C389" s="35"/>
      <c r="D389" s="19"/>
      <c r="E389" s="19"/>
      <c r="F389" s="19"/>
      <c r="G389" s="19" t="e">
        <f t="shared" si="5"/>
        <v>#DIV/0!</v>
      </c>
      <c r="H389" s="20" t="str">
        <f ca="1">IFERROR(__xludf.DUMMYFUNCTION("IF(COUNTIFS($C$2:C389, C389, $A$2:A389, ""&lt;="" &amp; A389) &lt; 30, AVERAGEIF($C$2:C389, C389, $G$2:G389), AVERAGE(FILTER($G$2:G389, $C$2:C389 = C389, $A$2:A389 &gt;= A389 - 30)))
"),"#DIV/0!")</f>
        <v>#DIV/0!</v>
      </c>
      <c r="I389" s="20" t="e">
        <f t="shared" ca="1" si="6"/>
        <v>#DIV/0!</v>
      </c>
      <c r="J389" s="20" t="str">
        <f ca="1">IFERROR(__xludf.DUMMYFUNCTION("IF(OR($I389=2, $I389=3), 0, IFERROR(COUNTIFS($C$2:C389, $C389, $A$2:A390, ""&gt;""&amp;IFERROR(MAX(FILTER($A$2:A390, $C$2:C389=$C389, $I$2:I389&lt;&gt;1)), 0), $I$2:I389, 1),1))
"),"#DIV/0!")</f>
        <v>#DIV/0!</v>
      </c>
      <c r="K389" s="20" t="e">
        <f t="shared" ca="1" si="7"/>
        <v>#DIV/0!</v>
      </c>
      <c r="L389" s="20" t="e">
        <f t="shared" ca="1" si="8"/>
        <v>#DIV/0!</v>
      </c>
      <c r="M389" s="21" t="e">
        <f t="shared" ca="1" si="9"/>
        <v>#DIV/0!</v>
      </c>
      <c r="N389" s="22" t="str">
        <f ca="1">IFERROR(__xludf.DUMMYFUNCTION("IF(COUNTIFS($C$2:C389, C389, $A$2:A389, ""&lt;="" &amp; A389) &lt; 30, STDEV.P(FILTER($G$2:G389, $C$2:C389 = C389)), STDEV.P(FILTER($G$2:G389, $C$2:C389 = C389, $A$2:A389 &gt;= A389 - 30)))
"),"#DIV/0!")</f>
        <v>#DIV/0!</v>
      </c>
    </row>
    <row r="390" spans="1:14" x14ac:dyDescent="0.2">
      <c r="A390" s="39"/>
      <c r="B390" s="40"/>
      <c r="C390" s="35"/>
      <c r="D390" s="19"/>
      <c r="E390" s="19"/>
      <c r="F390" s="19"/>
      <c r="G390" s="19" t="e">
        <f t="shared" si="5"/>
        <v>#DIV/0!</v>
      </c>
      <c r="H390" s="20" t="str">
        <f ca="1">IFERROR(__xludf.DUMMYFUNCTION("IF(COUNTIFS($C$2:C390, C390, $A$2:A390, ""&lt;="" &amp; A390) &lt; 30, AVERAGEIF($C$2:C390, C390, $G$2:G390), AVERAGE(FILTER($G$2:G390, $C$2:C390 = C390, $A$2:A390 &gt;= A390 - 30)))
"),"#DIV/0!")</f>
        <v>#DIV/0!</v>
      </c>
      <c r="I390" s="20" t="e">
        <f t="shared" ca="1" si="6"/>
        <v>#DIV/0!</v>
      </c>
      <c r="J390" s="20" t="str">
        <f ca="1">IFERROR(__xludf.DUMMYFUNCTION("IF(OR($I390=2, $I390=3), 0, IFERROR(COUNTIFS($C$2:C390, $C390, $A$2:A391, ""&gt;""&amp;IFERROR(MAX(FILTER($A$2:A391, $C$2:C390=$C390, $I$2:I390&lt;&gt;1)), 0), $I$2:I390, 1),1))
"),"#DIV/0!")</f>
        <v>#DIV/0!</v>
      </c>
      <c r="K390" s="20" t="e">
        <f t="shared" ca="1" si="7"/>
        <v>#DIV/0!</v>
      </c>
      <c r="L390" s="20" t="e">
        <f t="shared" ca="1" si="8"/>
        <v>#DIV/0!</v>
      </c>
      <c r="M390" s="21" t="e">
        <f t="shared" ca="1" si="9"/>
        <v>#DIV/0!</v>
      </c>
      <c r="N390" s="22" t="str">
        <f ca="1">IFERROR(__xludf.DUMMYFUNCTION("IF(COUNTIFS($C$2:C390, C390, $A$2:A390, ""&lt;="" &amp; A390) &lt; 30, STDEV.P(FILTER($G$2:G390, $C$2:C390 = C390)), STDEV.P(FILTER($G$2:G390, $C$2:C390 = C390, $A$2:A390 &gt;= A390 - 30)))
"),"#DIV/0!")</f>
        <v>#DIV/0!</v>
      </c>
    </row>
    <row r="391" spans="1:14" x14ac:dyDescent="0.2">
      <c r="A391" s="39"/>
      <c r="B391" s="40"/>
      <c r="C391" s="35"/>
      <c r="D391" s="19"/>
      <c r="E391" s="19"/>
      <c r="F391" s="19"/>
      <c r="G391" s="19" t="e">
        <f t="shared" si="5"/>
        <v>#DIV/0!</v>
      </c>
      <c r="H391" s="20" t="str">
        <f ca="1">IFERROR(__xludf.DUMMYFUNCTION("IF(COUNTIFS($C$2:C391, C391, $A$2:A391, ""&lt;="" &amp; A391) &lt; 30, AVERAGEIF($C$2:C391, C391, $G$2:G391), AVERAGE(FILTER($G$2:G391, $C$2:C391 = C391, $A$2:A391 &gt;= A391 - 30)))
"),"#DIV/0!")</f>
        <v>#DIV/0!</v>
      </c>
      <c r="I391" s="20" t="e">
        <f t="shared" ca="1" si="6"/>
        <v>#DIV/0!</v>
      </c>
      <c r="J391" s="20" t="str">
        <f ca="1">IFERROR(__xludf.DUMMYFUNCTION("IF(OR($I391=2, $I391=3), 0, IFERROR(COUNTIFS($C$2:C391, $C391, $A$2:A392, ""&gt;""&amp;IFERROR(MAX(FILTER($A$2:A392, $C$2:C391=$C391, $I$2:I391&lt;&gt;1)), 0), $I$2:I391, 1),1))
"),"#DIV/0!")</f>
        <v>#DIV/0!</v>
      </c>
      <c r="K391" s="20" t="e">
        <f t="shared" ca="1" si="7"/>
        <v>#DIV/0!</v>
      </c>
      <c r="L391" s="20" t="e">
        <f t="shared" ca="1" si="8"/>
        <v>#DIV/0!</v>
      </c>
      <c r="M391" s="21" t="e">
        <f t="shared" ca="1" si="9"/>
        <v>#DIV/0!</v>
      </c>
      <c r="N391" s="22" t="str">
        <f ca="1">IFERROR(__xludf.DUMMYFUNCTION("IF(COUNTIFS($C$2:C391, C391, $A$2:A391, ""&lt;="" &amp; A391) &lt; 30, STDEV.P(FILTER($G$2:G391, $C$2:C391 = C391)), STDEV.P(FILTER($G$2:G391, $C$2:C391 = C391, $A$2:A391 &gt;= A391 - 30)))
"),"#DIV/0!")</f>
        <v>#DIV/0!</v>
      </c>
    </row>
    <row r="392" spans="1:14" x14ac:dyDescent="0.2">
      <c r="A392" s="39"/>
      <c r="B392" s="40"/>
      <c r="C392" s="35"/>
      <c r="D392" s="19"/>
      <c r="E392" s="19"/>
      <c r="F392" s="19"/>
      <c r="G392" s="19" t="e">
        <f t="shared" si="5"/>
        <v>#DIV/0!</v>
      </c>
      <c r="H392" s="20" t="str">
        <f ca="1">IFERROR(__xludf.DUMMYFUNCTION("IF(COUNTIFS($C$2:C392, C392, $A$2:A392, ""&lt;="" &amp; A392) &lt; 30, AVERAGEIF($C$2:C392, C392, $G$2:G392), AVERAGE(FILTER($G$2:G392, $C$2:C392 = C392, $A$2:A392 &gt;= A392 - 30)))
"),"#DIV/0!")</f>
        <v>#DIV/0!</v>
      </c>
      <c r="I392" s="20" t="e">
        <f t="shared" ca="1" si="6"/>
        <v>#DIV/0!</v>
      </c>
      <c r="J392" s="20" t="str">
        <f ca="1">IFERROR(__xludf.DUMMYFUNCTION("IF(OR($I392=2, $I392=3), 0, IFERROR(COUNTIFS($C$2:C392, $C392, $A$2:A393, ""&gt;""&amp;IFERROR(MAX(FILTER($A$2:A393, $C$2:C392=$C392, $I$2:I392&lt;&gt;1)), 0), $I$2:I392, 1),1))
"),"#DIV/0!")</f>
        <v>#DIV/0!</v>
      </c>
      <c r="K392" s="20" t="e">
        <f t="shared" ca="1" si="7"/>
        <v>#DIV/0!</v>
      </c>
      <c r="L392" s="20" t="e">
        <f t="shared" ca="1" si="8"/>
        <v>#DIV/0!</v>
      </c>
      <c r="M392" s="21" t="e">
        <f t="shared" ca="1" si="9"/>
        <v>#DIV/0!</v>
      </c>
      <c r="N392" s="22" t="str">
        <f ca="1">IFERROR(__xludf.DUMMYFUNCTION("IF(COUNTIFS($C$2:C392, C392, $A$2:A392, ""&lt;="" &amp; A392) &lt; 30, STDEV.P(FILTER($G$2:G392, $C$2:C392 = C392)), STDEV.P(FILTER($G$2:G392, $C$2:C392 = C392, $A$2:A392 &gt;= A392 - 30)))
"),"#DIV/0!")</f>
        <v>#DIV/0!</v>
      </c>
    </row>
    <row r="393" spans="1:14" x14ac:dyDescent="0.2">
      <c r="A393" s="39"/>
      <c r="B393" s="40"/>
      <c r="C393" s="35"/>
      <c r="D393" s="19"/>
      <c r="E393" s="19"/>
      <c r="F393" s="19"/>
      <c r="G393" s="19" t="e">
        <f t="shared" si="5"/>
        <v>#DIV/0!</v>
      </c>
      <c r="H393" s="20" t="str">
        <f ca="1">IFERROR(__xludf.DUMMYFUNCTION("IF(COUNTIFS($C$2:C393, C393, $A$2:A393, ""&lt;="" &amp; A393) &lt; 30, AVERAGEIF($C$2:C393, C393, $G$2:G393), AVERAGE(FILTER($G$2:G393, $C$2:C393 = C393, $A$2:A393 &gt;= A393 - 30)))
"),"#DIV/0!")</f>
        <v>#DIV/0!</v>
      </c>
      <c r="I393" s="20" t="e">
        <f t="shared" ca="1" si="6"/>
        <v>#DIV/0!</v>
      </c>
      <c r="J393" s="20" t="str">
        <f ca="1">IFERROR(__xludf.DUMMYFUNCTION("IF(OR($I393=2, $I393=3), 0, IFERROR(COUNTIFS($C$2:C393, $C393, $A$2:A394, ""&gt;""&amp;IFERROR(MAX(FILTER($A$2:A394, $C$2:C393=$C393, $I$2:I393&lt;&gt;1)), 0), $I$2:I393, 1),1))
"),"#DIV/0!")</f>
        <v>#DIV/0!</v>
      </c>
      <c r="K393" s="20" t="e">
        <f t="shared" ca="1" si="7"/>
        <v>#DIV/0!</v>
      </c>
      <c r="L393" s="20" t="e">
        <f t="shared" ca="1" si="8"/>
        <v>#DIV/0!</v>
      </c>
      <c r="M393" s="21" t="e">
        <f t="shared" ca="1" si="9"/>
        <v>#DIV/0!</v>
      </c>
      <c r="N393" s="22" t="str">
        <f ca="1">IFERROR(__xludf.DUMMYFUNCTION("IF(COUNTIFS($C$2:C393, C393, $A$2:A393, ""&lt;="" &amp; A393) &lt; 30, STDEV.P(FILTER($G$2:G393, $C$2:C393 = C393)), STDEV.P(FILTER($G$2:G393, $C$2:C393 = C393, $A$2:A393 &gt;= A393 - 30)))
"),"#DIV/0!")</f>
        <v>#DIV/0!</v>
      </c>
    </row>
    <row r="394" spans="1:14" x14ac:dyDescent="0.2">
      <c r="A394" s="39"/>
      <c r="B394" s="40"/>
      <c r="C394" s="35"/>
      <c r="D394" s="19"/>
      <c r="E394" s="19"/>
      <c r="F394" s="19"/>
      <c r="G394" s="19" t="e">
        <f t="shared" si="5"/>
        <v>#DIV/0!</v>
      </c>
      <c r="H394" s="20" t="str">
        <f ca="1">IFERROR(__xludf.DUMMYFUNCTION("IF(COUNTIFS($C$2:C394, C394, $A$2:A394, ""&lt;="" &amp; A394) &lt; 30, AVERAGEIF($C$2:C394, C394, $G$2:G394), AVERAGE(FILTER($G$2:G394, $C$2:C394 = C394, $A$2:A394 &gt;= A394 - 30)))
"),"#DIV/0!")</f>
        <v>#DIV/0!</v>
      </c>
      <c r="I394" s="20" t="e">
        <f t="shared" ca="1" si="6"/>
        <v>#DIV/0!</v>
      </c>
      <c r="J394" s="20" t="str">
        <f ca="1">IFERROR(__xludf.DUMMYFUNCTION("IF(OR($I394=2, $I394=3), 0, IFERROR(COUNTIFS($C$2:C394, $C394, $A$2:A395, ""&gt;""&amp;IFERROR(MAX(FILTER($A$2:A395, $C$2:C394=$C394, $I$2:I394&lt;&gt;1)), 0), $I$2:I394, 1),1))
"),"#DIV/0!")</f>
        <v>#DIV/0!</v>
      </c>
      <c r="K394" s="20" t="e">
        <f t="shared" ca="1" si="7"/>
        <v>#DIV/0!</v>
      </c>
      <c r="L394" s="20" t="e">
        <f t="shared" ca="1" si="8"/>
        <v>#DIV/0!</v>
      </c>
      <c r="M394" s="21" t="e">
        <f t="shared" ca="1" si="9"/>
        <v>#DIV/0!</v>
      </c>
      <c r="N394" s="22" t="str">
        <f ca="1">IFERROR(__xludf.DUMMYFUNCTION("IF(COUNTIFS($C$2:C394, C394, $A$2:A394, ""&lt;="" &amp; A394) &lt; 30, STDEV.P(FILTER($G$2:G394, $C$2:C394 = C394)), STDEV.P(FILTER($G$2:G394, $C$2:C394 = C394, $A$2:A394 &gt;= A394 - 30)))
"),"#DIV/0!")</f>
        <v>#DIV/0!</v>
      </c>
    </row>
    <row r="395" spans="1:14" x14ac:dyDescent="0.2">
      <c r="A395" s="39"/>
      <c r="B395" s="32"/>
      <c r="C395" s="35"/>
      <c r="D395" s="19"/>
      <c r="E395" s="19"/>
      <c r="F395" s="19"/>
      <c r="G395" s="19" t="e">
        <f t="shared" si="5"/>
        <v>#DIV/0!</v>
      </c>
      <c r="H395" s="20" t="str">
        <f ca="1">IFERROR(__xludf.DUMMYFUNCTION("IF(COUNTIFS($C$2:C395, C395, $A$2:A395, ""&lt;="" &amp; A395) &lt; 30, AVERAGEIF($C$2:C395, C395, $G$2:G395), AVERAGE(FILTER($G$2:G395, $C$2:C395 = C395, $A$2:A395 &gt;= A395 - 30)))
"),"#DIV/0!")</f>
        <v>#DIV/0!</v>
      </c>
      <c r="I395" s="20" t="e">
        <f t="shared" ca="1" si="6"/>
        <v>#DIV/0!</v>
      </c>
      <c r="J395" s="20" t="str">
        <f ca="1">IFERROR(__xludf.DUMMYFUNCTION("IF(OR($I395=2, $I395=3), 0, IFERROR(COUNTIFS($C$2:C395, $C395, $A$2:A396, ""&gt;""&amp;IFERROR(MAX(FILTER($A$2:A396, $C$2:C395=$C395, $I$2:I395&lt;&gt;1)), 0), $I$2:I395, 1),1))
"),"#DIV/0!")</f>
        <v>#DIV/0!</v>
      </c>
      <c r="K395" s="20" t="e">
        <f t="shared" ca="1" si="7"/>
        <v>#DIV/0!</v>
      </c>
      <c r="L395" s="20" t="e">
        <f t="shared" ca="1" si="8"/>
        <v>#DIV/0!</v>
      </c>
      <c r="M395" s="21" t="e">
        <f t="shared" ca="1" si="9"/>
        <v>#DIV/0!</v>
      </c>
      <c r="N395" s="22" t="str">
        <f ca="1">IFERROR(__xludf.DUMMYFUNCTION("IF(COUNTIFS($C$2:C395, C395, $A$2:A395, ""&lt;="" &amp; A395) &lt; 30, STDEV.P(FILTER($G$2:G395, $C$2:C395 = C395)), STDEV.P(FILTER($G$2:G395, $C$2:C395 = C395, $A$2:A395 &gt;= A395 - 30)))
"),"#DIV/0!")</f>
        <v>#DIV/0!</v>
      </c>
    </row>
    <row r="396" spans="1:14" x14ac:dyDescent="0.2">
      <c r="A396" s="39"/>
      <c r="B396" s="32"/>
      <c r="C396" s="35"/>
      <c r="D396" s="19"/>
      <c r="E396" s="19"/>
      <c r="F396" s="19"/>
      <c r="G396" s="19" t="e">
        <f t="shared" si="5"/>
        <v>#DIV/0!</v>
      </c>
      <c r="H396" s="20" t="str">
        <f ca="1">IFERROR(__xludf.DUMMYFUNCTION("IF(COUNTIFS($C$2:C396, C396, $A$2:A396, ""&lt;="" &amp; A396) &lt; 30, AVERAGEIF($C$2:C396, C396, $G$2:G396), AVERAGE(FILTER($G$2:G396, $C$2:C396 = C396, $A$2:A396 &gt;= A396 - 30)))
"),"#DIV/0!")</f>
        <v>#DIV/0!</v>
      </c>
      <c r="I396" s="20" t="e">
        <f t="shared" ca="1" si="6"/>
        <v>#DIV/0!</v>
      </c>
      <c r="J396" s="20" t="str">
        <f ca="1">IFERROR(__xludf.DUMMYFUNCTION("IF(OR($I396=2, $I396=3), 0, IFERROR(COUNTIFS($C$2:C396, $C396, $A$2:A397, ""&gt;""&amp;IFERROR(MAX(FILTER($A$2:A397, $C$2:C396=$C396, $I$2:I396&lt;&gt;1)), 0), $I$2:I396, 1),1))
"),"#DIV/0!")</f>
        <v>#DIV/0!</v>
      </c>
      <c r="K396" s="20" t="e">
        <f t="shared" ca="1" si="7"/>
        <v>#DIV/0!</v>
      </c>
      <c r="L396" s="20" t="e">
        <f t="shared" ca="1" si="8"/>
        <v>#DIV/0!</v>
      </c>
      <c r="M396" s="21" t="e">
        <f t="shared" ca="1" si="9"/>
        <v>#DIV/0!</v>
      </c>
      <c r="N396" s="22" t="str">
        <f ca="1">IFERROR(__xludf.DUMMYFUNCTION("IF(COUNTIFS($C$2:C396, C396, $A$2:A396, ""&lt;="" &amp; A396) &lt; 30, STDEV.P(FILTER($G$2:G396, $C$2:C396 = C396)), STDEV.P(FILTER($G$2:G396, $C$2:C396 = C396, $A$2:A396 &gt;= A396 - 30)))
"),"#DIV/0!")</f>
        <v>#DIV/0!</v>
      </c>
    </row>
    <row r="397" spans="1:14" x14ac:dyDescent="0.2">
      <c r="A397" s="39"/>
      <c r="B397" s="32"/>
      <c r="C397" s="35"/>
      <c r="D397" s="19"/>
      <c r="E397" s="19"/>
      <c r="F397" s="19"/>
      <c r="G397" s="19" t="e">
        <f t="shared" si="5"/>
        <v>#DIV/0!</v>
      </c>
      <c r="H397" s="20" t="str">
        <f ca="1">IFERROR(__xludf.DUMMYFUNCTION("IF(COUNTIFS($C$2:C397, C397, $A$2:A397, ""&lt;="" &amp; A397) &lt; 30, AVERAGEIF($C$2:C397, C397, $G$2:G397), AVERAGE(FILTER($G$2:G397, $C$2:C397 = C397, $A$2:A397 &gt;= A397 - 30)))
"),"#DIV/0!")</f>
        <v>#DIV/0!</v>
      </c>
      <c r="I397" s="20" t="e">
        <f t="shared" ca="1" si="6"/>
        <v>#DIV/0!</v>
      </c>
      <c r="J397" s="20" t="str">
        <f ca="1">IFERROR(__xludf.DUMMYFUNCTION("IF(OR($I397=2, $I397=3), 0, IFERROR(COUNTIFS($C$2:C397, $C397, $A$2:A398, ""&gt;""&amp;IFERROR(MAX(FILTER($A$2:A398, $C$2:C397=$C397, $I$2:I397&lt;&gt;1)), 0), $I$2:I397, 1),1))
"),"#DIV/0!")</f>
        <v>#DIV/0!</v>
      </c>
      <c r="K397" s="20" t="e">
        <f t="shared" ca="1" si="7"/>
        <v>#DIV/0!</v>
      </c>
      <c r="L397" s="20" t="e">
        <f t="shared" ca="1" si="8"/>
        <v>#DIV/0!</v>
      </c>
      <c r="M397" s="21" t="e">
        <f t="shared" ca="1" si="9"/>
        <v>#DIV/0!</v>
      </c>
      <c r="N397" s="22" t="str">
        <f ca="1">IFERROR(__xludf.DUMMYFUNCTION("IF(COUNTIFS($C$2:C397, C397, $A$2:A397, ""&lt;="" &amp; A397) &lt; 30, STDEV.P(FILTER($G$2:G397, $C$2:C397 = C397)), STDEV.P(FILTER($G$2:G397, $C$2:C397 = C397, $A$2:A397 &gt;= A397 - 30)))
"),"#DIV/0!")</f>
        <v>#DIV/0!</v>
      </c>
    </row>
    <row r="398" spans="1:14" x14ac:dyDescent="0.2">
      <c r="A398" s="39"/>
      <c r="B398" s="32"/>
      <c r="C398" s="35"/>
      <c r="D398" s="19"/>
      <c r="E398" s="19"/>
      <c r="F398" s="19"/>
      <c r="G398" s="19" t="e">
        <f t="shared" si="5"/>
        <v>#DIV/0!</v>
      </c>
      <c r="H398" s="20" t="str">
        <f ca="1">IFERROR(__xludf.DUMMYFUNCTION("IF(COUNTIFS($C$2:C398, C398, $A$2:A398, ""&lt;="" &amp; A398) &lt; 30, AVERAGEIF($C$2:C398, C398, $G$2:G398), AVERAGE(FILTER($G$2:G398, $C$2:C398 = C398, $A$2:A398 &gt;= A398 - 30)))
"),"#DIV/0!")</f>
        <v>#DIV/0!</v>
      </c>
      <c r="I398" s="20" t="e">
        <f t="shared" ca="1" si="6"/>
        <v>#DIV/0!</v>
      </c>
      <c r="J398" s="20" t="str">
        <f ca="1">IFERROR(__xludf.DUMMYFUNCTION("IF(OR($I398=2, $I398=3), 0, IFERROR(COUNTIFS($C$2:C398, $C398, $A$2:A399, ""&gt;""&amp;IFERROR(MAX(FILTER($A$2:A399, $C$2:C398=$C398, $I$2:I398&lt;&gt;1)), 0), $I$2:I398, 1),1))
"),"#DIV/0!")</f>
        <v>#DIV/0!</v>
      </c>
      <c r="K398" s="20" t="e">
        <f t="shared" ca="1" si="7"/>
        <v>#DIV/0!</v>
      </c>
      <c r="L398" s="20" t="e">
        <f t="shared" ca="1" si="8"/>
        <v>#DIV/0!</v>
      </c>
      <c r="M398" s="21" t="e">
        <f t="shared" ca="1" si="9"/>
        <v>#DIV/0!</v>
      </c>
      <c r="N398" s="22" t="str">
        <f ca="1">IFERROR(__xludf.DUMMYFUNCTION("IF(COUNTIFS($C$2:C398, C398, $A$2:A398, ""&lt;="" &amp; A398) &lt; 30, STDEV.P(FILTER($G$2:G398, $C$2:C398 = C398)), STDEV.P(FILTER($G$2:G398, $C$2:C398 = C398, $A$2:A398 &gt;= A398 - 30)))
"),"#DIV/0!")</f>
        <v>#DIV/0!</v>
      </c>
    </row>
    <row r="399" spans="1:14" x14ac:dyDescent="0.2">
      <c r="A399" s="39"/>
      <c r="B399" s="32"/>
      <c r="C399" s="35"/>
      <c r="D399" s="19"/>
      <c r="E399" s="19"/>
      <c r="F399" s="19"/>
      <c r="G399" s="19" t="e">
        <f t="shared" si="5"/>
        <v>#DIV/0!</v>
      </c>
      <c r="H399" s="20" t="str">
        <f ca="1">IFERROR(__xludf.DUMMYFUNCTION("IF(COUNTIFS($C$2:C399, C399, $A$2:A399, ""&lt;="" &amp; A399) &lt; 30, AVERAGEIF($C$2:C399, C399, $G$2:G399), AVERAGE(FILTER($G$2:G399, $C$2:C399 = C399, $A$2:A399 &gt;= A399 - 30)))
"),"#DIV/0!")</f>
        <v>#DIV/0!</v>
      </c>
      <c r="I399" s="20" t="e">
        <f t="shared" ca="1" si="6"/>
        <v>#DIV/0!</v>
      </c>
      <c r="J399" s="20" t="str">
        <f ca="1">IFERROR(__xludf.DUMMYFUNCTION("IF(OR($I399=2, $I399=3), 0, IFERROR(COUNTIFS($C$2:C399, $C399, $A$2:A400, ""&gt;""&amp;IFERROR(MAX(FILTER($A$2:A400, $C$2:C399=$C399, $I$2:I399&lt;&gt;1)), 0), $I$2:I399, 1),1))
"),"#DIV/0!")</f>
        <v>#DIV/0!</v>
      </c>
      <c r="K399" s="20" t="e">
        <f t="shared" ca="1" si="7"/>
        <v>#DIV/0!</v>
      </c>
      <c r="L399" s="20" t="e">
        <f t="shared" ca="1" si="8"/>
        <v>#DIV/0!</v>
      </c>
      <c r="M399" s="21" t="e">
        <f t="shared" ca="1" si="9"/>
        <v>#DIV/0!</v>
      </c>
      <c r="N399" s="22" t="str">
        <f ca="1">IFERROR(__xludf.DUMMYFUNCTION("IF(COUNTIFS($C$2:C399, C399, $A$2:A399, ""&lt;="" &amp; A399) &lt; 30, STDEV.P(FILTER($G$2:G399, $C$2:C399 = C399)), STDEV.P(FILTER($G$2:G399, $C$2:C399 = C399, $A$2:A399 &gt;= A399 - 30)))
"),"#DIV/0!")</f>
        <v>#DIV/0!</v>
      </c>
    </row>
    <row r="400" spans="1:14" x14ac:dyDescent="0.2">
      <c r="A400" s="39"/>
      <c r="B400" s="32"/>
      <c r="C400" s="35"/>
      <c r="D400" s="19"/>
      <c r="E400" s="19"/>
      <c r="F400" s="19"/>
      <c r="G400" s="19" t="e">
        <f t="shared" si="5"/>
        <v>#DIV/0!</v>
      </c>
      <c r="H400" s="20" t="str">
        <f ca="1">IFERROR(__xludf.DUMMYFUNCTION("IF(COUNTIFS($C$2:C400, C400, $A$2:A400, ""&lt;="" &amp; A400) &lt; 30, AVERAGEIF($C$2:C400, C400, $G$2:G400), AVERAGE(FILTER($G$2:G400, $C$2:C400 = C400, $A$2:A400 &gt;= A400 - 30)))
"),"#DIV/0!")</f>
        <v>#DIV/0!</v>
      </c>
      <c r="I400" s="20" t="e">
        <f t="shared" ca="1" si="6"/>
        <v>#DIV/0!</v>
      </c>
      <c r="J400" s="20" t="str">
        <f ca="1">IFERROR(__xludf.DUMMYFUNCTION("IF(OR($I400=2, $I400=3), 0, IFERROR(COUNTIFS($C$2:C400, $C400, $A$2:A401, ""&gt;""&amp;IFERROR(MAX(FILTER($A$2:A401, $C$2:C400=$C400, $I$2:I400&lt;&gt;1)), 0), $I$2:I400, 1),1))
"),"#DIV/0!")</f>
        <v>#DIV/0!</v>
      </c>
      <c r="K400" s="20" t="e">
        <f t="shared" ca="1" si="7"/>
        <v>#DIV/0!</v>
      </c>
      <c r="L400" s="20" t="e">
        <f t="shared" ca="1" si="8"/>
        <v>#DIV/0!</v>
      </c>
      <c r="M400" s="21" t="e">
        <f t="shared" ca="1" si="9"/>
        <v>#DIV/0!</v>
      </c>
      <c r="N400" s="22" t="str">
        <f ca="1">IFERROR(__xludf.DUMMYFUNCTION("IF(COUNTIFS($C$2:C400, C400, $A$2:A400, ""&lt;="" &amp; A400) &lt; 30, STDEV.P(FILTER($G$2:G400, $C$2:C400 = C400)), STDEV.P(FILTER($G$2:G400, $C$2:C400 = C400, $A$2:A400 &gt;= A400 - 30)))
"),"#DIV/0!")</f>
        <v>#DIV/0!</v>
      </c>
    </row>
    <row r="401" spans="1:14" x14ac:dyDescent="0.2">
      <c r="A401" s="39"/>
      <c r="B401" s="32"/>
      <c r="C401" s="35"/>
      <c r="D401" s="19"/>
      <c r="E401" s="19"/>
      <c r="F401" s="19"/>
      <c r="G401" s="19" t="e">
        <f t="shared" si="5"/>
        <v>#DIV/0!</v>
      </c>
      <c r="H401" s="20" t="str">
        <f ca="1">IFERROR(__xludf.DUMMYFUNCTION("IF(COUNTIFS($C$2:C401, C401, $A$2:A401, ""&lt;="" &amp; A401) &lt; 30, AVERAGEIF($C$2:C401, C401, $G$2:G401), AVERAGE(FILTER($G$2:G401, $C$2:C401 = C401, $A$2:A401 &gt;= A401 - 30)))
"),"#DIV/0!")</f>
        <v>#DIV/0!</v>
      </c>
      <c r="I401" s="20" t="e">
        <f t="shared" ca="1" si="6"/>
        <v>#DIV/0!</v>
      </c>
      <c r="J401" s="20" t="str">
        <f ca="1">IFERROR(__xludf.DUMMYFUNCTION("IF(OR($I401=2, $I401=3), 0, IFERROR(COUNTIFS($C$2:C401, $C401, $A$2:A402, ""&gt;""&amp;IFERROR(MAX(FILTER($A$2:A402, $C$2:C401=$C401, $I$2:I401&lt;&gt;1)), 0), $I$2:I401, 1),1))
"),"#DIV/0!")</f>
        <v>#DIV/0!</v>
      </c>
      <c r="K401" s="20" t="e">
        <f t="shared" ca="1" si="7"/>
        <v>#DIV/0!</v>
      </c>
      <c r="L401" s="20" t="e">
        <f t="shared" ca="1" si="8"/>
        <v>#DIV/0!</v>
      </c>
      <c r="M401" s="21" t="e">
        <f t="shared" ca="1" si="9"/>
        <v>#DIV/0!</v>
      </c>
      <c r="N401" s="22" t="str">
        <f ca="1">IFERROR(__xludf.DUMMYFUNCTION("IF(COUNTIFS($C$2:C401, C401, $A$2:A401, ""&lt;="" &amp; A401) &lt; 30, STDEV.P(FILTER($G$2:G401, $C$2:C401 = C401)), STDEV.P(FILTER($G$2:G401, $C$2:C401 = C401, $A$2:A401 &gt;= A401 - 30)))
"),"#DIV/0!")</f>
        <v>#DIV/0!</v>
      </c>
    </row>
    <row r="402" spans="1:14" x14ac:dyDescent="0.2">
      <c r="A402" s="39"/>
      <c r="B402" s="32"/>
      <c r="C402" s="35"/>
      <c r="D402" s="19"/>
      <c r="E402" s="19"/>
      <c r="F402" s="19"/>
      <c r="G402" s="19" t="e">
        <f t="shared" si="5"/>
        <v>#DIV/0!</v>
      </c>
      <c r="H402" s="20" t="str">
        <f ca="1">IFERROR(__xludf.DUMMYFUNCTION("IF(COUNTIFS($C$2:C402, C402, $A$2:A402, ""&lt;="" &amp; A402) &lt; 30, AVERAGEIF($C$2:C402, C402, $G$2:G402), AVERAGE(FILTER($G$2:G402, $C$2:C402 = C402, $A$2:A402 &gt;= A402 - 30)))
"),"#DIV/0!")</f>
        <v>#DIV/0!</v>
      </c>
      <c r="I402" s="20" t="e">
        <f t="shared" ca="1" si="6"/>
        <v>#DIV/0!</v>
      </c>
      <c r="J402" s="20" t="str">
        <f ca="1">IFERROR(__xludf.DUMMYFUNCTION("IF(OR($I402=2, $I402=3), 0, IFERROR(COUNTIFS($C$2:C402, $C402, $A$2:A403, ""&gt;""&amp;IFERROR(MAX(FILTER($A$2:A403, $C$2:C402=$C402, $I$2:I402&lt;&gt;1)), 0), $I$2:I402, 1),1))
"),"#DIV/0!")</f>
        <v>#DIV/0!</v>
      </c>
      <c r="K402" s="20" t="e">
        <f t="shared" ca="1" si="7"/>
        <v>#DIV/0!</v>
      </c>
      <c r="L402" s="20" t="e">
        <f t="shared" ca="1" si="8"/>
        <v>#DIV/0!</v>
      </c>
      <c r="M402" s="21" t="e">
        <f t="shared" ca="1" si="9"/>
        <v>#DIV/0!</v>
      </c>
      <c r="N402" s="22" t="str">
        <f ca="1">IFERROR(__xludf.DUMMYFUNCTION("IF(COUNTIFS($C$2:C402, C402, $A$2:A402, ""&lt;="" &amp; A402) &lt; 30, STDEV.P(FILTER($G$2:G402, $C$2:C402 = C402)), STDEV.P(FILTER($G$2:G402, $C$2:C402 = C402, $A$2:A402 &gt;= A402 - 30)))
"),"#DIV/0!")</f>
        <v>#DIV/0!</v>
      </c>
    </row>
    <row r="403" spans="1:14" x14ac:dyDescent="0.2">
      <c r="A403" s="39"/>
      <c r="B403" s="32"/>
      <c r="C403" s="35"/>
      <c r="D403" s="19"/>
      <c r="E403" s="19"/>
      <c r="F403" s="19"/>
      <c r="G403" s="19" t="e">
        <f t="shared" si="5"/>
        <v>#DIV/0!</v>
      </c>
      <c r="H403" s="20" t="str">
        <f ca="1">IFERROR(__xludf.DUMMYFUNCTION("IF(COUNTIFS($C$2:C403, C403, $A$2:A403, ""&lt;="" &amp; A403) &lt; 30, AVERAGEIF($C$2:C403, C403, $G$2:G403), AVERAGE(FILTER($G$2:G403, $C$2:C403 = C403, $A$2:A403 &gt;= A403 - 30)))
"),"#DIV/0!")</f>
        <v>#DIV/0!</v>
      </c>
      <c r="I403" s="20" t="e">
        <f t="shared" ca="1" si="6"/>
        <v>#DIV/0!</v>
      </c>
      <c r="J403" s="20" t="str">
        <f ca="1">IFERROR(__xludf.DUMMYFUNCTION("IF(OR($I403=2, $I403=3), 0, IFERROR(COUNTIFS($C$2:C403, $C403, $A$2:A404, ""&gt;""&amp;IFERROR(MAX(FILTER($A$2:A404, $C$2:C403=$C403, $I$2:I403&lt;&gt;1)), 0), $I$2:I403, 1),1))
"),"#DIV/0!")</f>
        <v>#DIV/0!</v>
      </c>
      <c r="K403" s="20" t="e">
        <f t="shared" ca="1" si="7"/>
        <v>#DIV/0!</v>
      </c>
      <c r="L403" s="20" t="e">
        <f t="shared" ca="1" si="8"/>
        <v>#DIV/0!</v>
      </c>
      <c r="M403" s="21" t="e">
        <f t="shared" ca="1" si="9"/>
        <v>#DIV/0!</v>
      </c>
      <c r="N403" s="22" t="str">
        <f ca="1">IFERROR(__xludf.DUMMYFUNCTION("IF(COUNTIFS($C$2:C403, C403, $A$2:A403, ""&lt;="" &amp; A403) &lt; 30, STDEV.P(FILTER($G$2:G403, $C$2:C403 = C403)), STDEV.P(FILTER($G$2:G403, $C$2:C403 = C403, $A$2:A403 &gt;= A403 - 30)))
"),"#DIV/0!")</f>
        <v>#DIV/0!</v>
      </c>
    </row>
    <row r="404" spans="1:14" x14ac:dyDescent="0.2">
      <c r="A404" s="39"/>
      <c r="B404" s="32"/>
      <c r="C404" s="35"/>
      <c r="D404" s="20"/>
      <c r="E404" s="20"/>
      <c r="F404" s="20"/>
      <c r="G404" s="19" t="e">
        <f t="shared" si="5"/>
        <v>#DIV/0!</v>
      </c>
      <c r="H404" s="20" t="str">
        <f ca="1">IFERROR(__xludf.DUMMYFUNCTION("IF(COUNTIFS($C$2:C404, C404, $A$2:A404, ""&lt;="" &amp; A404) &lt; 30, AVERAGEIF($C$2:C404, C404, $G$2:G404), AVERAGE(FILTER($G$2:G404, $C$2:C404 = C404, $A$2:A404 &gt;= A404 - 30)))
"),"#DIV/0!")</f>
        <v>#DIV/0!</v>
      </c>
      <c r="I404" s="20" t="e">
        <f t="shared" ca="1" si="6"/>
        <v>#DIV/0!</v>
      </c>
      <c r="J404" s="20" t="str">
        <f ca="1">IFERROR(__xludf.DUMMYFUNCTION("IF(OR($I404=2, $I404=3), 0, IFERROR(COUNTIFS($C$2:C404, $C404, $A$2:A405, ""&gt;""&amp;IFERROR(MAX(FILTER($A$2:A405, $C$2:C404=$C404, $I$2:I404&lt;&gt;1)), 0), $I$2:I404, 1),1))
"),"#DIV/0!")</f>
        <v>#DIV/0!</v>
      </c>
      <c r="K404" s="20" t="e">
        <f t="shared" ca="1" si="7"/>
        <v>#DIV/0!</v>
      </c>
      <c r="L404" s="20" t="e">
        <f t="shared" ca="1" si="8"/>
        <v>#DIV/0!</v>
      </c>
      <c r="M404" s="21" t="e">
        <f t="shared" ca="1" si="9"/>
        <v>#DIV/0!</v>
      </c>
      <c r="N404" s="22" t="str">
        <f ca="1">IFERROR(__xludf.DUMMYFUNCTION("IF(COUNTIFS($C$2:C404, C404, $A$2:A404, ""&lt;="" &amp; A404) &lt; 30, STDEV.P(FILTER($G$2:G404, $C$2:C404 = C404)), STDEV.P(FILTER($G$2:G404, $C$2:C404 = C404, $A$2:A404 &gt;= A404 - 30)))
"),"#DIV/0!")</f>
        <v>#DIV/0!</v>
      </c>
    </row>
    <row r="405" spans="1:14" x14ac:dyDescent="0.2">
      <c r="A405" s="39"/>
      <c r="B405" s="32"/>
      <c r="C405" s="35"/>
      <c r="D405" s="20"/>
      <c r="E405" s="20"/>
      <c r="F405" s="20"/>
      <c r="G405" s="19" t="e">
        <f t="shared" si="5"/>
        <v>#DIV/0!</v>
      </c>
      <c r="H405" s="20" t="str">
        <f ca="1">IFERROR(__xludf.DUMMYFUNCTION("IF(COUNTIFS($C$2:C405, C405, $A$2:A405, ""&lt;="" &amp; A405) &lt; 30, AVERAGEIF($C$2:C405, C405, $G$2:G405), AVERAGE(FILTER($G$2:G405, $C$2:C405 = C405, $A$2:A405 &gt;= A405 - 30)))
"),"#DIV/0!")</f>
        <v>#DIV/0!</v>
      </c>
      <c r="I405" s="20" t="e">
        <f t="shared" ca="1" si="6"/>
        <v>#DIV/0!</v>
      </c>
      <c r="J405" s="20" t="str">
        <f ca="1">IFERROR(__xludf.DUMMYFUNCTION("IF(OR($I405=2, $I405=3), 0, IFERROR(COUNTIFS($C$2:C405, $C405, $A$2:A406, ""&gt;""&amp;IFERROR(MAX(FILTER($A$2:A406, $C$2:C405=$C405, $I$2:I405&lt;&gt;1)), 0), $I$2:I405, 1),1))
"),"#DIV/0!")</f>
        <v>#DIV/0!</v>
      </c>
      <c r="K405" s="20" t="e">
        <f t="shared" ca="1" si="7"/>
        <v>#DIV/0!</v>
      </c>
      <c r="L405" s="20" t="e">
        <f t="shared" ca="1" si="8"/>
        <v>#DIV/0!</v>
      </c>
      <c r="M405" s="21" t="e">
        <f t="shared" ca="1" si="9"/>
        <v>#DIV/0!</v>
      </c>
      <c r="N405" s="22" t="str">
        <f ca="1">IFERROR(__xludf.DUMMYFUNCTION("IF(COUNTIFS($C$2:C405, C405, $A$2:A405, ""&lt;="" &amp; A405) &lt; 30, STDEV.P(FILTER($G$2:G405, $C$2:C405 = C405)), STDEV.P(FILTER($G$2:G405, $C$2:C405 = C405, $A$2:A405 &gt;= A405 - 30)))
"),"#DIV/0!")</f>
        <v>#DIV/0!</v>
      </c>
    </row>
    <row r="406" spans="1:14" x14ac:dyDescent="0.2">
      <c r="A406" s="39"/>
      <c r="B406" s="32"/>
      <c r="C406" s="35"/>
      <c r="D406" s="20"/>
      <c r="E406" s="20"/>
      <c r="F406" s="20"/>
      <c r="G406" s="19" t="e">
        <f t="shared" si="5"/>
        <v>#DIV/0!</v>
      </c>
      <c r="H406" s="20" t="str">
        <f ca="1">IFERROR(__xludf.DUMMYFUNCTION("IF(COUNTIFS($C$2:C406, C406, $A$2:A406, ""&lt;="" &amp; A406) &lt; 30, AVERAGEIF($C$2:C406, C406, $G$2:G406), AVERAGE(FILTER($G$2:G406, $C$2:C406 = C406, $A$2:A406 &gt;= A406 - 30)))
"),"#DIV/0!")</f>
        <v>#DIV/0!</v>
      </c>
      <c r="I406" s="20" t="e">
        <f t="shared" ca="1" si="6"/>
        <v>#DIV/0!</v>
      </c>
      <c r="J406" s="20" t="str">
        <f ca="1">IFERROR(__xludf.DUMMYFUNCTION("IF(OR($I406=2, $I406=3), 0, IFERROR(COUNTIFS($C$2:C406, $C406, $A$2:A407, ""&gt;""&amp;IFERROR(MAX(FILTER($A$2:A407, $C$2:C406=$C406, $I$2:I406&lt;&gt;1)), 0), $I$2:I406, 1),1))
"),"#DIV/0!")</f>
        <v>#DIV/0!</v>
      </c>
      <c r="K406" s="20" t="e">
        <f t="shared" ca="1" si="7"/>
        <v>#DIV/0!</v>
      </c>
      <c r="L406" s="20" t="e">
        <f t="shared" ca="1" si="8"/>
        <v>#DIV/0!</v>
      </c>
      <c r="M406" s="21" t="e">
        <f t="shared" ca="1" si="9"/>
        <v>#DIV/0!</v>
      </c>
      <c r="N406" s="22" t="str">
        <f ca="1">IFERROR(__xludf.DUMMYFUNCTION("IF(COUNTIFS($C$2:C406, C406, $A$2:A406, ""&lt;="" &amp; A406) &lt; 30, STDEV.P(FILTER($G$2:G406, $C$2:C406 = C406)), STDEV.P(FILTER($G$2:G406, $C$2:C406 = C406, $A$2:A406 &gt;= A406 - 30)))
"),"#DIV/0!")</f>
        <v>#DIV/0!</v>
      </c>
    </row>
    <row r="407" spans="1:14" x14ac:dyDescent="0.2">
      <c r="A407" s="39"/>
      <c r="B407" s="32"/>
      <c r="C407" s="35"/>
      <c r="D407" s="20"/>
      <c r="E407" s="20"/>
      <c r="F407" s="20"/>
      <c r="G407" s="19" t="e">
        <f t="shared" si="5"/>
        <v>#DIV/0!</v>
      </c>
      <c r="H407" s="20" t="str">
        <f ca="1">IFERROR(__xludf.DUMMYFUNCTION("IF(COUNTIFS($C$2:C407, C407, $A$2:A407, ""&lt;="" &amp; A407) &lt; 30, AVERAGEIF($C$2:C407, C407, $G$2:G407), AVERAGE(FILTER($G$2:G407, $C$2:C407 = C407, $A$2:A407 &gt;= A407 - 30)))
"),"#DIV/0!")</f>
        <v>#DIV/0!</v>
      </c>
      <c r="I407" s="20" t="e">
        <f t="shared" ca="1" si="6"/>
        <v>#DIV/0!</v>
      </c>
      <c r="J407" s="20" t="str">
        <f ca="1">IFERROR(__xludf.DUMMYFUNCTION("IF(OR($I407=2, $I407=3), 0, IFERROR(COUNTIFS($C$2:C407, $C407, $A$2:A408, ""&gt;""&amp;IFERROR(MAX(FILTER($A$2:A408, $C$2:C407=$C407, $I$2:I407&lt;&gt;1)), 0), $I$2:I407, 1),1))
"),"#DIV/0!")</f>
        <v>#DIV/0!</v>
      </c>
      <c r="K407" s="20" t="e">
        <f t="shared" ca="1" si="7"/>
        <v>#DIV/0!</v>
      </c>
      <c r="L407" s="20" t="e">
        <f t="shared" ca="1" si="8"/>
        <v>#DIV/0!</v>
      </c>
      <c r="M407" s="21" t="e">
        <f t="shared" ca="1" si="9"/>
        <v>#DIV/0!</v>
      </c>
      <c r="N407" s="22" t="str">
        <f ca="1">IFERROR(__xludf.DUMMYFUNCTION("IF(COUNTIFS($C$2:C407, C407, $A$2:A407, ""&lt;="" &amp; A407) &lt; 30, STDEV.P(FILTER($G$2:G407, $C$2:C407 = C407)), STDEV.P(FILTER($G$2:G407, $C$2:C407 = C407, $A$2:A407 &gt;= A407 - 30)))
"),"#DIV/0!")</f>
        <v>#DIV/0!</v>
      </c>
    </row>
    <row r="408" spans="1:14" x14ac:dyDescent="0.2">
      <c r="A408" s="39"/>
      <c r="B408" s="32"/>
      <c r="C408" s="35"/>
      <c r="D408" s="20"/>
      <c r="E408" s="20"/>
      <c r="F408" s="20"/>
      <c r="G408" s="19" t="e">
        <f t="shared" si="5"/>
        <v>#DIV/0!</v>
      </c>
      <c r="H408" s="20" t="str">
        <f ca="1">IFERROR(__xludf.DUMMYFUNCTION("IF(COUNTIFS($C$2:C408, C408, $A$2:A408, ""&lt;="" &amp; A408) &lt; 30, AVERAGEIF($C$2:C408, C408, $G$2:G408), AVERAGE(FILTER($G$2:G408, $C$2:C408 = C408, $A$2:A408 &gt;= A408 - 30)))
"),"#DIV/0!")</f>
        <v>#DIV/0!</v>
      </c>
      <c r="I408" s="20" t="e">
        <f t="shared" ca="1" si="6"/>
        <v>#DIV/0!</v>
      </c>
      <c r="J408" s="20" t="str">
        <f ca="1">IFERROR(__xludf.DUMMYFUNCTION("IF(OR($I408=2, $I408=3), 0, IFERROR(COUNTIFS($C$2:C408, $C408, $A$2:A409, ""&gt;""&amp;IFERROR(MAX(FILTER($A$2:A409, $C$2:C408=$C408, $I$2:I408&lt;&gt;1)), 0), $I$2:I408, 1),1))
"),"#DIV/0!")</f>
        <v>#DIV/0!</v>
      </c>
      <c r="K408" s="20" t="e">
        <f t="shared" ca="1" si="7"/>
        <v>#DIV/0!</v>
      </c>
      <c r="L408" s="20" t="e">
        <f t="shared" ca="1" si="8"/>
        <v>#DIV/0!</v>
      </c>
      <c r="M408" s="21" t="e">
        <f t="shared" ca="1" si="9"/>
        <v>#DIV/0!</v>
      </c>
      <c r="N408" s="22" t="str">
        <f ca="1">IFERROR(__xludf.DUMMYFUNCTION("IF(COUNTIFS($C$2:C408, C408, $A$2:A408, ""&lt;="" &amp; A408) &lt; 30, STDEV.P(FILTER($G$2:G408, $C$2:C408 = C408)), STDEV.P(FILTER($G$2:G408, $C$2:C408 = C408, $A$2:A408 &gt;= A408 - 30)))
"),"#DIV/0!")</f>
        <v>#DIV/0!</v>
      </c>
    </row>
    <row r="409" spans="1:14" x14ac:dyDescent="0.2">
      <c r="A409" s="39"/>
      <c r="B409" s="40"/>
      <c r="C409" s="35"/>
      <c r="D409" s="19"/>
      <c r="E409" s="19"/>
      <c r="F409" s="19"/>
      <c r="G409" s="19" t="e">
        <f t="shared" si="5"/>
        <v>#DIV/0!</v>
      </c>
      <c r="H409" s="20" t="str">
        <f ca="1">IFERROR(__xludf.DUMMYFUNCTION("IF(COUNTIFS($C$2:C409, C409, $A$2:A409, ""&lt;="" &amp; A409) &lt; 30, AVERAGEIF($C$2:C409, C409, $G$2:G409), AVERAGE(FILTER($G$2:G409, $C$2:C409 = C409, $A$2:A409 &gt;= A409 - 30)))
"),"#DIV/0!")</f>
        <v>#DIV/0!</v>
      </c>
      <c r="I409" s="20" t="e">
        <f t="shared" ca="1" si="6"/>
        <v>#DIV/0!</v>
      </c>
      <c r="J409" s="20" t="str">
        <f ca="1">IFERROR(__xludf.DUMMYFUNCTION("IF(OR($I409=2, $I409=3), 0, IFERROR(COUNTIFS($C$2:C409, $C409, $A$2:A410, ""&gt;""&amp;IFERROR(MAX(FILTER($A$2:A410, $C$2:C409=$C409, $I$2:I409&lt;&gt;1)), 0), $I$2:I409, 1),1))
"),"#DIV/0!")</f>
        <v>#DIV/0!</v>
      </c>
      <c r="K409" s="20" t="e">
        <f t="shared" ca="1" si="7"/>
        <v>#DIV/0!</v>
      </c>
      <c r="L409" s="20" t="e">
        <f t="shared" ca="1" si="8"/>
        <v>#DIV/0!</v>
      </c>
      <c r="M409" s="21" t="e">
        <f t="shared" ca="1" si="9"/>
        <v>#DIV/0!</v>
      </c>
      <c r="N409" s="22" t="str">
        <f ca="1">IFERROR(__xludf.DUMMYFUNCTION("IF(COUNTIFS($C$2:C409, C409, $A$2:A409, ""&lt;="" &amp; A409) &lt; 30, STDEV.P(FILTER($G$2:G409, $C$2:C409 = C409)), STDEV.P(FILTER($G$2:G409, $C$2:C409 = C409, $A$2:A409 &gt;= A409 - 30)))
"),"#DIV/0!")</f>
        <v>#DIV/0!</v>
      </c>
    </row>
    <row r="410" spans="1:14" x14ac:dyDescent="0.2">
      <c r="A410" s="39"/>
      <c r="B410" s="40"/>
      <c r="C410" s="35"/>
      <c r="D410" s="19"/>
      <c r="E410" s="19"/>
      <c r="F410" s="19"/>
      <c r="G410" s="19" t="e">
        <f t="shared" si="5"/>
        <v>#DIV/0!</v>
      </c>
      <c r="H410" s="20" t="str">
        <f ca="1">IFERROR(__xludf.DUMMYFUNCTION("IF(COUNTIFS($C$2:C410, C410, $A$2:A410, ""&lt;="" &amp; A410) &lt; 30, AVERAGEIF($C$2:C410, C410, $G$2:G410), AVERAGE(FILTER($G$2:G410, $C$2:C410 = C410, $A$2:A410 &gt;= A410 - 30)))
"),"#DIV/0!")</f>
        <v>#DIV/0!</v>
      </c>
      <c r="I410" s="20" t="e">
        <f t="shared" ca="1" si="6"/>
        <v>#DIV/0!</v>
      </c>
      <c r="J410" s="20" t="str">
        <f ca="1">IFERROR(__xludf.DUMMYFUNCTION("IF(OR($I410=2, $I410=3), 0, IFERROR(COUNTIFS($C$2:C410, $C410, $A$2:A411, ""&gt;""&amp;IFERROR(MAX(FILTER($A$2:A411, $C$2:C410=$C410, $I$2:I410&lt;&gt;1)), 0), $I$2:I410, 1),1))
"),"#DIV/0!")</f>
        <v>#DIV/0!</v>
      </c>
      <c r="K410" s="20" t="e">
        <f t="shared" ca="1" si="7"/>
        <v>#DIV/0!</v>
      </c>
      <c r="L410" s="20" t="e">
        <f t="shared" ca="1" si="8"/>
        <v>#DIV/0!</v>
      </c>
      <c r="M410" s="21" t="e">
        <f t="shared" ca="1" si="9"/>
        <v>#DIV/0!</v>
      </c>
      <c r="N410" s="22" t="str">
        <f ca="1">IFERROR(__xludf.DUMMYFUNCTION("IF(COUNTIFS($C$2:C410, C410, $A$2:A410, ""&lt;="" &amp; A410) &lt; 30, STDEV.P(FILTER($G$2:G410, $C$2:C410 = C410)), STDEV.P(FILTER($G$2:G410, $C$2:C410 = C410, $A$2:A410 &gt;= A410 - 30)))
"),"#DIV/0!")</f>
        <v>#DIV/0!</v>
      </c>
    </row>
    <row r="411" spans="1:14" x14ac:dyDescent="0.2">
      <c r="A411" s="39"/>
      <c r="B411" s="40"/>
      <c r="C411" s="35"/>
      <c r="D411" s="19"/>
      <c r="E411" s="19"/>
      <c r="F411" s="19"/>
      <c r="G411" s="19" t="e">
        <f t="shared" si="5"/>
        <v>#DIV/0!</v>
      </c>
      <c r="H411" s="20" t="str">
        <f ca="1">IFERROR(__xludf.DUMMYFUNCTION("IF(COUNTIFS($C$2:C411, C411, $A$2:A411, ""&lt;="" &amp; A411) &lt; 30, AVERAGEIF($C$2:C411, C411, $G$2:G411), AVERAGE(FILTER($G$2:G411, $C$2:C411 = C411, $A$2:A411 &gt;= A411 - 30)))
"),"#DIV/0!")</f>
        <v>#DIV/0!</v>
      </c>
      <c r="I411" s="20" t="e">
        <f t="shared" ca="1" si="6"/>
        <v>#DIV/0!</v>
      </c>
      <c r="J411" s="20" t="str">
        <f ca="1">IFERROR(__xludf.DUMMYFUNCTION("IF(OR($I411=2, $I411=3), 0, IFERROR(COUNTIFS($C$2:C411, $C411, $A$2:A412, ""&gt;""&amp;IFERROR(MAX(FILTER($A$2:A412, $C$2:C411=$C411, $I$2:I411&lt;&gt;1)), 0), $I$2:I411, 1),1))
"),"#DIV/0!")</f>
        <v>#DIV/0!</v>
      </c>
      <c r="K411" s="20" t="e">
        <f t="shared" ca="1" si="7"/>
        <v>#DIV/0!</v>
      </c>
      <c r="L411" s="20" t="e">
        <f t="shared" ca="1" si="8"/>
        <v>#DIV/0!</v>
      </c>
      <c r="M411" s="21" t="e">
        <f t="shared" ca="1" si="9"/>
        <v>#DIV/0!</v>
      </c>
      <c r="N411" s="22" t="str">
        <f ca="1">IFERROR(__xludf.DUMMYFUNCTION("IF(COUNTIFS($C$2:C411, C411, $A$2:A411, ""&lt;="" &amp; A411) &lt; 30, STDEV.P(FILTER($G$2:G411, $C$2:C411 = C411)), STDEV.P(FILTER($G$2:G411, $C$2:C411 = C411, $A$2:A411 &gt;= A411 - 30)))
"),"#DIV/0!")</f>
        <v>#DIV/0!</v>
      </c>
    </row>
    <row r="412" spans="1:14" x14ac:dyDescent="0.2">
      <c r="A412" s="39"/>
      <c r="B412" s="40"/>
      <c r="C412" s="35"/>
      <c r="D412" s="19"/>
      <c r="E412" s="19"/>
      <c r="F412" s="19"/>
      <c r="G412" s="19" t="e">
        <f t="shared" si="5"/>
        <v>#DIV/0!</v>
      </c>
      <c r="H412" s="20" t="str">
        <f ca="1">IFERROR(__xludf.DUMMYFUNCTION("IF(COUNTIFS($C$2:C412, C412, $A$2:A412, ""&lt;="" &amp; A412) &lt; 30, AVERAGEIF($C$2:C412, C412, $G$2:G412), AVERAGE(FILTER($G$2:G412, $C$2:C412 = C412, $A$2:A412 &gt;= A412 - 30)))
"),"#DIV/0!")</f>
        <v>#DIV/0!</v>
      </c>
      <c r="I412" s="20" t="e">
        <f t="shared" ca="1" si="6"/>
        <v>#DIV/0!</v>
      </c>
      <c r="J412" s="20" t="str">
        <f ca="1">IFERROR(__xludf.DUMMYFUNCTION("IF(OR($I412=2, $I412=3), 0, IFERROR(COUNTIFS($C$2:C412, $C412, $A$2:A413, ""&gt;""&amp;IFERROR(MAX(FILTER($A$2:A413, $C$2:C412=$C412, $I$2:I412&lt;&gt;1)), 0), $I$2:I412, 1),1))
"),"#DIV/0!")</f>
        <v>#DIV/0!</v>
      </c>
      <c r="K412" s="20" t="e">
        <f t="shared" ca="1" si="7"/>
        <v>#DIV/0!</v>
      </c>
      <c r="L412" s="20" t="e">
        <f t="shared" ca="1" si="8"/>
        <v>#DIV/0!</v>
      </c>
      <c r="M412" s="21" t="e">
        <f t="shared" ca="1" si="9"/>
        <v>#DIV/0!</v>
      </c>
      <c r="N412" s="22" t="str">
        <f ca="1">IFERROR(__xludf.DUMMYFUNCTION("IF(COUNTIFS($C$2:C412, C412, $A$2:A412, ""&lt;="" &amp; A412) &lt; 30, STDEV.P(FILTER($G$2:G412, $C$2:C412 = C412)), STDEV.P(FILTER($G$2:G412, $C$2:C412 = C412, $A$2:A412 &gt;= A412 - 30)))
"),"#DIV/0!")</f>
        <v>#DIV/0!</v>
      </c>
    </row>
    <row r="413" spans="1:14" x14ac:dyDescent="0.2">
      <c r="A413" s="39"/>
      <c r="B413" s="40"/>
      <c r="C413" s="35"/>
      <c r="D413" s="19"/>
      <c r="E413" s="19"/>
      <c r="F413" s="19"/>
      <c r="G413" s="19" t="e">
        <f t="shared" si="5"/>
        <v>#DIV/0!</v>
      </c>
      <c r="H413" s="20" t="str">
        <f ca="1">IFERROR(__xludf.DUMMYFUNCTION("IF(COUNTIFS($C$2:C413, C413, $A$2:A413, ""&lt;="" &amp; A413) &lt; 30, AVERAGEIF($C$2:C413, C413, $G$2:G413), AVERAGE(FILTER($G$2:G413, $C$2:C413 = C413, $A$2:A413 &gt;= A413 - 30)))
"),"#DIV/0!")</f>
        <v>#DIV/0!</v>
      </c>
      <c r="I413" s="20" t="e">
        <f t="shared" ca="1" si="6"/>
        <v>#DIV/0!</v>
      </c>
      <c r="J413" s="20" t="str">
        <f ca="1">IFERROR(__xludf.DUMMYFUNCTION("IF(OR($I413=2, $I413=3), 0, IFERROR(COUNTIFS($C$2:C413, $C413, $A$2:A414, ""&gt;""&amp;IFERROR(MAX(FILTER($A$2:A414, $C$2:C413=$C413, $I$2:I413&lt;&gt;1)), 0), $I$2:I413, 1),1))
"),"#DIV/0!")</f>
        <v>#DIV/0!</v>
      </c>
      <c r="K413" s="20" t="e">
        <f t="shared" ca="1" si="7"/>
        <v>#DIV/0!</v>
      </c>
      <c r="L413" s="20" t="e">
        <f t="shared" ca="1" si="8"/>
        <v>#DIV/0!</v>
      </c>
      <c r="M413" s="21" t="e">
        <f t="shared" ca="1" si="9"/>
        <v>#DIV/0!</v>
      </c>
      <c r="N413" s="22" t="str">
        <f ca="1">IFERROR(__xludf.DUMMYFUNCTION("IF(COUNTIFS($C$2:C413, C413, $A$2:A413, ""&lt;="" &amp; A413) &lt; 30, STDEV.P(FILTER($G$2:G413, $C$2:C413 = C413)), STDEV.P(FILTER($G$2:G413, $C$2:C413 = C413, $A$2:A413 &gt;= A413 - 30)))
"),"#DIV/0!")</f>
        <v>#DIV/0!</v>
      </c>
    </row>
    <row r="414" spans="1:14" x14ac:dyDescent="0.2">
      <c r="A414" s="39"/>
      <c r="B414" s="40"/>
      <c r="C414" s="35"/>
      <c r="D414" s="19"/>
      <c r="E414" s="19"/>
      <c r="F414" s="19"/>
      <c r="G414" s="19" t="e">
        <f t="shared" si="5"/>
        <v>#DIV/0!</v>
      </c>
      <c r="H414" s="20" t="str">
        <f ca="1">IFERROR(__xludf.DUMMYFUNCTION("IF(COUNTIFS($C$2:C414, C414, $A$2:A414, ""&lt;="" &amp; A414) &lt; 30, AVERAGEIF($C$2:C414, C414, $G$2:G414), AVERAGE(FILTER($G$2:G414, $C$2:C414 = C414, $A$2:A414 &gt;= A414 - 30)))
"),"#DIV/0!")</f>
        <v>#DIV/0!</v>
      </c>
      <c r="I414" s="20" t="e">
        <f t="shared" ca="1" si="6"/>
        <v>#DIV/0!</v>
      </c>
      <c r="J414" s="20" t="str">
        <f ca="1">IFERROR(__xludf.DUMMYFUNCTION("IF(OR($I414=2, $I414=3), 0, IFERROR(COUNTIFS($C$2:C414, $C414, $A$2:A415, ""&gt;""&amp;IFERROR(MAX(FILTER($A$2:A415, $C$2:C414=$C414, $I$2:I414&lt;&gt;1)), 0), $I$2:I414, 1),1))
"),"#DIV/0!")</f>
        <v>#DIV/0!</v>
      </c>
      <c r="K414" s="20" t="e">
        <f t="shared" ca="1" si="7"/>
        <v>#DIV/0!</v>
      </c>
      <c r="L414" s="20" t="e">
        <f t="shared" ca="1" si="8"/>
        <v>#DIV/0!</v>
      </c>
      <c r="M414" s="21" t="e">
        <f t="shared" ca="1" si="9"/>
        <v>#DIV/0!</v>
      </c>
      <c r="N414" s="22" t="str">
        <f ca="1">IFERROR(__xludf.DUMMYFUNCTION("IF(COUNTIFS($C$2:C414, C414, $A$2:A414, ""&lt;="" &amp; A414) &lt; 30, STDEV.P(FILTER($G$2:G414, $C$2:C414 = C414)), STDEV.P(FILTER($G$2:G414, $C$2:C414 = C414, $A$2:A414 &gt;= A414 - 30)))
"),"#DIV/0!")</f>
        <v>#DIV/0!</v>
      </c>
    </row>
    <row r="415" spans="1:14" x14ac:dyDescent="0.2">
      <c r="A415" s="39"/>
      <c r="B415" s="40"/>
      <c r="C415" s="35"/>
      <c r="D415" s="19"/>
      <c r="E415" s="19"/>
      <c r="F415" s="19"/>
      <c r="G415" s="19" t="e">
        <f t="shared" si="5"/>
        <v>#DIV/0!</v>
      </c>
      <c r="H415" s="20" t="str">
        <f ca="1">IFERROR(__xludf.DUMMYFUNCTION("IF(COUNTIFS($C$2:C415, C415, $A$2:A415, ""&lt;="" &amp; A415) &lt; 30, AVERAGEIF($C$2:C415, C415, $G$2:G415), AVERAGE(FILTER($G$2:G415, $C$2:C415 = C415, $A$2:A415 &gt;= A415 - 30)))
"),"#DIV/0!")</f>
        <v>#DIV/0!</v>
      </c>
      <c r="I415" s="20" t="e">
        <f t="shared" ca="1" si="6"/>
        <v>#DIV/0!</v>
      </c>
      <c r="J415" s="20" t="str">
        <f ca="1">IFERROR(__xludf.DUMMYFUNCTION("IF(OR($I415=2, $I415=3), 0, IFERROR(COUNTIFS($C$2:C415, $C415, $A$2:A416, ""&gt;""&amp;IFERROR(MAX(FILTER($A$2:A416, $C$2:C415=$C415, $I$2:I415&lt;&gt;1)), 0), $I$2:I415, 1),1))
"),"#DIV/0!")</f>
        <v>#DIV/0!</v>
      </c>
      <c r="K415" s="20" t="e">
        <f t="shared" ca="1" si="7"/>
        <v>#DIV/0!</v>
      </c>
      <c r="L415" s="20" t="e">
        <f t="shared" ca="1" si="8"/>
        <v>#DIV/0!</v>
      </c>
      <c r="M415" s="21" t="e">
        <f t="shared" ca="1" si="9"/>
        <v>#DIV/0!</v>
      </c>
      <c r="N415" s="22" t="str">
        <f ca="1">IFERROR(__xludf.DUMMYFUNCTION("IF(COUNTIFS($C$2:C415, C415, $A$2:A415, ""&lt;="" &amp; A415) &lt; 30, STDEV.P(FILTER($G$2:G415, $C$2:C415 = C415)), STDEV.P(FILTER($G$2:G415, $C$2:C415 = C415, $A$2:A415 &gt;= A415 - 30)))
"),"#DIV/0!")</f>
        <v>#DIV/0!</v>
      </c>
    </row>
    <row r="416" spans="1:14" x14ac:dyDescent="0.2">
      <c r="A416" s="39"/>
      <c r="B416" s="32"/>
      <c r="C416" s="35"/>
      <c r="D416" s="20"/>
      <c r="E416" s="20"/>
      <c r="F416" s="20"/>
      <c r="G416" s="19" t="e">
        <f t="shared" si="5"/>
        <v>#DIV/0!</v>
      </c>
      <c r="H416" s="20" t="str">
        <f ca="1">IFERROR(__xludf.DUMMYFUNCTION("IF(COUNTIFS($C$2:C416, C416, $A$2:A416, ""&lt;="" &amp; A416) &lt; 30, AVERAGEIF($C$2:C416, C416, $G$2:G416), AVERAGE(FILTER($G$2:G416, $C$2:C416 = C416, $A$2:A416 &gt;= A416 - 30)))
"),"#DIV/0!")</f>
        <v>#DIV/0!</v>
      </c>
      <c r="I416" s="20" t="e">
        <f t="shared" ca="1" si="6"/>
        <v>#DIV/0!</v>
      </c>
      <c r="J416" s="20" t="str">
        <f ca="1">IFERROR(__xludf.DUMMYFUNCTION("IF(OR($I416=2, $I416=3), 0, IFERROR(COUNTIFS($C$2:C416, $C416, $A$2:A417, ""&gt;""&amp;IFERROR(MAX(FILTER($A$2:A417, $C$2:C416=$C416, $I$2:I416&lt;&gt;1)), 0), $I$2:I416, 1),1))
"),"#DIV/0!")</f>
        <v>#DIV/0!</v>
      </c>
      <c r="K416" s="20" t="e">
        <f t="shared" ca="1" si="7"/>
        <v>#DIV/0!</v>
      </c>
      <c r="L416" s="20" t="e">
        <f t="shared" ca="1" si="8"/>
        <v>#DIV/0!</v>
      </c>
      <c r="M416" s="21" t="e">
        <f t="shared" ca="1" si="9"/>
        <v>#DIV/0!</v>
      </c>
      <c r="N416" s="22" t="str">
        <f ca="1">IFERROR(__xludf.DUMMYFUNCTION("IF(COUNTIFS($C$2:C416, C416, $A$2:A416, ""&lt;="" &amp; A416) &lt; 30, STDEV.P(FILTER($G$2:G416, $C$2:C416 = C416)), STDEV.P(FILTER($G$2:G416, $C$2:C416 = C416, $A$2:A416 &gt;= A416 - 30)))
"),"#DIV/0!")</f>
        <v>#DIV/0!</v>
      </c>
    </row>
    <row r="417" spans="1:14" x14ac:dyDescent="0.2">
      <c r="A417" s="39"/>
      <c r="B417" s="32"/>
      <c r="C417" s="35"/>
      <c r="D417" s="19"/>
      <c r="E417" s="19"/>
      <c r="F417" s="19"/>
      <c r="G417" s="19" t="e">
        <f t="shared" si="5"/>
        <v>#DIV/0!</v>
      </c>
      <c r="H417" s="20" t="str">
        <f ca="1">IFERROR(__xludf.DUMMYFUNCTION("IF(COUNTIFS($C$2:C417, C417, $A$2:A417, ""&lt;="" &amp; A417) &lt; 30, AVERAGEIF($C$2:C417, C417, $G$2:G417), AVERAGE(FILTER($G$2:G417, $C$2:C417 = C417, $A$2:A417 &gt;= A417 - 30)))
"),"#DIV/0!")</f>
        <v>#DIV/0!</v>
      </c>
      <c r="I417" s="20" t="e">
        <f t="shared" ca="1" si="6"/>
        <v>#DIV/0!</v>
      </c>
      <c r="J417" s="20" t="str">
        <f ca="1">IFERROR(__xludf.DUMMYFUNCTION("IF(OR($I417=2, $I417=3), 0, IFERROR(COUNTIFS($C$2:C417, $C417, $A$2:A418, ""&gt;""&amp;IFERROR(MAX(FILTER($A$2:A418, $C$2:C417=$C417, $I$2:I417&lt;&gt;1)), 0), $I$2:I417, 1),1))
"),"#DIV/0!")</f>
        <v>#DIV/0!</v>
      </c>
      <c r="K417" s="20" t="e">
        <f t="shared" ca="1" si="7"/>
        <v>#DIV/0!</v>
      </c>
      <c r="L417" s="20" t="e">
        <f t="shared" ca="1" si="8"/>
        <v>#DIV/0!</v>
      </c>
      <c r="M417" s="21" t="e">
        <f t="shared" ca="1" si="9"/>
        <v>#DIV/0!</v>
      </c>
      <c r="N417" s="22" t="str">
        <f ca="1">IFERROR(__xludf.DUMMYFUNCTION("IF(COUNTIFS($C$2:C417, C417, $A$2:A417, ""&lt;="" &amp; A417) &lt; 30, STDEV.P(FILTER($G$2:G417, $C$2:C417 = C417)), STDEV.P(FILTER($G$2:G417, $C$2:C417 = C417, $A$2:A417 &gt;= A417 - 30)))
"),"#DIV/0!")</f>
        <v>#DIV/0!</v>
      </c>
    </row>
    <row r="418" spans="1:14" x14ac:dyDescent="0.2">
      <c r="A418" s="37"/>
      <c r="B418" s="32"/>
      <c r="C418" s="35"/>
      <c r="D418" s="19"/>
      <c r="E418" s="19"/>
      <c r="F418" s="19"/>
      <c r="G418" s="19" t="e">
        <f t="shared" si="5"/>
        <v>#DIV/0!</v>
      </c>
      <c r="H418" s="20" t="str">
        <f ca="1">IFERROR(__xludf.DUMMYFUNCTION("IF(COUNTIFS($C$2:C418, C418, $A$2:A418, ""&lt;="" &amp; A418) &lt; 30, AVERAGEIF($C$2:C418, C418, $G$2:G418), AVERAGE(FILTER($G$2:G418, $C$2:C418 = C418, $A$2:A418 &gt;= A418 - 30)))
"),"#DIV/0!")</f>
        <v>#DIV/0!</v>
      </c>
      <c r="I418" s="20" t="e">
        <f t="shared" ca="1" si="6"/>
        <v>#DIV/0!</v>
      </c>
      <c r="J418" s="20" t="str">
        <f ca="1">IFERROR(__xludf.DUMMYFUNCTION("IF(OR($I418=2, $I418=3), 0, IFERROR(COUNTIFS($C$2:C418, $C418, $A$2:A419, ""&gt;""&amp;IFERROR(MAX(FILTER($A$2:A419, $C$2:C418=$C418, $I$2:I418&lt;&gt;1)), 0), $I$2:I418, 1),1))
"),"#DIV/0!")</f>
        <v>#DIV/0!</v>
      </c>
      <c r="K418" s="20" t="e">
        <f t="shared" ca="1" si="7"/>
        <v>#DIV/0!</v>
      </c>
      <c r="L418" s="20" t="e">
        <f t="shared" ca="1" si="8"/>
        <v>#DIV/0!</v>
      </c>
      <c r="M418" s="21" t="e">
        <f t="shared" ca="1" si="9"/>
        <v>#DIV/0!</v>
      </c>
      <c r="N418" s="36" t="str">
        <f ca="1">IFERROR(__xludf.DUMMYFUNCTION("IF(COUNTIFS($C$2:C418, C418, $A$2:A418, ""&lt;="" &amp; A418) &lt; 30, STDEV.P(FILTER($G$2:G418, $C$2:C418 = C418)), STDEV.P(FILTER($G$2:G418, $C$2:C418 = C418, $A$2:A418 &gt;= A418 - 30)))
"),"#DIV/0!")</f>
        <v>#DIV/0!</v>
      </c>
    </row>
    <row r="419" spans="1:14" x14ac:dyDescent="0.2">
      <c r="A419" s="39"/>
      <c r="B419" s="32"/>
      <c r="C419" s="35"/>
      <c r="D419" s="19"/>
      <c r="E419" s="19"/>
      <c r="F419" s="19"/>
      <c r="G419" s="19" t="e">
        <f t="shared" si="5"/>
        <v>#DIV/0!</v>
      </c>
      <c r="H419" s="20" t="str">
        <f ca="1">IFERROR(__xludf.DUMMYFUNCTION("IF(COUNTIFS($C$2:C419, C419, $A$2:A419, ""&lt;="" &amp; A419) &lt; 30, AVERAGEIF($C$2:C419, C419, $G$2:G419), AVERAGE(FILTER($G$2:G419, $C$2:C419 = C419, $A$2:A419 &gt;= A419 - 30)))
"),"#DIV/0!")</f>
        <v>#DIV/0!</v>
      </c>
      <c r="I419" s="20" t="e">
        <f t="shared" ca="1" si="6"/>
        <v>#DIV/0!</v>
      </c>
      <c r="J419" s="20" t="str">
        <f ca="1">IFERROR(__xludf.DUMMYFUNCTION("IF(OR($I419=2, $I419=3), 0, IFERROR(COUNTIFS($C$2:C419, $C419, $A$2:A420, ""&gt;""&amp;IFERROR(MAX(FILTER($A$2:A420, $C$2:C419=$C419, $I$2:I419&lt;&gt;1)), 0), $I$2:I419, 1),1))
"),"#DIV/0!")</f>
        <v>#DIV/0!</v>
      </c>
      <c r="K419" s="20" t="e">
        <f t="shared" ca="1" si="7"/>
        <v>#DIV/0!</v>
      </c>
      <c r="L419" s="20" t="e">
        <f t="shared" ca="1" si="8"/>
        <v>#DIV/0!</v>
      </c>
      <c r="M419" s="21" t="e">
        <f t="shared" ca="1" si="9"/>
        <v>#DIV/0!</v>
      </c>
      <c r="N419" s="22" t="str">
        <f ca="1">IFERROR(__xludf.DUMMYFUNCTION("IF(COUNTIFS($C$2:C419, C419, $A$2:A419, ""&lt;="" &amp; A419) &lt; 30, STDEV.P(FILTER($G$2:G419, $C$2:C419 = C419)), STDEV.P(FILTER($G$2:G419, $C$2:C419 = C419, $A$2:A419 &gt;= A419 - 30)))
"),"#DIV/0!")</f>
        <v>#DIV/0!</v>
      </c>
    </row>
    <row r="420" spans="1:14" x14ac:dyDescent="0.2">
      <c r="A420" s="39"/>
      <c r="B420" s="32"/>
      <c r="C420" s="35"/>
      <c r="D420" s="19"/>
      <c r="E420" s="19"/>
      <c r="F420" s="19"/>
      <c r="G420" s="19" t="e">
        <f t="shared" si="5"/>
        <v>#DIV/0!</v>
      </c>
      <c r="H420" s="20" t="str">
        <f ca="1">IFERROR(__xludf.DUMMYFUNCTION("IF(COUNTIFS($C$2:C420, C420, $A$2:A420, ""&lt;="" &amp; A420) &lt; 30, AVERAGEIF($C$2:C420, C420, $G$2:G420), AVERAGE(FILTER($G$2:G420, $C$2:C420 = C420, $A$2:A420 &gt;= A420 - 30)))
"),"#DIV/0!")</f>
        <v>#DIV/0!</v>
      </c>
      <c r="I420" s="20" t="e">
        <f t="shared" ca="1" si="6"/>
        <v>#DIV/0!</v>
      </c>
      <c r="J420" s="20" t="str">
        <f ca="1">IFERROR(__xludf.DUMMYFUNCTION("IF(OR($I420=2, $I420=3), 0, IFERROR(COUNTIFS($C$2:C420, $C420, $A$2:A421, ""&gt;""&amp;IFERROR(MAX(FILTER($A$2:A421, $C$2:C420=$C420, $I$2:I420&lt;&gt;1)), 0), $I$2:I420, 1),1))
"),"#DIV/0!")</f>
        <v>#DIV/0!</v>
      </c>
      <c r="K420" s="20" t="e">
        <f t="shared" ca="1" si="7"/>
        <v>#DIV/0!</v>
      </c>
      <c r="L420" s="20" t="e">
        <f t="shared" ca="1" si="8"/>
        <v>#DIV/0!</v>
      </c>
      <c r="M420" s="21" t="e">
        <f t="shared" ca="1" si="9"/>
        <v>#DIV/0!</v>
      </c>
      <c r="N420" s="22" t="str">
        <f ca="1">IFERROR(__xludf.DUMMYFUNCTION("IF(COUNTIFS($C$2:C420, C420, $A$2:A420, ""&lt;="" &amp; A420) &lt; 30, STDEV.P(FILTER($G$2:G420, $C$2:C420 = C420)), STDEV.P(FILTER($G$2:G420, $C$2:C420 = C420, $A$2:A420 &gt;= A420 - 30)))
"),"#DIV/0!")</f>
        <v>#DIV/0!</v>
      </c>
    </row>
    <row r="421" spans="1:14" x14ac:dyDescent="0.2">
      <c r="A421" s="39"/>
      <c r="B421" s="32"/>
      <c r="C421" s="35"/>
      <c r="D421" s="19"/>
      <c r="E421" s="19"/>
      <c r="F421" s="19"/>
      <c r="G421" s="19" t="e">
        <f t="shared" si="5"/>
        <v>#DIV/0!</v>
      </c>
      <c r="H421" s="20" t="str">
        <f ca="1">IFERROR(__xludf.DUMMYFUNCTION("IF(COUNTIFS($C$2:C421, C421, $A$2:A421, ""&lt;="" &amp; A421) &lt; 30, AVERAGEIF($C$2:C421, C421, $G$2:G421), AVERAGE(FILTER($G$2:G421, $C$2:C421 = C421, $A$2:A421 &gt;= A421 - 30)))
"),"#DIV/0!")</f>
        <v>#DIV/0!</v>
      </c>
      <c r="I421" s="20" t="e">
        <f t="shared" ca="1" si="6"/>
        <v>#DIV/0!</v>
      </c>
      <c r="J421" s="20" t="str">
        <f ca="1">IFERROR(__xludf.DUMMYFUNCTION("IF(OR($I421=2, $I421=3), 0, IFERROR(COUNTIFS($C$2:C421, $C421, $A$2:A422, ""&gt;""&amp;IFERROR(MAX(FILTER($A$2:A422, $C$2:C421=$C421, $I$2:I421&lt;&gt;1)), 0), $I$2:I421, 1),1))
"),"#DIV/0!")</f>
        <v>#DIV/0!</v>
      </c>
      <c r="K421" s="20" t="e">
        <f t="shared" ca="1" si="7"/>
        <v>#DIV/0!</v>
      </c>
      <c r="L421" s="20" t="e">
        <f t="shared" ca="1" si="8"/>
        <v>#DIV/0!</v>
      </c>
      <c r="M421" s="21" t="e">
        <f t="shared" ca="1" si="9"/>
        <v>#DIV/0!</v>
      </c>
      <c r="N421" s="22" t="str">
        <f ca="1">IFERROR(__xludf.DUMMYFUNCTION("IF(COUNTIFS($C$2:C421, C421, $A$2:A421, ""&lt;="" &amp; A421) &lt; 30, STDEV.P(FILTER($G$2:G421, $C$2:C421 = C421)), STDEV.P(FILTER($G$2:G421, $C$2:C421 = C421, $A$2:A421 &gt;= A421 - 30)))
"),"#DIV/0!")</f>
        <v>#DIV/0!</v>
      </c>
    </row>
    <row r="422" spans="1:14" x14ac:dyDescent="0.2">
      <c r="A422" s="39"/>
      <c r="B422" s="32"/>
      <c r="C422" s="35"/>
      <c r="D422" s="19"/>
      <c r="E422" s="19"/>
      <c r="F422" s="19"/>
      <c r="G422" s="19" t="e">
        <f t="shared" si="5"/>
        <v>#DIV/0!</v>
      </c>
      <c r="H422" s="20" t="str">
        <f ca="1">IFERROR(__xludf.DUMMYFUNCTION("IF(COUNTIFS($C$2:C422, C422, $A$2:A422, ""&lt;="" &amp; A422) &lt; 30, AVERAGEIF($C$2:C422, C422, $G$2:G422), AVERAGE(FILTER($G$2:G422, $C$2:C422 = C422, $A$2:A422 &gt;= A422 - 30)))
"),"#DIV/0!")</f>
        <v>#DIV/0!</v>
      </c>
      <c r="I422" s="20" t="e">
        <f t="shared" ca="1" si="6"/>
        <v>#DIV/0!</v>
      </c>
      <c r="J422" s="20" t="str">
        <f ca="1">IFERROR(__xludf.DUMMYFUNCTION("IF(OR($I422=2, $I422=3), 0, IFERROR(COUNTIFS($C$2:C422, $C422, $A$2:A423, ""&gt;""&amp;IFERROR(MAX(FILTER($A$2:A423, $C$2:C422=$C422, $I$2:I422&lt;&gt;1)), 0), $I$2:I422, 1),1))
"),"#DIV/0!")</f>
        <v>#DIV/0!</v>
      </c>
      <c r="K422" s="20" t="e">
        <f t="shared" ca="1" si="7"/>
        <v>#DIV/0!</v>
      </c>
      <c r="L422" s="20" t="e">
        <f t="shared" ca="1" si="8"/>
        <v>#DIV/0!</v>
      </c>
      <c r="M422" s="21" t="e">
        <f t="shared" ca="1" si="9"/>
        <v>#DIV/0!</v>
      </c>
      <c r="N422" s="22" t="str">
        <f ca="1">IFERROR(__xludf.DUMMYFUNCTION("IF(COUNTIFS($C$2:C422, C422, $A$2:A422, ""&lt;="" &amp; A422) &lt; 30, STDEV.P(FILTER($G$2:G422, $C$2:C422 = C422)), STDEV.P(FILTER($G$2:G422, $C$2:C422 = C422, $A$2:A422 &gt;= A422 - 30)))
"),"#DIV/0!")</f>
        <v>#DIV/0!</v>
      </c>
    </row>
    <row r="423" spans="1:14" x14ac:dyDescent="0.2">
      <c r="A423" s="39"/>
      <c r="B423" s="32"/>
      <c r="C423" s="35"/>
      <c r="D423" s="19"/>
      <c r="E423" s="19"/>
      <c r="F423" s="19"/>
      <c r="G423" s="19" t="e">
        <f t="shared" si="5"/>
        <v>#DIV/0!</v>
      </c>
      <c r="H423" s="20" t="str">
        <f ca="1">IFERROR(__xludf.DUMMYFUNCTION("IF(COUNTIFS($C$2:C423, C423, $A$2:A423, ""&lt;="" &amp; A423) &lt; 30, AVERAGEIF($C$2:C423, C423, $G$2:G423), AVERAGE(FILTER($G$2:G423, $C$2:C423 = C423, $A$2:A423 &gt;= A423 - 30)))
"),"#DIV/0!")</f>
        <v>#DIV/0!</v>
      </c>
      <c r="I423" s="20" t="e">
        <f t="shared" ca="1" si="6"/>
        <v>#DIV/0!</v>
      </c>
      <c r="J423" s="20" t="str">
        <f ca="1">IFERROR(__xludf.DUMMYFUNCTION("IF(OR($I423=2, $I423=3), 0, IFERROR(COUNTIFS($C$2:C423, $C423, $A$2:A424, ""&gt;""&amp;IFERROR(MAX(FILTER($A$2:A424, $C$2:C423=$C423, $I$2:I423&lt;&gt;1)), 0), $I$2:I423, 1),1))
"),"#DIV/0!")</f>
        <v>#DIV/0!</v>
      </c>
      <c r="K423" s="20" t="e">
        <f t="shared" ca="1" si="7"/>
        <v>#DIV/0!</v>
      </c>
      <c r="L423" s="20" t="e">
        <f t="shared" ca="1" si="8"/>
        <v>#DIV/0!</v>
      </c>
      <c r="M423" s="21" t="e">
        <f t="shared" ca="1" si="9"/>
        <v>#DIV/0!</v>
      </c>
      <c r="N423" s="22" t="str">
        <f ca="1">IFERROR(__xludf.DUMMYFUNCTION("IF(COUNTIFS($C$2:C423, C423, $A$2:A423, ""&lt;="" &amp; A423) &lt; 30, STDEV.P(FILTER($G$2:G423, $C$2:C423 = C423)), STDEV.P(FILTER($G$2:G423, $C$2:C423 = C423, $A$2:A423 &gt;= A423 - 30)))
"),"#DIV/0!")</f>
        <v>#DIV/0!</v>
      </c>
    </row>
    <row r="424" spans="1:14" x14ac:dyDescent="0.2">
      <c r="A424" s="39"/>
      <c r="B424" s="32"/>
      <c r="C424" s="35"/>
      <c r="D424" s="19"/>
      <c r="E424" s="19"/>
      <c r="F424" s="19"/>
      <c r="G424" s="19" t="e">
        <f t="shared" si="5"/>
        <v>#DIV/0!</v>
      </c>
      <c r="H424" s="20" t="str">
        <f ca="1">IFERROR(__xludf.DUMMYFUNCTION("IF(COUNTIFS($C$2:C424, C424, $A$2:A424, ""&lt;="" &amp; A424) &lt; 30, AVERAGEIF($C$2:C424, C424, $G$2:G424), AVERAGE(FILTER($G$2:G424, $C$2:C424 = C424, $A$2:A424 &gt;= A424 - 30)))
"),"#DIV/0!")</f>
        <v>#DIV/0!</v>
      </c>
      <c r="I424" s="20" t="e">
        <f t="shared" ca="1" si="6"/>
        <v>#DIV/0!</v>
      </c>
      <c r="J424" s="20" t="str">
        <f ca="1">IFERROR(__xludf.DUMMYFUNCTION("IF(OR($I424=2, $I424=3), 0, IFERROR(COUNTIFS($C$2:C424, $C424, $A$2:A425, ""&gt;""&amp;IFERROR(MAX(FILTER($A$2:A425, $C$2:C424=$C424, $I$2:I424&lt;&gt;1)), 0), $I$2:I424, 1),1))
"),"#DIV/0!")</f>
        <v>#DIV/0!</v>
      </c>
      <c r="K424" s="20" t="e">
        <f t="shared" ca="1" si="7"/>
        <v>#DIV/0!</v>
      </c>
      <c r="L424" s="20" t="e">
        <f t="shared" ca="1" si="8"/>
        <v>#DIV/0!</v>
      </c>
      <c r="M424" s="21" t="e">
        <f t="shared" ca="1" si="9"/>
        <v>#DIV/0!</v>
      </c>
      <c r="N424" s="22" t="str">
        <f ca="1">IFERROR(__xludf.DUMMYFUNCTION("IF(COUNTIFS($C$2:C424, C424, $A$2:A424, ""&lt;="" &amp; A424) &lt; 30, STDEV.P(FILTER($G$2:G424, $C$2:C424 = C424)), STDEV.P(FILTER($G$2:G424, $C$2:C424 = C424, $A$2:A424 &gt;= A424 - 30)))
"),"#DIV/0!")</f>
        <v>#DIV/0!</v>
      </c>
    </row>
    <row r="425" spans="1:14" x14ac:dyDescent="0.2">
      <c r="A425" s="39"/>
      <c r="B425" s="32"/>
      <c r="C425" s="35"/>
      <c r="D425" s="20"/>
      <c r="E425" s="20"/>
      <c r="F425" s="20"/>
      <c r="G425" s="19" t="e">
        <f t="shared" si="5"/>
        <v>#DIV/0!</v>
      </c>
      <c r="H425" s="20" t="str">
        <f ca="1">IFERROR(__xludf.DUMMYFUNCTION("IF(COUNTIFS($C$2:C425, C425, $A$2:A425, ""&lt;="" &amp; A425) &lt; 30, AVERAGEIF($C$2:C425, C425, $G$2:G425), AVERAGE(FILTER($G$2:G425, $C$2:C425 = C425, $A$2:A425 &gt;= A425 - 30)))
"),"#DIV/0!")</f>
        <v>#DIV/0!</v>
      </c>
      <c r="I425" s="20" t="e">
        <f t="shared" ca="1" si="6"/>
        <v>#DIV/0!</v>
      </c>
      <c r="J425" s="20" t="str">
        <f ca="1">IFERROR(__xludf.DUMMYFUNCTION("IF(OR($I425=2, $I425=3), 0, IFERROR(COUNTIFS($C$2:C425, $C425, $A$2:A426, ""&gt;""&amp;IFERROR(MAX(FILTER($A$2:A426, $C$2:C425=$C425, $I$2:I425&lt;&gt;1)), 0), $I$2:I425, 1),1))
"),"#DIV/0!")</f>
        <v>#DIV/0!</v>
      </c>
      <c r="K425" s="20" t="e">
        <f t="shared" ca="1" si="7"/>
        <v>#DIV/0!</v>
      </c>
      <c r="L425" s="20" t="e">
        <f t="shared" ca="1" si="8"/>
        <v>#DIV/0!</v>
      </c>
      <c r="M425" s="21" t="e">
        <f t="shared" ca="1" si="9"/>
        <v>#DIV/0!</v>
      </c>
      <c r="N425" s="22" t="str">
        <f ca="1">IFERROR(__xludf.DUMMYFUNCTION("IF(COUNTIFS($C$2:C425, C425, $A$2:A425, ""&lt;="" &amp; A425) &lt; 30, STDEV.P(FILTER($G$2:G425, $C$2:C425 = C425)), STDEV.P(FILTER($G$2:G425, $C$2:C425 = C425, $A$2:A425 &gt;= A425 - 30)))
"),"#DIV/0!")</f>
        <v>#DIV/0!</v>
      </c>
    </row>
    <row r="426" spans="1:14" x14ac:dyDescent="0.2">
      <c r="A426" s="39"/>
      <c r="B426" s="32"/>
      <c r="C426" s="35"/>
      <c r="D426" s="20"/>
      <c r="E426" s="20"/>
      <c r="F426" s="20"/>
      <c r="G426" s="19" t="e">
        <f t="shared" si="5"/>
        <v>#DIV/0!</v>
      </c>
      <c r="H426" s="20" t="str">
        <f ca="1">IFERROR(__xludf.DUMMYFUNCTION("IF(COUNTIFS($C$2:C426, C426, $A$2:A426, ""&lt;="" &amp; A426) &lt; 30, AVERAGEIF($C$2:C426, C426, $G$2:G426), AVERAGE(FILTER($G$2:G426, $C$2:C426 = C426, $A$2:A426 &gt;= A426 - 30)))
"),"#DIV/0!")</f>
        <v>#DIV/0!</v>
      </c>
      <c r="I426" s="20" t="e">
        <f t="shared" ca="1" si="6"/>
        <v>#DIV/0!</v>
      </c>
      <c r="J426" s="20" t="str">
        <f ca="1">IFERROR(__xludf.DUMMYFUNCTION("IF(OR($I426=2, $I426=3), 0, IFERROR(COUNTIFS($C$2:C426, $C426, $A$2:A427, ""&gt;""&amp;IFERROR(MAX(FILTER($A$2:A427, $C$2:C426=$C426, $I$2:I426&lt;&gt;1)), 0), $I$2:I426, 1),1))
"),"#DIV/0!")</f>
        <v>#DIV/0!</v>
      </c>
      <c r="K426" s="20" t="e">
        <f t="shared" ca="1" si="7"/>
        <v>#DIV/0!</v>
      </c>
      <c r="L426" s="20" t="e">
        <f t="shared" ca="1" si="8"/>
        <v>#DIV/0!</v>
      </c>
      <c r="M426" s="21" t="e">
        <f t="shared" ca="1" si="9"/>
        <v>#DIV/0!</v>
      </c>
      <c r="N426" s="22" t="str">
        <f ca="1">IFERROR(__xludf.DUMMYFUNCTION("IF(COUNTIFS($C$2:C426, C426, $A$2:A426, ""&lt;="" &amp; A426) &lt; 30, STDEV.P(FILTER($G$2:G426, $C$2:C426 = C426)), STDEV.P(FILTER($G$2:G426, $C$2:C426 = C426, $A$2:A426 &gt;= A426 - 30)))
"),"#DIV/0!")</f>
        <v>#DIV/0!</v>
      </c>
    </row>
    <row r="427" spans="1:14" x14ac:dyDescent="0.2">
      <c r="A427" s="39"/>
      <c r="B427" s="32"/>
      <c r="C427" s="35"/>
      <c r="D427" s="20"/>
      <c r="E427" s="20"/>
      <c r="F427" s="20"/>
      <c r="G427" s="19" t="e">
        <f t="shared" si="5"/>
        <v>#DIV/0!</v>
      </c>
      <c r="H427" s="20" t="str">
        <f ca="1">IFERROR(__xludf.DUMMYFUNCTION("IF(COUNTIFS($C$2:C427, C427, $A$2:A427, ""&lt;="" &amp; A427) &lt; 30, AVERAGEIF($C$2:C427, C427, $G$2:G427), AVERAGE(FILTER($G$2:G427, $C$2:C427 = C427, $A$2:A427 &gt;= A427 - 30)))
"),"#DIV/0!")</f>
        <v>#DIV/0!</v>
      </c>
      <c r="I427" s="20" t="e">
        <f t="shared" ca="1" si="6"/>
        <v>#DIV/0!</v>
      </c>
      <c r="J427" s="20" t="str">
        <f ca="1">IFERROR(__xludf.DUMMYFUNCTION("IF(OR($I427=2, $I427=3), 0, IFERROR(COUNTIFS($C$2:C427, $C427, $A$2:A428, ""&gt;""&amp;IFERROR(MAX(FILTER($A$2:A428, $C$2:C427=$C427, $I$2:I427&lt;&gt;1)), 0), $I$2:I427, 1),1))
"),"#DIV/0!")</f>
        <v>#DIV/0!</v>
      </c>
      <c r="K427" s="20" t="e">
        <f t="shared" ca="1" si="7"/>
        <v>#DIV/0!</v>
      </c>
      <c r="L427" s="20" t="e">
        <f t="shared" ca="1" si="8"/>
        <v>#DIV/0!</v>
      </c>
      <c r="M427" s="21" t="e">
        <f t="shared" ca="1" si="9"/>
        <v>#DIV/0!</v>
      </c>
      <c r="N427" s="22" t="str">
        <f ca="1">IFERROR(__xludf.DUMMYFUNCTION("IF(COUNTIFS($C$2:C427, C427, $A$2:A427, ""&lt;="" &amp; A427) &lt; 30, STDEV.P(FILTER($G$2:G427, $C$2:C427 = C427)), STDEV.P(FILTER($G$2:G427, $C$2:C427 = C427, $A$2:A427 &gt;= A427 - 30)))
"),"#DIV/0!")</f>
        <v>#DIV/0!</v>
      </c>
    </row>
    <row r="428" spans="1:14" x14ac:dyDescent="0.2">
      <c r="A428" s="39"/>
      <c r="B428" s="32"/>
      <c r="C428" s="35"/>
      <c r="D428" s="20"/>
      <c r="E428" s="20"/>
      <c r="F428" s="20"/>
      <c r="G428" s="19" t="e">
        <f t="shared" si="5"/>
        <v>#DIV/0!</v>
      </c>
      <c r="H428" s="20" t="str">
        <f ca="1">IFERROR(__xludf.DUMMYFUNCTION("IF(COUNTIFS($C$2:C428, C428, $A$2:A428, ""&lt;="" &amp; A428) &lt; 30, AVERAGEIF($C$2:C428, C428, $G$2:G428), AVERAGE(FILTER($G$2:G428, $C$2:C428 = C428, $A$2:A428 &gt;= A428 - 30)))
"),"#DIV/0!")</f>
        <v>#DIV/0!</v>
      </c>
      <c r="I428" s="20" t="e">
        <f t="shared" ca="1" si="6"/>
        <v>#DIV/0!</v>
      </c>
      <c r="J428" s="20" t="str">
        <f ca="1">IFERROR(__xludf.DUMMYFUNCTION("IF(OR($I428=2, $I428=3), 0, IFERROR(COUNTIFS($C$2:C428, $C428, $A$2:A429, ""&gt;""&amp;IFERROR(MAX(FILTER($A$2:A429, $C$2:C428=$C428, $I$2:I428&lt;&gt;1)), 0), $I$2:I428, 1),1))
"),"#DIV/0!")</f>
        <v>#DIV/0!</v>
      </c>
      <c r="K428" s="20" t="e">
        <f t="shared" ca="1" si="7"/>
        <v>#DIV/0!</v>
      </c>
      <c r="L428" s="20" t="e">
        <f t="shared" ca="1" si="8"/>
        <v>#DIV/0!</v>
      </c>
      <c r="M428" s="21" t="e">
        <f t="shared" ca="1" si="9"/>
        <v>#DIV/0!</v>
      </c>
      <c r="N428" s="22" t="str">
        <f ca="1">IFERROR(__xludf.DUMMYFUNCTION("IF(COUNTIFS($C$2:C428, C428, $A$2:A428, ""&lt;="" &amp; A428) &lt; 30, STDEV.P(FILTER($G$2:G428, $C$2:C428 = C428)), STDEV.P(FILTER($G$2:G428, $C$2:C428 = C428, $A$2:A428 &gt;= A428 - 30)))
"),"#DIV/0!")</f>
        <v>#DIV/0!</v>
      </c>
    </row>
    <row r="429" spans="1:14" x14ac:dyDescent="0.2">
      <c r="A429" s="39"/>
      <c r="B429" s="32"/>
      <c r="C429" s="35"/>
      <c r="D429" s="20"/>
      <c r="E429" s="20"/>
      <c r="F429" s="20"/>
      <c r="G429" s="19" t="e">
        <f t="shared" si="5"/>
        <v>#DIV/0!</v>
      </c>
      <c r="H429" s="20" t="str">
        <f ca="1">IFERROR(__xludf.DUMMYFUNCTION("IF(COUNTIFS($C$2:C429, C429, $A$2:A429, ""&lt;="" &amp; A429) &lt; 30, AVERAGEIF($C$2:C429, C429, $G$2:G429), AVERAGE(FILTER($G$2:G429, $C$2:C429 = C429, $A$2:A429 &gt;= A429 - 30)))
"),"#DIV/0!")</f>
        <v>#DIV/0!</v>
      </c>
      <c r="I429" s="20" t="e">
        <f t="shared" ca="1" si="6"/>
        <v>#DIV/0!</v>
      </c>
      <c r="J429" s="20" t="str">
        <f ca="1">IFERROR(__xludf.DUMMYFUNCTION("IF(OR($I429=2, $I429=3), 0, IFERROR(COUNTIFS($C$2:C429, $C429, $A$2:A430, ""&gt;""&amp;IFERROR(MAX(FILTER($A$2:A430, $C$2:C429=$C429, $I$2:I429&lt;&gt;1)), 0), $I$2:I429, 1),1))
"),"#DIV/0!")</f>
        <v>#DIV/0!</v>
      </c>
      <c r="K429" s="20" t="e">
        <f t="shared" ca="1" si="7"/>
        <v>#DIV/0!</v>
      </c>
      <c r="L429" s="20" t="e">
        <f t="shared" ca="1" si="8"/>
        <v>#DIV/0!</v>
      </c>
      <c r="M429" s="21" t="e">
        <f t="shared" ca="1" si="9"/>
        <v>#DIV/0!</v>
      </c>
      <c r="N429" s="22" t="str">
        <f ca="1">IFERROR(__xludf.DUMMYFUNCTION("IF(COUNTIFS($C$2:C429, C429, $A$2:A429, ""&lt;="" &amp; A429) &lt; 30, STDEV.P(FILTER($G$2:G429, $C$2:C429 = C429)), STDEV.P(FILTER($G$2:G429, $C$2:C429 = C429, $A$2:A429 &gt;= A429 - 30)))
"),"#DIV/0!")</f>
        <v>#DIV/0!</v>
      </c>
    </row>
    <row r="430" spans="1:14" x14ac:dyDescent="0.2">
      <c r="A430" s="39"/>
      <c r="B430" s="40"/>
      <c r="C430" s="35"/>
      <c r="D430" s="19"/>
      <c r="E430" s="19"/>
      <c r="F430" s="19"/>
      <c r="G430" s="19" t="e">
        <f t="shared" si="5"/>
        <v>#DIV/0!</v>
      </c>
      <c r="H430" s="20" t="str">
        <f ca="1">IFERROR(__xludf.DUMMYFUNCTION("IF(COUNTIFS($C$2:C430, C430, $A$2:A430, ""&lt;="" &amp; A430) &lt; 30, AVERAGEIF($C$2:C430, C430, $G$2:G430), AVERAGE(FILTER($G$2:G430, $C$2:C430 = C430, $A$2:A430 &gt;= A430 - 30)))
"),"#DIV/0!")</f>
        <v>#DIV/0!</v>
      </c>
      <c r="I430" s="20" t="e">
        <f t="shared" ca="1" si="6"/>
        <v>#DIV/0!</v>
      </c>
      <c r="J430" s="20" t="str">
        <f ca="1">IFERROR(__xludf.DUMMYFUNCTION("IF(OR($I430=2, $I430=3), 0, IFERROR(COUNTIFS($C$2:C430, $C430, $A$2:A431, ""&gt;""&amp;IFERROR(MAX(FILTER($A$2:A431, $C$2:C430=$C430, $I$2:I430&lt;&gt;1)), 0), $I$2:I430, 1),1))
"),"#DIV/0!")</f>
        <v>#DIV/0!</v>
      </c>
      <c r="K430" s="20" t="e">
        <f t="shared" ca="1" si="7"/>
        <v>#DIV/0!</v>
      </c>
      <c r="L430" s="20" t="e">
        <f t="shared" ca="1" si="8"/>
        <v>#DIV/0!</v>
      </c>
      <c r="M430" s="21" t="e">
        <f t="shared" ca="1" si="9"/>
        <v>#DIV/0!</v>
      </c>
      <c r="N430" s="22" t="str">
        <f ca="1">IFERROR(__xludf.DUMMYFUNCTION("IF(COUNTIFS($C$2:C430, C430, $A$2:A430, ""&lt;="" &amp; A430) &lt; 30, STDEV.P(FILTER($G$2:G430, $C$2:C430 = C430)), STDEV.P(FILTER($G$2:G430, $C$2:C430 = C430, $A$2:A430 &gt;= A430 - 30)))
"),"#DIV/0!")</f>
        <v>#DIV/0!</v>
      </c>
    </row>
    <row r="431" spans="1:14" x14ac:dyDescent="0.2">
      <c r="A431" s="39"/>
      <c r="B431" s="40"/>
      <c r="C431" s="35"/>
      <c r="D431" s="19"/>
      <c r="E431" s="19"/>
      <c r="F431" s="19"/>
      <c r="G431" s="19" t="e">
        <f t="shared" si="5"/>
        <v>#DIV/0!</v>
      </c>
      <c r="H431" s="20" t="str">
        <f ca="1">IFERROR(__xludf.DUMMYFUNCTION("IF(COUNTIFS($C$2:C431, C431, $A$2:A431, ""&lt;="" &amp; A431) &lt; 30, AVERAGEIF($C$2:C431, C431, $G$2:G431), AVERAGE(FILTER($G$2:G431, $C$2:C431 = C431, $A$2:A431 &gt;= A431 - 30)))
"),"#DIV/0!")</f>
        <v>#DIV/0!</v>
      </c>
      <c r="I431" s="20" t="e">
        <f t="shared" ca="1" si="6"/>
        <v>#DIV/0!</v>
      </c>
      <c r="J431" s="20" t="str">
        <f ca="1">IFERROR(__xludf.DUMMYFUNCTION("IF(OR($I431=2, $I431=3), 0, IFERROR(COUNTIFS($C$2:C431, $C431, $A$2:A432, ""&gt;""&amp;IFERROR(MAX(FILTER($A$2:A432, $C$2:C431=$C431, $I$2:I431&lt;&gt;1)), 0), $I$2:I431, 1),1))
"),"#DIV/0!")</f>
        <v>#DIV/0!</v>
      </c>
      <c r="K431" s="20" t="e">
        <f t="shared" ca="1" si="7"/>
        <v>#DIV/0!</v>
      </c>
      <c r="L431" s="20" t="e">
        <f t="shared" ca="1" si="8"/>
        <v>#DIV/0!</v>
      </c>
      <c r="M431" s="21" t="e">
        <f t="shared" ca="1" si="9"/>
        <v>#DIV/0!</v>
      </c>
      <c r="N431" s="22" t="str">
        <f ca="1">IFERROR(__xludf.DUMMYFUNCTION("IF(COUNTIFS($C$2:C431, C431, $A$2:A431, ""&lt;="" &amp; A431) &lt; 30, STDEV.P(FILTER($G$2:G431, $C$2:C431 = C431)), STDEV.P(FILTER($G$2:G431, $C$2:C431 = C431, $A$2:A431 &gt;= A431 - 30)))
"),"#DIV/0!")</f>
        <v>#DIV/0!</v>
      </c>
    </row>
    <row r="432" spans="1:14" x14ac:dyDescent="0.2">
      <c r="A432" s="39"/>
      <c r="B432" s="40"/>
      <c r="C432" s="35"/>
      <c r="D432" s="19"/>
      <c r="E432" s="19"/>
      <c r="F432" s="19"/>
      <c r="G432" s="19" t="e">
        <f t="shared" si="5"/>
        <v>#DIV/0!</v>
      </c>
      <c r="H432" s="20" t="str">
        <f ca="1">IFERROR(__xludf.DUMMYFUNCTION("IF(COUNTIFS($C$2:C432, C432, $A$2:A432, ""&lt;="" &amp; A432) &lt; 30, AVERAGEIF($C$2:C432, C432, $G$2:G432), AVERAGE(FILTER($G$2:G432, $C$2:C432 = C432, $A$2:A432 &gt;= A432 - 30)))
"),"#DIV/0!")</f>
        <v>#DIV/0!</v>
      </c>
      <c r="I432" s="20" t="e">
        <f t="shared" ca="1" si="6"/>
        <v>#DIV/0!</v>
      </c>
      <c r="J432" s="20" t="str">
        <f ca="1">IFERROR(__xludf.DUMMYFUNCTION("IF(OR($I432=2, $I432=3), 0, IFERROR(COUNTIFS($C$2:C432, $C432, $A$2:A433, ""&gt;""&amp;IFERROR(MAX(FILTER($A$2:A433, $C$2:C432=$C432, $I$2:I432&lt;&gt;1)), 0), $I$2:I432, 1),1))
"),"#DIV/0!")</f>
        <v>#DIV/0!</v>
      </c>
      <c r="K432" s="20" t="e">
        <f t="shared" ca="1" si="7"/>
        <v>#DIV/0!</v>
      </c>
      <c r="L432" s="20" t="e">
        <f t="shared" ca="1" si="8"/>
        <v>#DIV/0!</v>
      </c>
      <c r="M432" s="21" t="e">
        <f t="shared" ca="1" si="9"/>
        <v>#DIV/0!</v>
      </c>
      <c r="N432" s="22" t="str">
        <f ca="1">IFERROR(__xludf.DUMMYFUNCTION("IF(COUNTIFS($C$2:C432, C432, $A$2:A432, ""&lt;="" &amp; A432) &lt; 30, STDEV.P(FILTER($G$2:G432, $C$2:C432 = C432)), STDEV.P(FILTER($G$2:G432, $C$2:C432 = C432, $A$2:A432 &gt;= A432 - 30)))
"),"#DIV/0!")</f>
        <v>#DIV/0!</v>
      </c>
    </row>
    <row r="433" spans="1:14" x14ac:dyDescent="0.2">
      <c r="A433" s="39"/>
      <c r="B433" s="40"/>
      <c r="C433" s="35"/>
      <c r="D433" s="19"/>
      <c r="E433" s="19"/>
      <c r="F433" s="19"/>
      <c r="G433" s="19" t="e">
        <f t="shared" si="5"/>
        <v>#DIV/0!</v>
      </c>
      <c r="H433" s="20" t="str">
        <f ca="1">IFERROR(__xludf.DUMMYFUNCTION("IF(COUNTIFS($C$2:C433, C433, $A$2:A433, ""&lt;="" &amp; A433) &lt; 30, AVERAGEIF($C$2:C433, C433, $G$2:G433), AVERAGE(FILTER($G$2:G433, $C$2:C433 = C433, $A$2:A433 &gt;= A433 - 30)))
"),"#DIV/0!")</f>
        <v>#DIV/0!</v>
      </c>
      <c r="I433" s="20" t="e">
        <f t="shared" ca="1" si="6"/>
        <v>#DIV/0!</v>
      </c>
      <c r="J433" s="20" t="str">
        <f ca="1">IFERROR(__xludf.DUMMYFUNCTION("IF(OR($I433=2, $I433=3), 0, IFERROR(COUNTIFS($C$2:C433, $C433, $A$2:A434, ""&gt;""&amp;IFERROR(MAX(FILTER($A$2:A434, $C$2:C433=$C433, $I$2:I433&lt;&gt;1)), 0), $I$2:I433, 1),1))
"),"#DIV/0!")</f>
        <v>#DIV/0!</v>
      </c>
      <c r="K433" s="20" t="e">
        <f t="shared" ca="1" si="7"/>
        <v>#DIV/0!</v>
      </c>
      <c r="L433" s="20" t="e">
        <f t="shared" ca="1" si="8"/>
        <v>#DIV/0!</v>
      </c>
      <c r="M433" s="21" t="e">
        <f t="shared" ca="1" si="9"/>
        <v>#DIV/0!</v>
      </c>
      <c r="N433" s="22" t="str">
        <f ca="1">IFERROR(__xludf.DUMMYFUNCTION("IF(COUNTIFS($C$2:C433, C433, $A$2:A433, ""&lt;="" &amp; A433) &lt; 30, STDEV.P(FILTER($G$2:G433, $C$2:C433 = C433)), STDEV.P(FILTER($G$2:G433, $C$2:C433 = C433, $A$2:A433 &gt;= A433 - 30)))
"),"#DIV/0!")</f>
        <v>#DIV/0!</v>
      </c>
    </row>
    <row r="434" spans="1:14" x14ac:dyDescent="0.2">
      <c r="A434" s="39"/>
      <c r="B434" s="40"/>
      <c r="C434" s="35"/>
      <c r="D434" s="19"/>
      <c r="E434" s="19"/>
      <c r="F434" s="19"/>
      <c r="G434" s="19" t="e">
        <f t="shared" si="5"/>
        <v>#DIV/0!</v>
      </c>
      <c r="H434" s="20" t="str">
        <f ca="1">IFERROR(__xludf.DUMMYFUNCTION("IF(COUNTIFS($C$2:C434, C434, $A$2:A434, ""&lt;="" &amp; A434) &lt; 30, AVERAGEIF($C$2:C434, C434, $G$2:G434), AVERAGE(FILTER($G$2:G434, $C$2:C434 = C434, $A$2:A434 &gt;= A434 - 30)))
"),"#DIV/0!")</f>
        <v>#DIV/0!</v>
      </c>
      <c r="I434" s="20" t="e">
        <f t="shared" ca="1" si="6"/>
        <v>#DIV/0!</v>
      </c>
      <c r="J434" s="20" t="str">
        <f ca="1">IFERROR(__xludf.DUMMYFUNCTION("IF(OR($I434=2, $I434=3), 0, IFERROR(COUNTIFS($C$2:C434, $C434, $A$2:A435, ""&gt;""&amp;IFERROR(MAX(FILTER($A$2:A435, $C$2:C434=$C434, $I$2:I434&lt;&gt;1)), 0), $I$2:I434, 1),1))
"),"#DIV/0!")</f>
        <v>#DIV/0!</v>
      </c>
      <c r="K434" s="20" t="e">
        <f t="shared" ca="1" si="7"/>
        <v>#DIV/0!</v>
      </c>
      <c r="L434" s="20" t="e">
        <f t="shared" ca="1" si="8"/>
        <v>#DIV/0!</v>
      </c>
      <c r="M434" s="21" t="e">
        <f t="shared" ca="1" si="9"/>
        <v>#DIV/0!</v>
      </c>
      <c r="N434" s="22" t="str">
        <f ca="1">IFERROR(__xludf.DUMMYFUNCTION("IF(COUNTIFS($C$2:C434, C434, $A$2:A434, ""&lt;="" &amp; A434) &lt; 30, STDEV.P(FILTER($G$2:G434, $C$2:C434 = C434)), STDEV.P(FILTER($G$2:G434, $C$2:C434 = C434, $A$2:A434 &gt;= A434 - 30)))
"),"#DIV/0!")</f>
        <v>#DIV/0!</v>
      </c>
    </row>
    <row r="435" spans="1:14" x14ac:dyDescent="0.2">
      <c r="A435" s="39"/>
      <c r="B435" s="40"/>
      <c r="C435" s="35"/>
      <c r="D435" s="19"/>
      <c r="E435" s="19"/>
      <c r="F435" s="19"/>
      <c r="G435" s="19" t="e">
        <f t="shared" si="5"/>
        <v>#DIV/0!</v>
      </c>
      <c r="H435" s="20" t="str">
        <f ca="1">IFERROR(__xludf.DUMMYFUNCTION("IF(COUNTIFS($C$2:C435, C435, $A$2:A435, ""&lt;="" &amp; A435) &lt; 30, AVERAGEIF($C$2:C435, C435, $G$2:G435), AVERAGE(FILTER($G$2:G435, $C$2:C435 = C435, $A$2:A435 &gt;= A435 - 30)))
"),"#DIV/0!")</f>
        <v>#DIV/0!</v>
      </c>
      <c r="I435" s="20" t="e">
        <f t="shared" ca="1" si="6"/>
        <v>#DIV/0!</v>
      </c>
      <c r="J435" s="20" t="str">
        <f ca="1">IFERROR(__xludf.DUMMYFUNCTION("IF(OR($I435=2, $I435=3), 0, IFERROR(COUNTIFS($C$2:C435, $C435, $A$2:A436, ""&gt;""&amp;IFERROR(MAX(FILTER($A$2:A436, $C$2:C435=$C435, $I$2:I435&lt;&gt;1)), 0), $I$2:I435, 1),1))
"),"#DIV/0!")</f>
        <v>#DIV/0!</v>
      </c>
      <c r="K435" s="20" t="e">
        <f t="shared" ca="1" si="7"/>
        <v>#DIV/0!</v>
      </c>
      <c r="L435" s="20" t="e">
        <f t="shared" ca="1" si="8"/>
        <v>#DIV/0!</v>
      </c>
      <c r="M435" s="21" t="e">
        <f t="shared" ca="1" si="9"/>
        <v>#DIV/0!</v>
      </c>
      <c r="N435" s="22" t="str">
        <f ca="1">IFERROR(__xludf.DUMMYFUNCTION("IF(COUNTIFS($C$2:C435, C435, $A$2:A435, ""&lt;="" &amp; A435) &lt; 30, STDEV.P(FILTER($G$2:G435, $C$2:C435 = C435)), STDEV.P(FILTER($G$2:G435, $C$2:C435 = C435, $A$2:A435 &gt;= A435 - 30)))
"),"#DIV/0!")</f>
        <v>#DIV/0!</v>
      </c>
    </row>
    <row r="436" spans="1:14" x14ac:dyDescent="0.2">
      <c r="A436" s="39"/>
      <c r="B436" s="40"/>
      <c r="C436" s="35"/>
      <c r="D436" s="19"/>
      <c r="E436" s="19"/>
      <c r="F436" s="19"/>
      <c r="G436" s="19" t="e">
        <f t="shared" si="5"/>
        <v>#DIV/0!</v>
      </c>
      <c r="H436" s="20" t="str">
        <f ca="1">IFERROR(__xludf.DUMMYFUNCTION("IF(COUNTIFS($C$2:C436, C436, $A$2:A436, ""&lt;="" &amp; A436) &lt; 30, AVERAGEIF($C$2:C436, C436, $G$2:G436), AVERAGE(FILTER($G$2:G436, $C$2:C436 = C436, $A$2:A436 &gt;= A436 - 30)))
"),"#DIV/0!")</f>
        <v>#DIV/0!</v>
      </c>
      <c r="I436" s="20" t="e">
        <f t="shared" ca="1" si="6"/>
        <v>#DIV/0!</v>
      </c>
      <c r="J436" s="20" t="str">
        <f ca="1">IFERROR(__xludf.DUMMYFUNCTION("IF(OR($I436=2, $I436=3), 0, IFERROR(COUNTIFS($C$2:C436, $C436, $A$2:A437, ""&gt;""&amp;IFERROR(MAX(FILTER($A$2:A437, $C$2:C436=$C436, $I$2:I436&lt;&gt;1)), 0), $I$2:I436, 1),1))
"),"#DIV/0!")</f>
        <v>#DIV/0!</v>
      </c>
      <c r="K436" s="20" t="e">
        <f t="shared" ca="1" si="7"/>
        <v>#DIV/0!</v>
      </c>
      <c r="L436" s="20" t="e">
        <f t="shared" ca="1" si="8"/>
        <v>#DIV/0!</v>
      </c>
      <c r="M436" s="21" t="e">
        <f t="shared" ca="1" si="9"/>
        <v>#DIV/0!</v>
      </c>
      <c r="N436" s="22" t="str">
        <f ca="1">IFERROR(__xludf.DUMMYFUNCTION("IF(COUNTIFS($C$2:C436, C436, $A$2:A436, ""&lt;="" &amp; A436) &lt; 30, STDEV.P(FILTER($G$2:G436, $C$2:C436 = C436)), STDEV.P(FILTER($G$2:G436, $C$2:C436 = C436, $A$2:A436 &gt;= A436 - 30)))
"),"#DIV/0!")</f>
        <v>#DIV/0!</v>
      </c>
    </row>
    <row r="437" spans="1:14" x14ac:dyDescent="0.2">
      <c r="A437" s="39"/>
      <c r="B437" s="40"/>
      <c r="C437" s="35"/>
      <c r="D437" s="19"/>
      <c r="E437" s="19"/>
      <c r="F437" s="19"/>
      <c r="G437" s="19" t="e">
        <f t="shared" si="5"/>
        <v>#DIV/0!</v>
      </c>
      <c r="H437" s="20" t="str">
        <f ca="1">IFERROR(__xludf.DUMMYFUNCTION("IF(COUNTIFS($C$2:C437, C437, $A$2:A437, ""&lt;="" &amp; A437) &lt; 30, AVERAGEIF($C$2:C437, C437, $G$2:G437), AVERAGE(FILTER($G$2:G437, $C$2:C437 = C437, $A$2:A437 &gt;= A437 - 30)))
"),"#DIV/0!")</f>
        <v>#DIV/0!</v>
      </c>
      <c r="I437" s="20" t="e">
        <f t="shared" ca="1" si="6"/>
        <v>#DIV/0!</v>
      </c>
      <c r="J437" s="20" t="str">
        <f ca="1">IFERROR(__xludf.DUMMYFUNCTION("IF(OR($I437=2, $I437=3), 0, IFERROR(COUNTIFS($C$2:C437, $C437, $A$2:A438, ""&gt;""&amp;IFERROR(MAX(FILTER($A$2:A438, $C$2:C437=$C437, $I$2:I437&lt;&gt;1)), 0), $I$2:I437, 1),1))
"),"#DIV/0!")</f>
        <v>#DIV/0!</v>
      </c>
      <c r="K437" s="20" t="e">
        <f t="shared" ca="1" si="7"/>
        <v>#DIV/0!</v>
      </c>
      <c r="L437" s="20" t="e">
        <f t="shared" ca="1" si="8"/>
        <v>#DIV/0!</v>
      </c>
      <c r="M437" s="21" t="e">
        <f t="shared" ca="1" si="9"/>
        <v>#DIV/0!</v>
      </c>
      <c r="N437" s="22" t="str">
        <f ca="1">IFERROR(__xludf.DUMMYFUNCTION("IF(COUNTIFS($C$2:C437, C437, $A$2:A437, ""&lt;="" &amp; A437) &lt; 30, STDEV.P(FILTER($G$2:G437, $C$2:C437 = C437)), STDEV.P(FILTER($G$2:G437, $C$2:C437 = C437, $A$2:A437 &gt;= A437 - 30)))
"),"#DIV/0!")</f>
        <v>#DIV/0!</v>
      </c>
    </row>
    <row r="438" spans="1:14" x14ac:dyDescent="0.2">
      <c r="A438" s="39"/>
      <c r="B438" s="32"/>
      <c r="C438" s="35"/>
      <c r="D438" s="20"/>
      <c r="E438" s="20"/>
      <c r="F438" s="20"/>
      <c r="G438" s="19" t="e">
        <f t="shared" si="5"/>
        <v>#DIV/0!</v>
      </c>
      <c r="H438" s="20" t="str">
        <f ca="1">IFERROR(__xludf.DUMMYFUNCTION("IF(COUNTIFS($C$2:C438, C438, $A$2:A438, ""&lt;="" &amp; A438) &lt; 30, AVERAGEIF($C$2:C438, C438, $G$2:G438), AVERAGE(FILTER($G$2:G438, $C$2:C438 = C438, $A$2:A438 &gt;= A438 - 30)))
"),"#DIV/0!")</f>
        <v>#DIV/0!</v>
      </c>
      <c r="I438" s="20" t="e">
        <f t="shared" ca="1" si="6"/>
        <v>#DIV/0!</v>
      </c>
      <c r="J438" s="20" t="str">
        <f ca="1">IFERROR(__xludf.DUMMYFUNCTION("IF(OR($I438=2, $I438=3), 0, IFERROR(COUNTIFS($C$2:C438, $C438, $A$2:A439, ""&gt;""&amp;IFERROR(MAX(FILTER($A$2:A439, $C$2:C438=$C438, $I$2:I438&lt;&gt;1)), 0), $I$2:I438, 1),1))
"),"#DIV/0!")</f>
        <v>#DIV/0!</v>
      </c>
      <c r="K438" s="20" t="e">
        <f t="shared" ca="1" si="7"/>
        <v>#DIV/0!</v>
      </c>
      <c r="L438" s="20" t="e">
        <f t="shared" ca="1" si="8"/>
        <v>#DIV/0!</v>
      </c>
      <c r="M438" s="21" t="e">
        <f t="shared" ca="1" si="9"/>
        <v>#DIV/0!</v>
      </c>
      <c r="N438" s="22" t="str">
        <f ca="1">IFERROR(__xludf.DUMMYFUNCTION("IF(COUNTIFS($C$2:C438, C438, $A$2:A438, ""&lt;="" &amp; A438) &lt; 30, STDEV.P(FILTER($G$2:G438, $C$2:C438 = C438)), STDEV.P(FILTER($G$2:G438, $C$2:C438 = C438, $A$2:A438 &gt;= A438 - 30)))
"),"#DIV/0!")</f>
        <v>#DIV/0!</v>
      </c>
    </row>
    <row r="439" spans="1:14" x14ac:dyDescent="0.2">
      <c r="A439" s="39"/>
      <c r="B439" s="32"/>
      <c r="C439" s="35"/>
      <c r="D439" s="19"/>
      <c r="E439" s="19"/>
      <c r="F439" s="19"/>
      <c r="G439" s="19" t="e">
        <f t="shared" si="5"/>
        <v>#DIV/0!</v>
      </c>
      <c r="H439" s="20" t="str">
        <f ca="1">IFERROR(__xludf.DUMMYFUNCTION("IF(COUNTIFS($C$2:C439, C439, $A$2:A439, ""&lt;="" &amp; A439) &lt; 30, AVERAGEIF($C$2:C439, C439, $G$2:G439), AVERAGE(FILTER($G$2:G439, $C$2:C439 = C439, $A$2:A439 &gt;= A439 - 30)))
"),"#DIV/0!")</f>
        <v>#DIV/0!</v>
      </c>
      <c r="I439" s="20" t="e">
        <f t="shared" ca="1" si="6"/>
        <v>#DIV/0!</v>
      </c>
      <c r="J439" s="20" t="str">
        <f ca="1">IFERROR(__xludf.DUMMYFUNCTION("IF(OR($I439=2, $I439=3), 0, IFERROR(COUNTIFS($C$2:C439, $C439, $A$2:A440, ""&gt;""&amp;IFERROR(MAX(FILTER($A$2:A440, $C$2:C439=$C439, $I$2:I439&lt;&gt;1)), 0), $I$2:I439, 1),1))
"),"#DIV/0!")</f>
        <v>#DIV/0!</v>
      </c>
      <c r="K439" s="20" t="e">
        <f t="shared" ca="1" si="7"/>
        <v>#DIV/0!</v>
      </c>
      <c r="L439" s="20" t="e">
        <f t="shared" ca="1" si="8"/>
        <v>#DIV/0!</v>
      </c>
      <c r="M439" s="21" t="e">
        <f t="shared" ca="1" si="9"/>
        <v>#DIV/0!</v>
      </c>
      <c r="N439" s="22" t="str">
        <f ca="1">IFERROR(__xludf.DUMMYFUNCTION("IF(COUNTIFS($C$2:C439, C439, $A$2:A439, ""&lt;="" &amp; A439) &lt; 30, STDEV.P(FILTER($G$2:G439, $C$2:C439 = C439)), STDEV.P(FILTER($G$2:G439, $C$2:C439 = C439, $A$2:A439 &gt;= A439 - 30)))
"),"#DIV/0!")</f>
        <v>#DIV/0!</v>
      </c>
    </row>
    <row r="440" spans="1:14" x14ac:dyDescent="0.2">
      <c r="A440" s="39"/>
      <c r="B440" s="32"/>
      <c r="C440" s="35"/>
      <c r="D440" s="19"/>
      <c r="E440" s="19"/>
      <c r="F440" s="19"/>
      <c r="G440" s="19" t="e">
        <f t="shared" si="5"/>
        <v>#DIV/0!</v>
      </c>
      <c r="H440" s="20" t="str">
        <f ca="1">IFERROR(__xludf.DUMMYFUNCTION("IF(COUNTIFS($C$2:C440, C440, $A$2:A440, ""&lt;="" &amp; A440) &lt; 30, AVERAGEIF($C$2:C440, C440, $G$2:G440), AVERAGE(FILTER($G$2:G440, $C$2:C440 = C440, $A$2:A440 &gt;= A440 - 30)))
"),"#DIV/0!")</f>
        <v>#DIV/0!</v>
      </c>
      <c r="I440" s="20" t="e">
        <f t="shared" ca="1" si="6"/>
        <v>#DIV/0!</v>
      </c>
      <c r="J440" s="20" t="str">
        <f ca="1">IFERROR(__xludf.DUMMYFUNCTION("IF(OR($I440=2, $I440=3), 0, IFERROR(COUNTIFS($C$2:C440, $C440, $A$2:A441, ""&gt;""&amp;IFERROR(MAX(FILTER($A$2:A441, $C$2:C440=$C440, $I$2:I440&lt;&gt;1)), 0), $I$2:I440, 1),1))
"),"#DIV/0!")</f>
        <v>#DIV/0!</v>
      </c>
      <c r="K440" s="20" t="e">
        <f t="shared" ca="1" si="7"/>
        <v>#DIV/0!</v>
      </c>
      <c r="L440" s="20" t="e">
        <f t="shared" ca="1" si="8"/>
        <v>#DIV/0!</v>
      </c>
      <c r="M440" s="21" t="e">
        <f t="shared" ca="1" si="9"/>
        <v>#DIV/0!</v>
      </c>
      <c r="N440" s="22" t="str">
        <f ca="1">IFERROR(__xludf.DUMMYFUNCTION("IF(COUNTIFS($C$2:C440, C440, $A$2:A440, ""&lt;="" &amp; A440) &lt; 30, STDEV.P(FILTER($G$2:G440, $C$2:C440 = C440)), STDEV.P(FILTER($G$2:G440, $C$2:C440 = C440, $A$2:A440 &gt;= A440 - 30)))
"),"#DIV/0!")</f>
        <v>#DIV/0!</v>
      </c>
    </row>
    <row r="441" spans="1:14" x14ac:dyDescent="0.2">
      <c r="A441" s="39"/>
      <c r="B441" s="32"/>
      <c r="C441" s="35"/>
      <c r="D441" s="19"/>
      <c r="E441" s="19"/>
      <c r="F441" s="19"/>
      <c r="G441" s="19" t="e">
        <f t="shared" si="5"/>
        <v>#DIV/0!</v>
      </c>
      <c r="H441" s="20" t="str">
        <f ca="1">IFERROR(__xludf.DUMMYFUNCTION("IF(COUNTIFS($C$2:C441, C441, $A$2:A441, ""&lt;="" &amp; A441) &lt; 30, AVERAGEIF($C$2:C441, C441, $G$2:G441), AVERAGE(FILTER($G$2:G441, $C$2:C441 = C441, $A$2:A441 &gt;= A441 - 30)))
"),"#DIV/0!")</f>
        <v>#DIV/0!</v>
      </c>
      <c r="I441" s="20" t="e">
        <f t="shared" ca="1" si="6"/>
        <v>#DIV/0!</v>
      </c>
      <c r="J441" s="20" t="str">
        <f ca="1">IFERROR(__xludf.DUMMYFUNCTION("IF(OR($I441=2, $I441=3), 0, IFERROR(COUNTIFS($C$2:C441, $C441, $A$2:A442, ""&gt;""&amp;IFERROR(MAX(FILTER($A$2:A442, $C$2:C441=$C441, $I$2:I441&lt;&gt;1)), 0), $I$2:I441, 1),1))
"),"#DIV/0!")</f>
        <v>#DIV/0!</v>
      </c>
      <c r="K441" s="20" t="e">
        <f t="shared" ca="1" si="7"/>
        <v>#DIV/0!</v>
      </c>
      <c r="L441" s="20" t="e">
        <f t="shared" ca="1" si="8"/>
        <v>#DIV/0!</v>
      </c>
      <c r="M441" s="21" t="e">
        <f t="shared" ca="1" si="9"/>
        <v>#DIV/0!</v>
      </c>
      <c r="N441" s="22" t="str">
        <f ca="1">IFERROR(__xludf.DUMMYFUNCTION("IF(COUNTIFS($C$2:C441, C441, $A$2:A441, ""&lt;="" &amp; A441) &lt; 30, STDEV.P(FILTER($G$2:G441, $C$2:C441 = C441)), STDEV.P(FILTER($G$2:G441, $C$2:C441 = C441, $A$2:A441 &gt;= A441 - 30)))
"),"#DIV/0!")</f>
        <v>#DIV/0!</v>
      </c>
    </row>
    <row r="442" spans="1:14" x14ac:dyDescent="0.2">
      <c r="A442" s="39"/>
      <c r="B442" s="32"/>
      <c r="C442" s="35"/>
      <c r="D442" s="19"/>
      <c r="E442" s="19"/>
      <c r="F442" s="19"/>
      <c r="G442" s="19" t="e">
        <f t="shared" si="5"/>
        <v>#DIV/0!</v>
      </c>
      <c r="H442" s="20" t="str">
        <f ca="1">IFERROR(__xludf.DUMMYFUNCTION("IF(COUNTIFS($C$2:C442, C442, $A$2:A442, ""&lt;="" &amp; A442) &lt; 30, AVERAGEIF($C$2:C442, C442, $G$2:G442), AVERAGE(FILTER($G$2:G442, $C$2:C442 = C442, $A$2:A442 &gt;= A442 - 30)))
"),"#DIV/0!")</f>
        <v>#DIV/0!</v>
      </c>
      <c r="I442" s="20" t="e">
        <f t="shared" ca="1" si="6"/>
        <v>#DIV/0!</v>
      </c>
      <c r="J442" s="20" t="str">
        <f ca="1">IFERROR(__xludf.DUMMYFUNCTION("IF(OR($I442=2, $I442=3), 0, IFERROR(COUNTIFS($C$2:C442, $C442, $A$2:A443, ""&gt;""&amp;IFERROR(MAX(FILTER($A$2:A443, $C$2:C442=$C442, $I$2:I442&lt;&gt;1)), 0), $I$2:I442, 1),1))
"),"#DIV/0!")</f>
        <v>#DIV/0!</v>
      </c>
      <c r="K442" s="20" t="e">
        <f t="shared" ca="1" si="7"/>
        <v>#DIV/0!</v>
      </c>
      <c r="L442" s="20" t="e">
        <f t="shared" ca="1" si="8"/>
        <v>#DIV/0!</v>
      </c>
      <c r="M442" s="21" t="e">
        <f t="shared" ca="1" si="9"/>
        <v>#DIV/0!</v>
      </c>
      <c r="N442" s="22" t="str">
        <f ca="1">IFERROR(__xludf.DUMMYFUNCTION("IF(COUNTIFS($C$2:C442, C442, $A$2:A442, ""&lt;="" &amp; A442) &lt; 30, STDEV.P(FILTER($G$2:G442, $C$2:C442 = C442)), STDEV.P(FILTER($G$2:G442, $C$2:C442 = C442, $A$2:A442 &gt;= A442 - 30)))
"),"#DIV/0!")</f>
        <v>#DIV/0!</v>
      </c>
    </row>
    <row r="443" spans="1:14" x14ac:dyDescent="0.2">
      <c r="A443" s="39"/>
      <c r="B443" s="32"/>
      <c r="C443" s="35"/>
      <c r="D443" s="19"/>
      <c r="E443" s="19"/>
      <c r="F443" s="19"/>
      <c r="G443" s="19" t="e">
        <f t="shared" si="5"/>
        <v>#DIV/0!</v>
      </c>
      <c r="H443" s="20" t="str">
        <f ca="1">IFERROR(__xludf.DUMMYFUNCTION("IF(COUNTIFS($C$2:C443, C443, $A$2:A443, ""&lt;="" &amp; A443) &lt; 30, AVERAGEIF($C$2:C443, C443, $G$2:G443), AVERAGE(FILTER($G$2:G443, $C$2:C443 = C443, $A$2:A443 &gt;= A443 - 30)))
"),"#DIV/0!")</f>
        <v>#DIV/0!</v>
      </c>
      <c r="I443" s="20" t="e">
        <f t="shared" ca="1" si="6"/>
        <v>#DIV/0!</v>
      </c>
      <c r="J443" s="20" t="str">
        <f ca="1">IFERROR(__xludf.DUMMYFUNCTION("IF(OR($I443=2, $I443=3), 0, IFERROR(COUNTIFS($C$2:C443, $C443, $A$2:A444, ""&gt;""&amp;IFERROR(MAX(FILTER($A$2:A444, $C$2:C443=$C443, $I$2:I443&lt;&gt;1)), 0), $I$2:I443, 1),1))
"),"#DIV/0!")</f>
        <v>#DIV/0!</v>
      </c>
      <c r="K443" s="20" t="e">
        <f t="shared" ca="1" si="7"/>
        <v>#DIV/0!</v>
      </c>
      <c r="L443" s="20" t="e">
        <f t="shared" ca="1" si="8"/>
        <v>#DIV/0!</v>
      </c>
      <c r="M443" s="21" t="e">
        <f t="shared" ca="1" si="9"/>
        <v>#DIV/0!</v>
      </c>
      <c r="N443" s="22" t="str">
        <f ca="1">IFERROR(__xludf.DUMMYFUNCTION("IF(COUNTIFS($C$2:C443, C443, $A$2:A443, ""&lt;="" &amp; A443) &lt; 30, STDEV.P(FILTER($G$2:G443, $C$2:C443 = C443)), STDEV.P(FILTER($G$2:G443, $C$2:C443 = C443, $A$2:A443 &gt;= A443 - 30)))
"),"#DIV/0!")</f>
        <v>#DIV/0!</v>
      </c>
    </row>
    <row r="444" spans="1:14" x14ac:dyDescent="0.2">
      <c r="A444" s="39"/>
      <c r="B444" s="32"/>
      <c r="C444" s="35"/>
      <c r="D444" s="19"/>
      <c r="E444" s="19"/>
      <c r="F444" s="19"/>
      <c r="G444" s="19" t="e">
        <f t="shared" si="5"/>
        <v>#DIV/0!</v>
      </c>
      <c r="H444" s="20" t="str">
        <f ca="1">IFERROR(__xludf.DUMMYFUNCTION("IF(COUNTIFS($C$2:C444, C444, $A$2:A444, ""&lt;="" &amp; A444) &lt; 30, AVERAGEIF($C$2:C444, C444, $G$2:G444), AVERAGE(FILTER($G$2:G444, $C$2:C444 = C444, $A$2:A444 &gt;= A444 - 30)))
"),"#DIV/0!")</f>
        <v>#DIV/0!</v>
      </c>
      <c r="I444" s="20" t="e">
        <f t="shared" ca="1" si="6"/>
        <v>#DIV/0!</v>
      </c>
      <c r="J444" s="20" t="str">
        <f ca="1">IFERROR(__xludf.DUMMYFUNCTION("IF(OR($I444=2, $I444=3), 0, IFERROR(COUNTIFS($C$2:C444, $C444, $A$2:A445, ""&gt;""&amp;IFERROR(MAX(FILTER($A$2:A445, $C$2:C444=$C444, $I$2:I444&lt;&gt;1)), 0), $I$2:I444, 1),1))
"),"#DIV/0!")</f>
        <v>#DIV/0!</v>
      </c>
      <c r="K444" s="20" t="e">
        <f t="shared" ca="1" si="7"/>
        <v>#DIV/0!</v>
      </c>
      <c r="L444" s="20" t="e">
        <f t="shared" ca="1" si="8"/>
        <v>#DIV/0!</v>
      </c>
      <c r="M444" s="21" t="e">
        <f t="shared" ca="1" si="9"/>
        <v>#DIV/0!</v>
      </c>
      <c r="N444" s="22" t="str">
        <f ca="1">IFERROR(__xludf.DUMMYFUNCTION("IF(COUNTIFS($C$2:C444, C444, $A$2:A444, ""&lt;="" &amp; A444) &lt; 30, STDEV.P(FILTER($G$2:G444, $C$2:C444 = C444)), STDEV.P(FILTER($G$2:G444, $C$2:C444 = C444, $A$2:A444 &gt;= A444 - 30)))
"),"#DIV/0!")</f>
        <v>#DIV/0!</v>
      </c>
    </row>
    <row r="445" spans="1:14" x14ac:dyDescent="0.2">
      <c r="A445" s="39"/>
      <c r="B445" s="32"/>
      <c r="C445" s="35"/>
      <c r="D445" s="19"/>
      <c r="E445" s="19"/>
      <c r="F445" s="19"/>
      <c r="G445" s="19" t="e">
        <f t="shared" si="5"/>
        <v>#DIV/0!</v>
      </c>
      <c r="H445" s="20" t="str">
        <f ca="1">IFERROR(__xludf.DUMMYFUNCTION("IF(COUNTIFS($C$2:C445, C445, $A$2:A445, ""&lt;="" &amp; A445) &lt; 30, AVERAGEIF($C$2:C445, C445, $G$2:G445), AVERAGE(FILTER($G$2:G445, $C$2:C445 = C445, $A$2:A445 &gt;= A445 - 30)))
"),"#DIV/0!")</f>
        <v>#DIV/0!</v>
      </c>
      <c r="I445" s="20" t="e">
        <f t="shared" ca="1" si="6"/>
        <v>#DIV/0!</v>
      </c>
      <c r="J445" s="20" t="str">
        <f ca="1">IFERROR(__xludf.DUMMYFUNCTION("IF(OR($I445=2, $I445=3), 0, IFERROR(COUNTIFS($C$2:C445, $C445, $A$2:A446, ""&gt;""&amp;IFERROR(MAX(FILTER($A$2:A446, $C$2:C445=$C445, $I$2:I445&lt;&gt;1)), 0), $I$2:I445, 1),1))
"),"#DIV/0!")</f>
        <v>#DIV/0!</v>
      </c>
      <c r="K445" s="20" t="e">
        <f t="shared" ca="1" si="7"/>
        <v>#DIV/0!</v>
      </c>
      <c r="L445" s="20" t="e">
        <f t="shared" ca="1" si="8"/>
        <v>#DIV/0!</v>
      </c>
      <c r="M445" s="21" t="e">
        <f t="shared" ca="1" si="9"/>
        <v>#DIV/0!</v>
      </c>
      <c r="N445" s="22" t="str">
        <f ca="1">IFERROR(__xludf.DUMMYFUNCTION("IF(COUNTIFS($C$2:C445, C445, $A$2:A445, ""&lt;="" &amp; A445) &lt; 30, STDEV.P(FILTER($G$2:G445, $C$2:C445 = C445)), STDEV.P(FILTER($G$2:G445, $C$2:C445 = C445, $A$2:A445 &gt;= A445 - 30)))
"),"#DIV/0!")</f>
        <v>#DIV/0!</v>
      </c>
    </row>
    <row r="446" spans="1:14" x14ac:dyDescent="0.2">
      <c r="A446" s="39"/>
      <c r="B446" s="32"/>
      <c r="C446" s="35"/>
      <c r="D446" s="20"/>
      <c r="E446" s="20"/>
      <c r="F446" s="20"/>
      <c r="G446" s="19" t="e">
        <f t="shared" si="5"/>
        <v>#DIV/0!</v>
      </c>
      <c r="H446" s="20" t="str">
        <f ca="1">IFERROR(__xludf.DUMMYFUNCTION("IF(COUNTIFS($C$2:C446, C446, $A$2:A446, ""&lt;="" &amp; A446) &lt; 30, AVERAGEIF($C$2:C446, C446, $G$2:G446), AVERAGE(FILTER($G$2:G446, $C$2:C446 = C446, $A$2:A446 &gt;= A446 - 30)))
"),"#DIV/0!")</f>
        <v>#DIV/0!</v>
      </c>
      <c r="I446" s="20" t="e">
        <f t="shared" ca="1" si="6"/>
        <v>#DIV/0!</v>
      </c>
      <c r="J446" s="20" t="str">
        <f ca="1">IFERROR(__xludf.DUMMYFUNCTION("IF(OR($I446=2, $I446=3), 0, IFERROR(COUNTIFS($C$2:C446, $C446, $A$2:A447, ""&gt;""&amp;IFERROR(MAX(FILTER($A$2:A447, $C$2:C446=$C446, $I$2:I446&lt;&gt;1)), 0), $I$2:I446, 1),1))
"),"#DIV/0!")</f>
        <v>#DIV/0!</v>
      </c>
      <c r="K446" s="20" t="e">
        <f t="shared" ca="1" si="7"/>
        <v>#DIV/0!</v>
      </c>
      <c r="L446" s="20" t="e">
        <f t="shared" ca="1" si="8"/>
        <v>#DIV/0!</v>
      </c>
      <c r="M446" s="21" t="e">
        <f t="shared" ca="1" si="9"/>
        <v>#DIV/0!</v>
      </c>
      <c r="N446" s="22" t="str">
        <f ca="1">IFERROR(__xludf.DUMMYFUNCTION("IF(COUNTIFS($C$2:C446, C446, $A$2:A446, ""&lt;="" &amp; A446) &lt; 30, STDEV.P(FILTER($G$2:G446, $C$2:C446 = C446)), STDEV.P(FILTER($G$2:G446, $C$2:C446 = C446, $A$2:A446 &gt;= A446 - 30)))
"),"#DIV/0!")</f>
        <v>#DIV/0!</v>
      </c>
    </row>
    <row r="447" spans="1:14" x14ac:dyDescent="0.2">
      <c r="A447" s="39"/>
      <c r="B447" s="32"/>
      <c r="C447" s="35"/>
      <c r="D447" s="19"/>
      <c r="E447" s="19"/>
      <c r="F447" s="19"/>
      <c r="G447" s="19" t="e">
        <f t="shared" si="5"/>
        <v>#DIV/0!</v>
      </c>
      <c r="H447" s="20" t="str">
        <f ca="1">IFERROR(__xludf.DUMMYFUNCTION("IF(COUNTIFS($C$2:C447, C447, $A$2:A447, ""&lt;="" &amp; A447) &lt; 30, AVERAGEIF($C$2:C447, C447, $G$2:G447), AVERAGE(FILTER($G$2:G447, $C$2:C447 = C447, $A$2:A447 &gt;= A447 - 30)))
"),"#DIV/0!")</f>
        <v>#DIV/0!</v>
      </c>
      <c r="I447" s="20" t="e">
        <f t="shared" ca="1" si="6"/>
        <v>#DIV/0!</v>
      </c>
      <c r="J447" s="20" t="str">
        <f ca="1">IFERROR(__xludf.DUMMYFUNCTION("IF(OR($I447=2, $I447=3), 0, IFERROR(COUNTIFS($C$2:C447, $C447, $A$2:A448, ""&gt;""&amp;IFERROR(MAX(FILTER($A$2:A448, $C$2:C447=$C447, $I$2:I447&lt;&gt;1)), 0), $I$2:I447, 1),1))
"),"#DIV/0!")</f>
        <v>#DIV/0!</v>
      </c>
      <c r="K447" s="20" t="e">
        <f t="shared" ca="1" si="7"/>
        <v>#DIV/0!</v>
      </c>
      <c r="L447" s="20" t="e">
        <f t="shared" ca="1" si="8"/>
        <v>#DIV/0!</v>
      </c>
      <c r="M447" s="21" t="e">
        <f t="shared" ca="1" si="9"/>
        <v>#DIV/0!</v>
      </c>
      <c r="N447" s="22" t="str">
        <f ca="1">IFERROR(__xludf.DUMMYFUNCTION("IF(COUNTIFS($C$2:C447, C447, $A$2:A447, ""&lt;="" &amp; A447) &lt; 30, STDEV.P(FILTER($G$2:G447, $C$2:C447 = C447)), STDEV.P(FILTER($G$2:G447, $C$2:C447 = C447, $A$2:A447 &gt;= A447 - 30)))
"),"#DIV/0!")</f>
        <v>#DIV/0!</v>
      </c>
    </row>
    <row r="448" spans="1:14" x14ac:dyDescent="0.2">
      <c r="A448" s="37"/>
      <c r="B448" s="32"/>
      <c r="C448" s="35"/>
      <c r="D448" s="19"/>
      <c r="E448" s="19"/>
      <c r="F448" s="19"/>
      <c r="G448" s="19" t="e">
        <f t="shared" si="5"/>
        <v>#DIV/0!</v>
      </c>
      <c r="H448" s="20" t="str">
        <f ca="1">IFERROR(__xludf.DUMMYFUNCTION("IF(COUNTIFS($C$2:C448, C448, $A$2:A448, ""&lt;="" &amp; A448) &lt; 30, AVERAGEIF($C$2:C448, C448, $G$2:G448), AVERAGE(FILTER($G$2:G448, $C$2:C448 = C448, $A$2:A448 &gt;= A448 - 30)))
"),"#DIV/0!")</f>
        <v>#DIV/0!</v>
      </c>
      <c r="I448" s="20" t="e">
        <f t="shared" ca="1" si="6"/>
        <v>#DIV/0!</v>
      </c>
      <c r="J448" s="20" t="str">
        <f ca="1">IFERROR(__xludf.DUMMYFUNCTION("IF(OR($I448=2, $I448=3), 0, IFERROR(COUNTIFS($C$2:C448, $C448, $A$2:A449, ""&gt;""&amp;IFERROR(MAX(FILTER($A$2:A449, $C$2:C448=$C448, $I$2:I448&lt;&gt;1)), 0), $I$2:I448, 1),1))
"),"#DIV/0!")</f>
        <v>#DIV/0!</v>
      </c>
      <c r="K448" s="20" t="e">
        <f t="shared" ca="1" si="7"/>
        <v>#DIV/0!</v>
      </c>
      <c r="L448" s="20" t="e">
        <f t="shared" ca="1" si="8"/>
        <v>#DIV/0!</v>
      </c>
      <c r="M448" s="21" t="e">
        <f t="shared" ca="1" si="9"/>
        <v>#DIV/0!</v>
      </c>
      <c r="N448" s="36" t="str">
        <f ca="1">IFERROR(__xludf.DUMMYFUNCTION("IF(COUNTIFS($C$2:C448, C448, $A$2:A448, ""&lt;="" &amp; A448) &lt; 30, STDEV.P(FILTER($G$2:G448, $C$2:C448 = C448)), STDEV.P(FILTER($G$2:G448, $C$2:C448 = C448, $A$2:A448 &gt;= A448 - 30)))
"),"#DIV/0!")</f>
        <v>#DIV/0!</v>
      </c>
    </row>
    <row r="449" spans="1:14" x14ac:dyDescent="0.2">
      <c r="A449" s="38"/>
      <c r="B449" s="32"/>
      <c r="C449" s="35"/>
      <c r="D449" s="19"/>
      <c r="E449" s="19"/>
      <c r="F449" s="19"/>
      <c r="G449" s="19" t="e">
        <f t="shared" si="5"/>
        <v>#DIV/0!</v>
      </c>
      <c r="H449" s="20" t="str">
        <f ca="1">IFERROR(__xludf.DUMMYFUNCTION("IF(COUNTIFS($C$2:C449, C449, $A$2:A449, ""&lt;="" &amp; A449) &lt; 30, AVERAGEIF($C$2:C449, C449, $G$2:G449), AVERAGE(FILTER($G$2:G449, $C$2:C449 = C449, $A$2:A449 &gt;= A449 - 30)))
"),"#DIV/0!")</f>
        <v>#DIV/0!</v>
      </c>
      <c r="I449" s="20" t="e">
        <f t="shared" ca="1" si="6"/>
        <v>#DIV/0!</v>
      </c>
      <c r="J449" s="20" t="str">
        <f ca="1">IFERROR(__xludf.DUMMYFUNCTION("IF(OR($I449=2, $I449=3), 0, IFERROR(COUNTIFS($C$2:C449, $C449, $A$2:A450, ""&gt;""&amp;IFERROR(MAX(FILTER($A$2:A450, $C$2:C449=$C449, $I$2:I449&lt;&gt;1)), 0), $I$2:I449, 1),1))
"),"#DIV/0!")</f>
        <v>#DIV/0!</v>
      </c>
      <c r="K449" s="20" t="e">
        <f t="shared" ca="1" si="7"/>
        <v>#DIV/0!</v>
      </c>
      <c r="L449" s="20" t="e">
        <f t="shared" ca="1" si="8"/>
        <v>#DIV/0!</v>
      </c>
      <c r="M449" s="21" t="e">
        <f t="shared" ca="1" si="9"/>
        <v>#DIV/0!</v>
      </c>
      <c r="N449" s="20" t="str">
        <f ca="1">IFERROR(__xludf.DUMMYFUNCTION("IF(COUNTIFS($C$2:C449, C449, $A$2:A449, ""&lt;="" &amp; A449) &lt; 30, STDEV.P(FILTER($G$2:G449, $C$2:C449 = C449)), STDEV.P(FILTER($G$2:G449, $C$2:C449 = C449, $A$2:A449 &gt;= A449 - 30)))
"),"#DIV/0!")</f>
        <v>#DIV/0!</v>
      </c>
    </row>
    <row r="450" spans="1:14" x14ac:dyDescent="0.2">
      <c r="A450" s="38"/>
      <c r="B450" s="32"/>
      <c r="C450" s="35"/>
      <c r="D450" s="19"/>
      <c r="E450" s="19"/>
      <c r="F450" s="19"/>
      <c r="G450" s="19" t="e">
        <f t="shared" si="5"/>
        <v>#DIV/0!</v>
      </c>
      <c r="H450" s="20" t="str">
        <f ca="1">IFERROR(__xludf.DUMMYFUNCTION("IF(COUNTIFS($C$2:C450, C450, $A$2:A450, ""&lt;="" &amp; A450) &lt; 30, AVERAGEIF($C$2:C450, C450, $G$2:G450), AVERAGE(FILTER($G$2:G450, $C$2:C450 = C450, $A$2:A450 &gt;= A450 - 30)))
"),"#DIV/0!")</f>
        <v>#DIV/0!</v>
      </c>
      <c r="I450" s="20" t="e">
        <f t="shared" ca="1" si="6"/>
        <v>#DIV/0!</v>
      </c>
      <c r="J450" s="20" t="str">
        <f ca="1">IFERROR(__xludf.DUMMYFUNCTION("IF(OR($I450=2, $I450=3), 0, IFERROR(COUNTIFS($C$2:C450, $C450, $A$2:A451, ""&gt;""&amp;IFERROR(MAX(FILTER($A$2:A451, $C$2:C450=$C450, $I$2:I450&lt;&gt;1)), 0), $I$2:I450, 1),1))
"),"#DIV/0!")</f>
        <v>#DIV/0!</v>
      </c>
      <c r="K450" s="20" t="e">
        <f t="shared" ca="1" si="7"/>
        <v>#DIV/0!</v>
      </c>
      <c r="L450" s="20" t="e">
        <f t="shared" ca="1" si="8"/>
        <v>#DIV/0!</v>
      </c>
      <c r="M450" s="21" t="e">
        <f t="shared" ca="1" si="9"/>
        <v>#DIV/0!</v>
      </c>
      <c r="N450" s="20" t="str">
        <f ca="1">IFERROR(__xludf.DUMMYFUNCTION("IF(COUNTIFS($C$2:C450, C450, $A$2:A450, ""&lt;="" &amp; A450) &lt; 30, STDEV.P(FILTER($G$2:G450, $C$2:C450 = C450)), STDEV.P(FILTER($G$2:G450, $C$2:C450 = C450, $A$2:A450 &gt;= A450 - 30)))
"),"#DIV/0!")</f>
        <v>#DIV/0!</v>
      </c>
    </row>
    <row r="451" spans="1:14" x14ac:dyDescent="0.2">
      <c r="A451" s="38"/>
      <c r="B451" s="32"/>
      <c r="C451" s="35"/>
      <c r="D451" s="19"/>
      <c r="E451" s="19"/>
      <c r="F451" s="19"/>
      <c r="G451" s="19" t="e">
        <f t="shared" si="5"/>
        <v>#DIV/0!</v>
      </c>
      <c r="H451" s="20" t="str">
        <f ca="1">IFERROR(__xludf.DUMMYFUNCTION("IF(COUNTIFS($C$2:C451, C451, $A$2:A451, ""&lt;="" &amp; A451) &lt; 30, AVERAGEIF($C$2:C451, C451, $G$2:G451), AVERAGE(FILTER($G$2:G451, $C$2:C451 = C451, $A$2:A451 &gt;= A451 - 30)))
"),"#DIV/0!")</f>
        <v>#DIV/0!</v>
      </c>
      <c r="I451" s="20" t="e">
        <f t="shared" ca="1" si="6"/>
        <v>#DIV/0!</v>
      </c>
      <c r="J451" s="20" t="str">
        <f ca="1">IFERROR(__xludf.DUMMYFUNCTION("IF(OR($I451=2, $I451=3), 0, IFERROR(COUNTIFS($C$2:C451, $C451, $A$2:A452, ""&gt;""&amp;IFERROR(MAX(FILTER($A$2:A452, $C$2:C451=$C451, $I$2:I451&lt;&gt;1)), 0), $I$2:I451, 1),1))
"),"#DIV/0!")</f>
        <v>#DIV/0!</v>
      </c>
      <c r="K451" s="20" t="e">
        <f t="shared" ca="1" si="7"/>
        <v>#DIV/0!</v>
      </c>
      <c r="L451" s="20" t="e">
        <f t="shared" ca="1" si="8"/>
        <v>#DIV/0!</v>
      </c>
      <c r="M451" s="21" t="e">
        <f t="shared" ca="1" si="9"/>
        <v>#DIV/0!</v>
      </c>
      <c r="N451" s="20" t="str">
        <f ca="1">IFERROR(__xludf.DUMMYFUNCTION("IF(COUNTIFS($C$2:C451, C451, $A$2:A451, ""&lt;="" &amp; A451) &lt; 30, STDEV.P(FILTER($G$2:G451, $C$2:C451 = C451)), STDEV.P(FILTER($G$2:G451, $C$2:C451 = C451, $A$2:A451 &gt;= A451 - 30)))
"),"#DIV/0!")</f>
        <v>#DIV/0!</v>
      </c>
    </row>
    <row r="452" spans="1:14" x14ac:dyDescent="0.2">
      <c r="A452" s="38"/>
      <c r="B452" s="32"/>
      <c r="C452" s="35"/>
      <c r="D452" s="19"/>
      <c r="E452" s="19"/>
      <c r="F452" s="19"/>
      <c r="G452" s="19" t="e">
        <f t="shared" si="5"/>
        <v>#DIV/0!</v>
      </c>
      <c r="H452" s="20" t="str">
        <f ca="1">IFERROR(__xludf.DUMMYFUNCTION("IF(COUNTIFS($C$2:C452, C452, $A$2:A452, ""&lt;="" &amp; A452) &lt; 30, AVERAGEIF($C$2:C452, C452, $G$2:G452), AVERAGE(FILTER($G$2:G452, $C$2:C452 = C452, $A$2:A452 &gt;= A452 - 30)))
"),"#DIV/0!")</f>
        <v>#DIV/0!</v>
      </c>
      <c r="I452" s="20" t="e">
        <f t="shared" ca="1" si="6"/>
        <v>#DIV/0!</v>
      </c>
      <c r="J452" s="20" t="str">
        <f ca="1">IFERROR(__xludf.DUMMYFUNCTION("IF(OR($I452=2, $I452=3), 0, IFERROR(COUNTIFS($C$2:C452, $C452, $A$2:A453, ""&gt;""&amp;IFERROR(MAX(FILTER($A$2:A453, $C$2:C452=$C452, $I$2:I452&lt;&gt;1)), 0), $I$2:I452, 1),1))
"),"#DIV/0!")</f>
        <v>#DIV/0!</v>
      </c>
      <c r="K452" s="20" t="e">
        <f t="shared" ca="1" si="7"/>
        <v>#DIV/0!</v>
      </c>
      <c r="L452" s="20" t="e">
        <f t="shared" ca="1" si="8"/>
        <v>#DIV/0!</v>
      </c>
      <c r="M452" s="21" t="e">
        <f t="shared" ca="1" si="9"/>
        <v>#DIV/0!</v>
      </c>
      <c r="N452" s="20" t="str">
        <f ca="1">IFERROR(__xludf.DUMMYFUNCTION("IF(COUNTIFS($C$2:C452, C452, $A$2:A452, ""&lt;="" &amp; A452) &lt; 30, STDEV.P(FILTER($G$2:G452, $C$2:C452 = C452)), STDEV.P(FILTER($G$2:G452, $C$2:C452 = C452, $A$2:A452 &gt;= A452 - 30)))
"),"#DIV/0!")</f>
        <v>#DIV/0!</v>
      </c>
    </row>
    <row r="453" spans="1:14" x14ac:dyDescent="0.2">
      <c r="A453" s="38"/>
      <c r="B453" s="40"/>
      <c r="C453" s="35"/>
      <c r="D453" s="19"/>
      <c r="E453" s="19"/>
      <c r="F453" s="19"/>
      <c r="G453" s="19" t="e">
        <f t="shared" si="5"/>
        <v>#DIV/0!</v>
      </c>
      <c r="H453" s="20" t="str">
        <f ca="1">IFERROR(__xludf.DUMMYFUNCTION("IF(COUNTIFS($C$2:C453, C453, $A$2:A453, ""&lt;="" &amp; A453) &lt; 30, AVERAGEIF($C$2:C453, C453, $G$2:G453), AVERAGE(FILTER($G$2:G453, $C$2:C453 = C453, $A$2:A453 &gt;= A453 - 30)))
"),"#DIV/0!")</f>
        <v>#DIV/0!</v>
      </c>
      <c r="I453" s="20" t="e">
        <f t="shared" ca="1" si="6"/>
        <v>#DIV/0!</v>
      </c>
      <c r="J453" s="20" t="str">
        <f ca="1">IFERROR(__xludf.DUMMYFUNCTION("IF(OR($I453=2, $I453=3), 0, IFERROR(COUNTIFS($C$2:C453, $C453, $A$2:A454, ""&gt;""&amp;IFERROR(MAX(FILTER($A$2:A454, $C$2:C453=$C453, $I$2:I453&lt;&gt;1)), 0), $I$2:I453, 1),1))
"),"#DIV/0!")</f>
        <v>#DIV/0!</v>
      </c>
      <c r="K453" s="20" t="e">
        <f t="shared" ca="1" si="7"/>
        <v>#DIV/0!</v>
      </c>
      <c r="L453" s="20" t="e">
        <f t="shared" ca="1" si="8"/>
        <v>#DIV/0!</v>
      </c>
      <c r="M453" s="21" t="e">
        <f t="shared" ca="1" si="9"/>
        <v>#DIV/0!</v>
      </c>
      <c r="N453" s="20" t="str">
        <f ca="1">IFERROR(__xludf.DUMMYFUNCTION("IF(COUNTIFS($C$2:C453, C453, $A$2:A453, ""&lt;="" &amp; A453) &lt; 30, STDEV.P(FILTER($G$2:G453, $C$2:C453 = C453)), STDEV.P(FILTER($G$2:G453, $C$2:C453 = C453, $A$2:A453 &gt;= A453 - 30)))
"),"#DIV/0!")</f>
        <v>#DIV/0!</v>
      </c>
    </row>
    <row r="454" spans="1:14" x14ac:dyDescent="0.2">
      <c r="A454" s="38"/>
      <c r="B454" s="40"/>
      <c r="C454" s="35"/>
      <c r="D454" s="19"/>
      <c r="E454" s="19"/>
      <c r="F454" s="19"/>
      <c r="G454" s="19" t="e">
        <f t="shared" si="5"/>
        <v>#DIV/0!</v>
      </c>
      <c r="H454" s="20" t="str">
        <f ca="1">IFERROR(__xludf.DUMMYFUNCTION("IF(COUNTIFS($C$2:C454, C454, $A$2:A454, ""&lt;="" &amp; A454) &lt; 30, AVERAGEIF($C$2:C454, C454, $G$2:G454), AVERAGE(FILTER($G$2:G454, $C$2:C454 = C454, $A$2:A454 &gt;= A454 - 30)))
"),"#DIV/0!")</f>
        <v>#DIV/0!</v>
      </c>
      <c r="I454" s="20" t="e">
        <f t="shared" ca="1" si="6"/>
        <v>#DIV/0!</v>
      </c>
      <c r="J454" s="20" t="str">
        <f ca="1">IFERROR(__xludf.DUMMYFUNCTION("IF(OR($I454=2, $I454=3), 0, IFERROR(COUNTIFS($C$2:C454, $C454, $A$2:A455, ""&gt;""&amp;IFERROR(MAX(FILTER($A$2:A455, $C$2:C454=$C454, $I$2:I454&lt;&gt;1)), 0), $I$2:I454, 1),1))
"),"#DIV/0!")</f>
        <v>#DIV/0!</v>
      </c>
      <c r="K454" s="20" t="e">
        <f t="shared" ca="1" si="7"/>
        <v>#DIV/0!</v>
      </c>
      <c r="L454" s="20" t="e">
        <f t="shared" ca="1" si="8"/>
        <v>#DIV/0!</v>
      </c>
      <c r="M454" s="21" t="e">
        <f t="shared" ca="1" si="9"/>
        <v>#DIV/0!</v>
      </c>
      <c r="N454" s="20" t="str">
        <f ca="1">IFERROR(__xludf.DUMMYFUNCTION("IF(COUNTIFS($C$2:C454, C454, $A$2:A454, ""&lt;="" &amp; A454) &lt; 30, STDEV.P(FILTER($G$2:G454, $C$2:C454 = C454)), STDEV.P(FILTER($G$2:G454, $C$2:C454 = C454, $A$2:A454 &gt;= A454 - 30)))
"),"#DIV/0!")</f>
        <v>#DIV/0!</v>
      </c>
    </row>
    <row r="455" spans="1:14" x14ac:dyDescent="0.2">
      <c r="A455" s="38"/>
      <c r="B455" s="40"/>
      <c r="C455" s="35"/>
      <c r="D455" s="19"/>
      <c r="E455" s="19"/>
      <c r="F455" s="19"/>
      <c r="G455" s="19" t="e">
        <f t="shared" si="5"/>
        <v>#DIV/0!</v>
      </c>
      <c r="H455" s="20" t="str">
        <f ca="1">IFERROR(__xludf.DUMMYFUNCTION("IF(COUNTIFS($C$2:C455, C455, $A$2:A455, ""&lt;="" &amp; A455) &lt; 30, AVERAGEIF($C$2:C455, C455, $G$2:G455), AVERAGE(FILTER($G$2:G455, $C$2:C455 = C455, $A$2:A455 &gt;= A455 - 30)))
"),"#DIV/0!")</f>
        <v>#DIV/0!</v>
      </c>
      <c r="I455" s="20" t="e">
        <f t="shared" ca="1" si="6"/>
        <v>#DIV/0!</v>
      </c>
      <c r="J455" s="20" t="str">
        <f ca="1">IFERROR(__xludf.DUMMYFUNCTION("IF(OR($I455=2, $I455=3), 0, IFERROR(COUNTIFS($C$2:C455, $C455, $A$2:A456, ""&gt;""&amp;IFERROR(MAX(FILTER($A$2:A456, $C$2:C455=$C455, $I$2:I455&lt;&gt;1)), 0), $I$2:I455, 1),1))
"),"#DIV/0!")</f>
        <v>#DIV/0!</v>
      </c>
      <c r="K455" s="20" t="e">
        <f t="shared" ca="1" si="7"/>
        <v>#DIV/0!</v>
      </c>
      <c r="L455" s="20" t="e">
        <f t="shared" ca="1" si="8"/>
        <v>#DIV/0!</v>
      </c>
      <c r="M455" s="21" t="e">
        <f t="shared" ca="1" si="9"/>
        <v>#DIV/0!</v>
      </c>
      <c r="N455" s="20" t="str">
        <f ca="1">IFERROR(__xludf.DUMMYFUNCTION("IF(COUNTIFS($C$2:C455, C455, $A$2:A455, ""&lt;="" &amp; A455) &lt; 30, STDEV.P(FILTER($G$2:G455, $C$2:C455 = C455)), STDEV.P(FILTER($G$2:G455, $C$2:C455 = C455, $A$2:A455 &gt;= A455 - 30)))
"),"#DIV/0!")</f>
        <v>#DIV/0!</v>
      </c>
    </row>
    <row r="456" spans="1:14" x14ac:dyDescent="0.2">
      <c r="A456" s="38"/>
      <c r="B456" s="40"/>
      <c r="C456" s="35"/>
      <c r="D456" s="19"/>
      <c r="E456" s="19"/>
      <c r="F456" s="19"/>
      <c r="G456" s="19" t="e">
        <f t="shared" si="5"/>
        <v>#DIV/0!</v>
      </c>
      <c r="H456" s="20" t="str">
        <f ca="1">IFERROR(__xludf.DUMMYFUNCTION("IF(COUNTIFS($C$2:C456, C456, $A$2:A456, ""&lt;="" &amp; A456) &lt; 30, AVERAGEIF($C$2:C456, C456, $G$2:G456), AVERAGE(FILTER($G$2:G456, $C$2:C456 = C456, $A$2:A456 &gt;= A456 - 30)))
"),"#DIV/0!")</f>
        <v>#DIV/0!</v>
      </c>
      <c r="I456" s="20" t="e">
        <f t="shared" ca="1" si="6"/>
        <v>#DIV/0!</v>
      </c>
      <c r="J456" s="20" t="str">
        <f ca="1">IFERROR(__xludf.DUMMYFUNCTION("IF(OR($I456=2, $I456=3), 0, IFERROR(COUNTIFS($C$2:C456, $C456, $A$2:A457, ""&gt;""&amp;IFERROR(MAX(FILTER($A$2:A457, $C$2:C456=$C456, $I$2:I456&lt;&gt;1)), 0), $I$2:I456, 1),1))
"),"#DIV/0!")</f>
        <v>#DIV/0!</v>
      </c>
      <c r="K456" s="20" t="e">
        <f t="shared" ca="1" si="7"/>
        <v>#DIV/0!</v>
      </c>
      <c r="L456" s="20" t="e">
        <f t="shared" ca="1" si="8"/>
        <v>#DIV/0!</v>
      </c>
      <c r="M456" s="21" t="e">
        <f t="shared" ca="1" si="9"/>
        <v>#DIV/0!</v>
      </c>
      <c r="N456" s="20" t="str">
        <f ca="1">IFERROR(__xludf.DUMMYFUNCTION("IF(COUNTIFS($C$2:C456, C456, $A$2:A456, ""&lt;="" &amp; A456) &lt; 30, STDEV.P(FILTER($G$2:G456, $C$2:C456 = C456)), STDEV.P(FILTER($G$2:G456, $C$2:C456 = C456, $A$2:A456 &gt;= A456 - 30)))
"),"#DIV/0!")</f>
        <v>#DIV/0!</v>
      </c>
    </row>
    <row r="457" spans="1:14" x14ac:dyDescent="0.2">
      <c r="A457" s="38"/>
      <c r="B457" s="40"/>
      <c r="C457" s="35"/>
      <c r="D457" s="19"/>
      <c r="E457" s="19"/>
      <c r="F457" s="19"/>
      <c r="G457" s="19" t="e">
        <f t="shared" si="5"/>
        <v>#DIV/0!</v>
      </c>
      <c r="H457" s="20" t="str">
        <f ca="1">IFERROR(__xludf.DUMMYFUNCTION("IF(COUNTIFS($C$2:C457, C457, $A$2:A457, ""&lt;="" &amp; A457) &lt; 30, AVERAGEIF($C$2:C457, C457, $G$2:G457), AVERAGE(FILTER($G$2:G457, $C$2:C457 = C457, $A$2:A457 &gt;= A457 - 30)))
"),"#DIV/0!")</f>
        <v>#DIV/0!</v>
      </c>
      <c r="I457" s="20" t="e">
        <f t="shared" ca="1" si="6"/>
        <v>#DIV/0!</v>
      </c>
      <c r="J457" s="20" t="str">
        <f ca="1">IFERROR(__xludf.DUMMYFUNCTION("IF(OR($I457=2, $I457=3), 0, IFERROR(COUNTIFS($C$2:C457, $C457, $A$2:A458, ""&gt;""&amp;IFERROR(MAX(FILTER($A$2:A458, $C$2:C457=$C457, $I$2:I457&lt;&gt;1)), 0), $I$2:I457, 1),1))
"),"#DIV/0!")</f>
        <v>#DIV/0!</v>
      </c>
      <c r="K457" s="20" t="e">
        <f t="shared" ca="1" si="7"/>
        <v>#DIV/0!</v>
      </c>
      <c r="L457" s="20" t="e">
        <f t="shared" ca="1" si="8"/>
        <v>#DIV/0!</v>
      </c>
      <c r="M457" s="21" t="e">
        <f t="shared" ca="1" si="9"/>
        <v>#DIV/0!</v>
      </c>
      <c r="N457" s="20" t="str">
        <f ca="1">IFERROR(__xludf.DUMMYFUNCTION("IF(COUNTIFS($C$2:C457, C457, $A$2:A457, ""&lt;="" &amp; A457) &lt; 30, STDEV.P(FILTER($G$2:G457, $C$2:C457 = C457)), STDEV.P(FILTER($G$2:G457, $C$2:C457 = C457, $A$2:A457 &gt;= A457 - 30)))
"),"#DIV/0!")</f>
        <v>#DIV/0!</v>
      </c>
    </row>
    <row r="458" spans="1:14" x14ac:dyDescent="0.2">
      <c r="A458" s="38"/>
      <c r="B458" s="40"/>
      <c r="C458" s="35"/>
      <c r="D458" s="19"/>
      <c r="E458" s="19"/>
      <c r="F458" s="19"/>
      <c r="G458" s="19" t="e">
        <f t="shared" si="5"/>
        <v>#DIV/0!</v>
      </c>
      <c r="H458" s="20" t="str">
        <f ca="1">IFERROR(__xludf.DUMMYFUNCTION("IF(COUNTIFS($C$2:C458, C458, $A$2:A458, ""&lt;="" &amp; A458) &lt; 30, AVERAGEIF($C$2:C458, C458, $G$2:G458), AVERAGE(FILTER($G$2:G458, $C$2:C458 = C458, $A$2:A458 &gt;= A458 - 30)))
"),"#DIV/0!")</f>
        <v>#DIV/0!</v>
      </c>
      <c r="I458" s="20" t="e">
        <f t="shared" ca="1" si="6"/>
        <v>#DIV/0!</v>
      </c>
      <c r="J458" s="20" t="str">
        <f ca="1">IFERROR(__xludf.DUMMYFUNCTION("IF(OR($I458=2, $I458=3), 0, IFERROR(COUNTIFS($C$2:C458, $C458, $A$2:A459, ""&gt;""&amp;IFERROR(MAX(FILTER($A$2:A459, $C$2:C458=$C458, $I$2:I458&lt;&gt;1)), 0), $I$2:I458, 1),1))
"),"#DIV/0!")</f>
        <v>#DIV/0!</v>
      </c>
      <c r="K458" s="20" t="e">
        <f t="shared" ca="1" si="7"/>
        <v>#DIV/0!</v>
      </c>
      <c r="L458" s="20" t="e">
        <f t="shared" ca="1" si="8"/>
        <v>#DIV/0!</v>
      </c>
      <c r="M458" s="21" t="e">
        <f t="shared" ca="1" si="9"/>
        <v>#DIV/0!</v>
      </c>
      <c r="N458" s="20" t="str">
        <f ca="1">IFERROR(__xludf.DUMMYFUNCTION("IF(COUNTIFS($C$2:C458, C458, $A$2:A458, ""&lt;="" &amp; A458) &lt; 30, STDEV.P(FILTER($G$2:G458, $C$2:C458 = C458)), STDEV.P(FILTER($G$2:G458, $C$2:C458 = C458, $A$2:A458 &gt;= A458 - 30)))
"),"#DIV/0!")</f>
        <v>#DIV/0!</v>
      </c>
    </row>
    <row r="459" spans="1:14" x14ac:dyDescent="0.2">
      <c r="A459" s="38"/>
      <c r="B459" s="40"/>
      <c r="C459" s="35"/>
      <c r="D459" s="19"/>
      <c r="E459" s="19"/>
      <c r="F459" s="19"/>
      <c r="G459" s="19" t="e">
        <f t="shared" si="5"/>
        <v>#DIV/0!</v>
      </c>
      <c r="H459" s="20" t="str">
        <f ca="1">IFERROR(__xludf.DUMMYFUNCTION("IF(COUNTIFS($C$2:C459, C459, $A$2:A459, ""&lt;="" &amp; A459) &lt; 30, AVERAGEIF($C$2:C459, C459, $G$2:G459), AVERAGE(FILTER($G$2:G459, $C$2:C459 = C459, $A$2:A459 &gt;= A459 - 30)))
"),"#DIV/0!")</f>
        <v>#DIV/0!</v>
      </c>
      <c r="I459" s="20" t="e">
        <f t="shared" ca="1" si="6"/>
        <v>#DIV/0!</v>
      </c>
      <c r="J459" s="20" t="str">
        <f ca="1">IFERROR(__xludf.DUMMYFUNCTION("IF(OR($I459=2, $I459=3), 0, IFERROR(COUNTIFS($C$2:C459, $C459, $A$2:A460, ""&gt;""&amp;IFERROR(MAX(FILTER($A$2:A460, $C$2:C459=$C459, $I$2:I459&lt;&gt;1)), 0), $I$2:I459, 1),1))
"),"#DIV/0!")</f>
        <v>#DIV/0!</v>
      </c>
      <c r="K459" s="20" t="e">
        <f t="shared" ca="1" si="7"/>
        <v>#DIV/0!</v>
      </c>
      <c r="L459" s="20" t="e">
        <f t="shared" ca="1" si="8"/>
        <v>#DIV/0!</v>
      </c>
      <c r="M459" s="21" t="e">
        <f t="shared" ca="1" si="9"/>
        <v>#DIV/0!</v>
      </c>
      <c r="N459" s="20" t="str">
        <f ca="1">IFERROR(__xludf.DUMMYFUNCTION("IF(COUNTIFS($C$2:C459, C459, $A$2:A459, ""&lt;="" &amp; A459) &lt; 30, STDEV.P(FILTER($G$2:G459, $C$2:C459 = C459)), STDEV.P(FILTER($G$2:G459, $C$2:C459 = C459, $A$2:A459 &gt;= A459 - 30)))
"),"#DIV/0!")</f>
        <v>#DIV/0!</v>
      </c>
    </row>
    <row r="460" spans="1:14" x14ac:dyDescent="0.2">
      <c r="A460" s="38"/>
      <c r="B460" s="40"/>
      <c r="C460" s="35"/>
      <c r="D460" s="19"/>
      <c r="E460" s="19"/>
      <c r="F460" s="19"/>
      <c r="G460" s="19" t="e">
        <f t="shared" si="5"/>
        <v>#DIV/0!</v>
      </c>
      <c r="H460" s="20" t="str">
        <f ca="1">IFERROR(__xludf.DUMMYFUNCTION("IF(COUNTIFS($C$2:C460, C460, $A$2:A460, ""&lt;="" &amp; A460) &lt; 30, AVERAGEIF($C$2:C460, C460, $G$2:G460), AVERAGE(FILTER($G$2:G460, $C$2:C460 = C460, $A$2:A460 &gt;= A460 - 30)))
"),"#DIV/0!")</f>
        <v>#DIV/0!</v>
      </c>
      <c r="I460" s="20" t="e">
        <f t="shared" ca="1" si="6"/>
        <v>#DIV/0!</v>
      </c>
      <c r="J460" s="20" t="str">
        <f ca="1">IFERROR(__xludf.DUMMYFUNCTION("IF(OR($I460=2, $I460=3), 0, IFERROR(COUNTIFS($C$2:C460, $C460, $A$2:A461, ""&gt;""&amp;IFERROR(MAX(FILTER($A$2:A461, $C$2:C460=$C460, $I$2:I460&lt;&gt;1)), 0), $I$2:I460, 1),1))
"),"#DIV/0!")</f>
        <v>#DIV/0!</v>
      </c>
      <c r="K460" s="20" t="e">
        <f t="shared" ca="1" si="7"/>
        <v>#DIV/0!</v>
      </c>
      <c r="L460" s="20" t="e">
        <f t="shared" ca="1" si="8"/>
        <v>#DIV/0!</v>
      </c>
      <c r="M460" s="21" t="e">
        <f t="shared" ca="1" si="9"/>
        <v>#DIV/0!</v>
      </c>
      <c r="N460" s="20" t="str">
        <f ca="1">IFERROR(__xludf.DUMMYFUNCTION("IF(COUNTIFS($C$2:C460, C460, $A$2:A460, ""&lt;="" &amp; A460) &lt; 30, STDEV.P(FILTER($G$2:G460, $C$2:C460 = C460)), STDEV.P(FILTER($G$2:G460, $C$2:C460 = C460, $A$2:A460 &gt;= A460 - 30)))
"),"#DIV/0!")</f>
        <v>#DIV/0!</v>
      </c>
    </row>
    <row r="461" spans="1:14" x14ac:dyDescent="0.2">
      <c r="A461" s="38"/>
      <c r="B461" s="40"/>
      <c r="C461" s="35"/>
      <c r="D461" s="19"/>
      <c r="E461" s="19"/>
      <c r="F461" s="19"/>
      <c r="G461" s="19" t="e">
        <f t="shared" si="5"/>
        <v>#DIV/0!</v>
      </c>
      <c r="H461" s="20" t="str">
        <f ca="1">IFERROR(__xludf.DUMMYFUNCTION("IF(COUNTIFS($C$2:C461, C461, $A$2:A461, ""&lt;="" &amp; A461) &lt; 30, AVERAGEIF($C$2:C461, C461, $G$2:G461), AVERAGE(FILTER($G$2:G461, $C$2:C461 = C461, $A$2:A461 &gt;= A461 - 30)))
"),"#DIV/0!")</f>
        <v>#DIV/0!</v>
      </c>
      <c r="I461" s="20" t="e">
        <f t="shared" ca="1" si="6"/>
        <v>#DIV/0!</v>
      </c>
      <c r="J461" s="20" t="str">
        <f ca="1">IFERROR(__xludf.DUMMYFUNCTION("IF(OR($I461=2, $I461=3), 0, IFERROR(COUNTIFS($C$2:C461, $C461, $A$2:A462, ""&gt;""&amp;IFERROR(MAX(FILTER($A$2:A462, $C$2:C461=$C461, $I$2:I461&lt;&gt;1)), 0), $I$2:I461, 1),1))
"),"#DIV/0!")</f>
        <v>#DIV/0!</v>
      </c>
      <c r="K461" s="20" t="e">
        <f t="shared" ca="1" si="7"/>
        <v>#DIV/0!</v>
      </c>
      <c r="L461" s="20" t="e">
        <f t="shared" ca="1" si="8"/>
        <v>#DIV/0!</v>
      </c>
      <c r="M461" s="21" t="e">
        <f t="shared" ca="1" si="9"/>
        <v>#DIV/0!</v>
      </c>
      <c r="N461" s="20" t="str">
        <f ca="1">IFERROR(__xludf.DUMMYFUNCTION("IF(COUNTIFS($C$2:C461, C461, $A$2:A461, ""&lt;="" &amp; A461) &lt; 30, STDEV.P(FILTER($G$2:G461, $C$2:C461 = C461)), STDEV.P(FILTER($G$2:G461, $C$2:C461 = C461, $A$2:A461 &gt;= A461 - 30)))
"),"#DIV/0!")</f>
        <v>#DIV/0!</v>
      </c>
    </row>
    <row r="462" spans="1:14" x14ac:dyDescent="0.2">
      <c r="A462" s="38"/>
      <c r="B462" s="40"/>
      <c r="C462" s="35"/>
      <c r="D462" s="19"/>
      <c r="E462" s="19"/>
      <c r="F462" s="19"/>
      <c r="G462" s="19" t="e">
        <f t="shared" si="5"/>
        <v>#DIV/0!</v>
      </c>
      <c r="H462" s="20" t="str">
        <f ca="1">IFERROR(__xludf.DUMMYFUNCTION("IF(COUNTIFS($C$2:C462, C462, $A$2:A462, ""&lt;="" &amp; A462) &lt; 30, AVERAGEIF($C$2:C462, C462, $G$2:G462), AVERAGE(FILTER($G$2:G462, $C$2:C462 = C462, $A$2:A462 &gt;= A462 - 30)))
"),"#DIV/0!")</f>
        <v>#DIV/0!</v>
      </c>
      <c r="I462" s="20" t="e">
        <f t="shared" ca="1" si="6"/>
        <v>#DIV/0!</v>
      </c>
      <c r="J462" s="20" t="str">
        <f ca="1">IFERROR(__xludf.DUMMYFUNCTION("IF(OR($I462=2, $I462=3), 0, IFERROR(COUNTIFS($C$2:C462, $C462, $A$2:A463, ""&gt;""&amp;IFERROR(MAX(FILTER($A$2:A463, $C$2:C462=$C462, $I$2:I462&lt;&gt;1)), 0), $I$2:I462, 1),1))
"),"#DIV/0!")</f>
        <v>#DIV/0!</v>
      </c>
      <c r="K462" s="20" t="e">
        <f t="shared" ca="1" si="7"/>
        <v>#DIV/0!</v>
      </c>
      <c r="L462" s="20" t="e">
        <f t="shared" ca="1" si="8"/>
        <v>#DIV/0!</v>
      </c>
      <c r="M462" s="21" t="e">
        <f t="shared" ca="1" si="9"/>
        <v>#DIV/0!</v>
      </c>
      <c r="N462" s="20" t="str">
        <f ca="1">IFERROR(__xludf.DUMMYFUNCTION("IF(COUNTIFS($C$2:C462, C462, $A$2:A462, ""&lt;="" &amp; A462) &lt; 30, STDEV.P(FILTER($G$2:G462, $C$2:C462 = C462)), STDEV.P(FILTER($G$2:G462, $C$2:C462 = C462, $A$2:A462 &gt;= A462 - 30)))
"),"#DIV/0!")</f>
        <v>#DIV/0!</v>
      </c>
    </row>
    <row r="463" spans="1:14" x14ac:dyDescent="0.2">
      <c r="A463" s="38"/>
      <c r="B463" s="40"/>
      <c r="C463" s="35"/>
      <c r="D463" s="19"/>
      <c r="E463" s="19"/>
      <c r="F463" s="19"/>
      <c r="G463" s="19" t="e">
        <f t="shared" si="5"/>
        <v>#DIV/0!</v>
      </c>
      <c r="H463" s="20" t="str">
        <f ca="1">IFERROR(__xludf.DUMMYFUNCTION("IF(COUNTIFS($C$2:C463, C463, $A$2:A463, ""&lt;="" &amp; A463) &lt; 30, AVERAGEIF($C$2:C463, C463, $G$2:G463), AVERAGE(FILTER($G$2:G463, $C$2:C463 = C463, $A$2:A463 &gt;= A463 - 30)))
"),"#DIV/0!")</f>
        <v>#DIV/0!</v>
      </c>
      <c r="I463" s="20" t="e">
        <f t="shared" ca="1" si="6"/>
        <v>#DIV/0!</v>
      </c>
      <c r="J463" s="20" t="str">
        <f ca="1">IFERROR(__xludf.DUMMYFUNCTION("IF(OR($I463=2, $I463=3), 0, IFERROR(COUNTIFS($C$2:C463, $C463, $A$2:A464, ""&gt;""&amp;IFERROR(MAX(FILTER($A$2:A464, $C$2:C463=$C463, $I$2:I463&lt;&gt;1)), 0), $I$2:I463, 1),1))
"),"#DIV/0!")</f>
        <v>#DIV/0!</v>
      </c>
      <c r="K463" s="20" t="e">
        <f t="shared" ca="1" si="7"/>
        <v>#DIV/0!</v>
      </c>
      <c r="L463" s="20" t="e">
        <f t="shared" ca="1" si="8"/>
        <v>#DIV/0!</v>
      </c>
      <c r="M463" s="21" t="e">
        <f t="shared" ca="1" si="9"/>
        <v>#DIV/0!</v>
      </c>
      <c r="N463" s="20" t="str">
        <f ca="1">IFERROR(__xludf.DUMMYFUNCTION("IF(COUNTIFS($C$2:C463, C463, $A$2:A463, ""&lt;="" &amp; A463) &lt; 30, STDEV.P(FILTER($G$2:G463, $C$2:C463 = C463)), STDEV.P(FILTER($G$2:G463, $C$2:C463 = C463, $A$2:A463 &gt;= A463 - 30)))
"),"#DIV/0!")</f>
        <v>#DIV/0!</v>
      </c>
    </row>
    <row r="464" spans="1:14" x14ac:dyDescent="0.2">
      <c r="A464" s="38"/>
      <c r="B464" s="40"/>
      <c r="C464" s="35"/>
      <c r="D464" s="19"/>
      <c r="E464" s="19"/>
      <c r="F464" s="19"/>
      <c r="G464" s="19" t="e">
        <f t="shared" si="5"/>
        <v>#DIV/0!</v>
      </c>
      <c r="H464" s="20" t="str">
        <f ca="1">IFERROR(__xludf.DUMMYFUNCTION("IF(COUNTIFS($C$2:C464, C464, $A$2:A464, ""&lt;="" &amp; A464) &lt; 30, AVERAGEIF($C$2:C464, C464, $G$2:G464), AVERAGE(FILTER($G$2:G464, $C$2:C464 = C464, $A$2:A464 &gt;= A464 - 30)))
"),"#DIV/0!")</f>
        <v>#DIV/0!</v>
      </c>
      <c r="I464" s="20" t="e">
        <f t="shared" ca="1" si="6"/>
        <v>#DIV/0!</v>
      </c>
      <c r="J464" s="20" t="str">
        <f ca="1">IFERROR(__xludf.DUMMYFUNCTION("IF(OR($I464=2, $I464=3), 0, IFERROR(COUNTIFS($C$2:C464, $C464, $A$2:A465, ""&gt;""&amp;IFERROR(MAX(FILTER($A$2:A465, $C$2:C464=$C464, $I$2:I464&lt;&gt;1)), 0), $I$2:I464, 1),1))
"),"#DIV/0!")</f>
        <v>#DIV/0!</v>
      </c>
      <c r="K464" s="20" t="e">
        <f t="shared" ca="1" si="7"/>
        <v>#DIV/0!</v>
      </c>
      <c r="L464" s="20" t="e">
        <f t="shared" ca="1" si="8"/>
        <v>#DIV/0!</v>
      </c>
      <c r="M464" s="21" t="e">
        <f t="shared" ca="1" si="9"/>
        <v>#DIV/0!</v>
      </c>
      <c r="N464" s="20" t="str">
        <f ca="1">IFERROR(__xludf.DUMMYFUNCTION("IF(COUNTIFS($C$2:C464, C464, $A$2:A464, ""&lt;="" &amp; A464) &lt; 30, STDEV.P(FILTER($G$2:G464, $C$2:C464 = C464)), STDEV.P(FILTER($G$2:G464, $C$2:C464 = C464, $A$2:A464 &gt;= A464 - 30)))
"),"#DIV/0!")</f>
        <v>#DIV/0!</v>
      </c>
    </row>
    <row r="465" spans="1:14" x14ac:dyDescent="0.2">
      <c r="A465" s="38"/>
      <c r="B465" s="40"/>
      <c r="C465" s="35"/>
      <c r="D465" s="19"/>
      <c r="E465" s="19"/>
      <c r="F465" s="19"/>
      <c r="G465" s="19" t="e">
        <f t="shared" si="5"/>
        <v>#DIV/0!</v>
      </c>
      <c r="H465" s="20" t="str">
        <f ca="1">IFERROR(__xludf.DUMMYFUNCTION("IF(COUNTIFS($C$2:C465, C465, $A$2:A465, ""&lt;="" &amp; A465) &lt; 30, AVERAGEIF($C$2:C465, C465, $G$2:G465), AVERAGE(FILTER($G$2:G465, $C$2:C465 = C465, $A$2:A465 &gt;= A465 - 30)))
"),"#DIV/0!")</f>
        <v>#DIV/0!</v>
      </c>
      <c r="I465" s="20" t="e">
        <f t="shared" ca="1" si="6"/>
        <v>#DIV/0!</v>
      </c>
      <c r="J465" s="20" t="str">
        <f ca="1">IFERROR(__xludf.DUMMYFUNCTION("IF(OR($I465=2, $I465=3), 0, IFERROR(COUNTIFS($C$2:C465, $C465, $A$2:A466, ""&gt;""&amp;IFERROR(MAX(FILTER($A$2:A466, $C$2:C465=$C465, $I$2:I465&lt;&gt;1)), 0), $I$2:I465, 1),1))
"),"#DIV/0!")</f>
        <v>#DIV/0!</v>
      </c>
      <c r="K465" s="20" t="e">
        <f t="shared" ca="1" si="7"/>
        <v>#DIV/0!</v>
      </c>
      <c r="L465" s="20" t="e">
        <f t="shared" ca="1" si="8"/>
        <v>#DIV/0!</v>
      </c>
      <c r="M465" s="21" t="e">
        <f t="shared" ca="1" si="9"/>
        <v>#DIV/0!</v>
      </c>
      <c r="N465" s="20" t="str">
        <f ca="1">IFERROR(__xludf.DUMMYFUNCTION("IF(COUNTIFS($C$2:C465, C465, $A$2:A465, ""&lt;="" &amp; A465) &lt; 30, STDEV.P(FILTER($G$2:G465, $C$2:C465 = C465)), STDEV.P(FILTER($G$2:G465, $C$2:C465 = C465, $A$2:A465 &gt;= A465 - 30)))
"),"#DIV/0!")</f>
        <v>#DIV/0!</v>
      </c>
    </row>
    <row r="466" spans="1:14" x14ac:dyDescent="0.2">
      <c r="A466" s="38"/>
      <c r="B466" s="40"/>
      <c r="C466" s="35"/>
      <c r="D466" s="19"/>
      <c r="E466" s="19"/>
      <c r="F466" s="19"/>
      <c r="G466" s="19" t="e">
        <f t="shared" si="5"/>
        <v>#DIV/0!</v>
      </c>
      <c r="H466" s="20" t="str">
        <f ca="1">IFERROR(__xludf.DUMMYFUNCTION("IF(COUNTIFS($C$2:C466, C466, $A$2:A466, ""&lt;="" &amp; A466) &lt; 30, AVERAGEIF($C$2:C466, C466, $G$2:G466), AVERAGE(FILTER($G$2:G466, $C$2:C466 = C466, $A$2:A466 &gt;= A466 - 30)))
"),"#DIV/0!")</f>
        <v>#DIV/0!</v>
      </c>
      <c r="I466" s="20" t="e">
        <f t="shared" ca="1" si="6"/>
        <v>#DIV/0!</v>
      </c>
      <c r="J466" s="20" t="str">
        <f ca="1">IFERROR(__xludf.DUMMYFUNCTION("IF(OR($I466=2, $I466=3), 0, IFERROR(COUNTIFS($C$2:C466, $C466, $A$2:A467, ""&gt;""&amp;IFERROR(MAX(FILTER($A$2:A467, $C$2:C466=$C466, $I$2:I466&lt;&gt;1)), 0), $I$2:I466, 1),1))
"),"#DIV/0!")</f>
        <v>#DIV/0!</v>
      </c>
      <c r="K466" s="20" t="e">
        <f t="shared" ca="1" si="7"/>
        <v>#DIV/0!</v>
      </c>
      <c r="L466" s="20" t="e">
        <f t="shared" ca="1" si="8"/>
        <v>#DIV/0!</v>
      </c>
      <c r="M466" s="21" t="e">
        <f t="shared" ca="1" si="9"/>
        <v>#DIV/0!</v>
      </c>
      <c r="N466" s="20" t="str">
        <f ca="1">IFERROR(__xludf.DUMMYFUNCTION("IF(COUNTIFS($C$2:C466, C466, $A$2:A466, ""&lt;="" &amp; A466) &lt; 30, STDEV.P(FILTER($G$2:G466, $C$2:C466 = C466)), STDEV.P(FILTER($G$2:G466, $C$2:C466 = C466, $A$2:A466 &gt;= A466 - 30)))
"),"#DIV/0!")</f>
        <v>#DIV/0!</v>
      </c>
    </row>
    <row r="467" spans="1:14" x14ac:dyDescent="0.2">
      <c r="A467" s="38"/>
      <c r="B467" s="40"/>
      <c r="C467" s="35"/>
      <c r="D467" s="19"/>
      <c r="E467" s="19"/>
      <c r="F467" s="19"/>
      <c r="G467" s="19" t="e">
        <f t="shared" si="5"/>
        <v>#DIV/0!</v>
      </c>
      <c r="H467" s="20" t="str">
        <f ca="1">IFERROR(__xludf.DUMMYFUNCTION("IF(COUNTIFS($C$2:C467, C467, $A$2:A467, ""&lt;="" &amp; A467) &lt; 30, AVERAGEIF($C$2:C467, C467, $G$2:G467), AVERAGE(FILTER($G$2:G467, $C$2:C467 = C467, $A$2:A467 &gt;= A467 - 30)))
"),"#DIV/0!")</f>
        <v>#DIV/0!</v>
      </c>
      <c r="I467" s="20" t="e">
        <f t="shared" ca="1" si="6"/>
        <v>#DIV/0!</v>
      </c>
      <c r="J467" s="20" t="str">
        <f ca="1">IFERROR(__xludf.DUMMYFUNCTION("IF(OR($I467=2, $I467=3), 0, IFERROR(COUNTIFS($C$2:C467, $C467, $A$2:A468, ""&gt;""&amp;IFERROR(MAX(FILTER($A$2:A468, $C$2:C467=$C467, $I$2:I467&lt;&gt;1)), 0), $I$2:I467, 1),1))
"),"#DIV/0!")</f>
        <v>#DIV/0!</v>
      </c>
      <c r="K467" s="20" t="e">
        <f t="shared" ca="1" si="7"/>
        <v>#DIV/0!</v>
      </c>
      <c r="L467" s="20" t="e">
        <f t="shared" ca="1" si="8"/>
        <v>#DIV/0!</v>
      </c>
      <c r="M467" s="21" t="e">
        <f t="shared" ca="1" si="9"/>
        <v>#DIV/0!</v>
      </c>
      <c r="N467" s="20" t="str">
        <f ca="1">IFERROR(__xludf.DUMMYFUNCTION("IF(COUNTIFS($C$2:C467, C467, $A$2:A467, ""&lt;="" &amp; A467) &lt; 30, STDEV.P(FILTER($G$2:G467, $C$2:C467 = C467)), STDEV.P(FILTER($G$2:G467, $C$2:C467 = C467, $A$2:A467 &gt;= A467 - 30)))
"),"#DIV/0!")</f>
        <v>#DIV/0!</v>
      </c>
    </row>
    <row r="468" spans="1:14" x14ac:dyDescent="0.2">
      <c r="A468" s="38"/>
      <c r="B468" s="32"/>
      <c r="C468" s="35"/>
      <c r="D468" s="20"/>
      <c r="E468" s="20"/>
      <c r="F468" s="20"/>
      <c r="G468" s="19" t="e">
        <f t="shared" si="5"/>
        <v>#DIV/0!</v>
      </c>
      <c r="H468" s="20" t="str">
        <f ca="1">IFERROR(__xludf.DUMMYFUNCTION("IF(COUNTIFS($C$2:C468, C468, $A$2:A468, ""&lt;="" &amp; A468) &lt; 30, AVERAGEIF($C$2:C468, C468, $G$2:G468), AVERAGE(FILTER($G$2:G468, $C$2:C468 = C468, $A$2:A468 &gt;= A468 - 30)))
"),"#DIV/0!")</f>
        <v>#DIV/0!</v>
      </c>
      <c r="I468" s="20" t="e">
        <f t="shared" ca="1" si="6"/>
        <v>#DIV/0!</v>
      </c>
      <c r="J468" s="20" t="str">
        <f ca="1">IFERROR(__xludf.DUMMYFUNCTION("IF(OR($I468=2, $I468=3), 0, IFERROR(COUNTIFS($C$2:C468, $C468, $A$2:A469, ""&gt;""&amp;IFERROR(MAX(FILTER($A$2:A469, $C$2:C468=$C468, $I$2:I468&lt;&gt;1)), 0), $I$2:I468, 1),1))
"),"#DIV/0!")</f>
        <v>#DIV/0!</v>
      </c>
      <c r="K468" s="20" t="e">
        <f t="shared" ca="1" si="7"/>
        <v>#DIV/0!</v>
      </c>
      <c r="L468" s="20" t="e">
        <f t="shared" ca="1" si="8"/>
        <v>#DIV/0!</v>
      </c>
      <c r="M468" s="21" t="e">
        <f t="shared" ca="1" si="9"/>
        <v>#DIV/0!</v>
      </c>
      <c r="N468" s="20" t="str">
        <f ca="1">IFERROR(__xludf.DUMMYFUNCTION("IF(COUNTIFS($C$2:C468, C468, $A$2:A468, ""&lt;="" &amp; A468) &lt; 30, STDEV.P(FILTER($G$2:G468, $C$2:C468 = C468)), STDEV.P(FILTER($G$2:G468, $C$2:C468 = C468, $A$2:A468 &gt;= A468 - 30)))
"),"#DIV/0!")</f>
        <v>#DIV/0!</v>
      </c>
    </row>
    <row r="469" spans="1:14" x14ac:dyDescent="0.2">
      <c r="A469" s="38"/>
      <c r="B469" s="32"/>
      <c r="C469" s="35"/>
      <c r="D469" s="19"/>
      <c r="E469" s="19"/>
      <c r="F469" s="19"/>
      <c r="G469" s="19" t="e">
        <f t="shared" si="5"/>
        <v>#DIV/0!</v>
      </c>
      <c r="H469" s="20" t="str">
        <f ca="1">IFERROR(__xludf.DUMMYFUNCTION("IF(COUNTIFS($C$2:C469, C469, $A$2:A469, ""&lt;="" &amp; A469) &lt; 30, AVERAGEIF($C$2:C469, C469, $G$2:G469), AVERAGE(FILTER($G$2:G469, $C$2:C469 = C469, $A$2:A469 &gt;= A469 - 30)))
"),"#DIV/0!")</f>
        <v>#DIV/0!</v>
      </c>
      <c r="I469" s="20" t="e">
        <f t="shared" ca="1" si="6"/>
        <v>#DIV/0!</v>
      </c>
      <c r="J469" s="20" t="str">
        <f ca="1">IFERROR(__xludf.DUMMYFUNCTION("IF(OR($I469=2, $I469=3), 0, IFERROR(COUNTIFS($C$2:C469, $C469, $A$2:A470, ""&gt;""&amp;IFERROR(MAX(FILTER($A$2:A470, $C$2:C469=$C469, $I$2:I469&lt;&gt;1)), 0), $I$2:I469, 1),1))
"),"#DIV/0!")</f>
        <v>#DIV/0!</v>
      </c>
      <c r="K469" s="20" t="e">
        <f t="shared" ca="1" si="7"/>
        <v>#DIV/0!</v>
      </c>
      <c r="L469" s="20" t="e">
        <f t="shared" ca="1" si="8"/>
        <v>#DIV/0!</v>
      </c>
      <c r="M469" s="21" t="e">
        <f t="shared" ca="1" si="9"/>
        <v>#DIV/0!</v>
      </c>
      <c r="N469" s="20" t="str">
        <f ca="1">IFERROR(__xludf.DUMMYFUNCTION("IF(COUNTIFS($C$2:C469, C469, $A$2:A469, ""&lt;="" &amp; A469) &lt; 30, STDEV.P(FILTER($G$2:G469, $C$2:C469 = C469)), STDEV.P(FILTER($G$2:G469, $C$2:C469 = C469, $A$2:A469 &gt;= A469 - 30)))
"),"#DIV/0!")</f>
        <v>#DIV/0!</v>
      </c>
    </row>
    <row r="470" spans="1:14" x14ac:dyDescent="0.2">
      <c r="A470" s="38"/>
      <c r="B470" s="32"/>
      <c r="C470" s="35"/>
      <c r="D470" s="19"/>
      <c r="E470" s="19"/>
      <c r="F470" s="19"/>
      <c r="G470" s="19" t="e">
        <f t="shared" si="5"/>
        <v>#DIV/0!</v>
      </c>
      <c r="H470" s="20" t="str">
        <f ca="1">IFERROR(__xludf.DUMMYFUNCTION("IF(COUNTIFS($C$2:C470, C470, $A$2:A470, ""&lt;="" &amp; A470) &lt; 30, AVERAGEIF($C$2:C470, C470, $G$2:G470), AVERAGE(FILTER($G$2:G470, $C$2:C470 = C470, $A$2:A470 &gt;= A470 - 30)))
"),"#DIV/0!")</f>
        <v>#DIV/0!</v>
      </c>
      <c r="I470" s="20" t="e">
        <f t="shared" ca="1" si="6"/>
        <v>#DIV/0!</v>
      </c>
      <c r="J470" s="20" t="str">
        <f ca="1">IFERROR(__xludf.DUMMYFUNCTION("IF(OR($I470=2, $I470=3), 0, IFERROR(COUNTIFS($C$2:C470, $C470, $A$2:A471, ""&gt;""&amp;IFERROR(MAX(FILTER($A$2:A471, $C$2:C470=$C470, $I$2:I470&lt;&gt;1)), 0), $I$2:I470, 1),1))
"),"#DIV/0!")</f>
        <v>#DIV/0!</v>
      </c>
      <c r="K470" s="20" t="e">
        <f t="shared" ca="1" si="7"/>
        <v>#DIV/0!</v>
      </c>
      <c r="L470" s="20" t="e">
        <f t="shared" ca="1" si="8"/>
        <v>#DIV/0!</v>
      </c>
      <c r="M470" s="21" t="e">
        <f t="shared" ca="1" si="9"/>
        <v>#DIV/0!</v>
      </c>
      <c r="N470" s="20" t="str">
        <f ca="1">IFERROR(__xludf.DUMMYFUNCTION("IF(COUNTIFS($C$2:C470, C470, $A$2:A470, ""&lt;="" &amp; A470) &lt; 30, STDEV.P(FILTER($G$2:G470, $C$2:C470 = C470)), STDEV.P(FILTER($G$2:G470, $C$2:C470 = C470, $A$2:A470 &gt;= A470 - 30)))
"),"#DIV/0!")</f>
        <v>#DIV/0!</v>
      </c>
    </row>
    <row r="471" spans="1:14" x14ac:dyDescent="0.2">
      <c r="A471" s="38"/>
      <c r="B471" s="32"/>
      <c r="C471" s="35"/>
      <c r="D471" s="19"/>
      <c r="E471" s="19"/>
      <c r="F471" s="19"/>
      <c r="G471" s="19" t="e">
        <f t="shared" si="5"/>
        <v>#DIV/0!</v>
      </c>
      <c r="H471" s="20" t="str">
        <f ca="1">IFERROR(__xludf.DUMMYFUNCTION("IF(COUNTIFS($C$2:C471, C471, $A$2:A471, ""&lt;="" &amp; A471) &lt; 30, AVERAGEIF($C$2:C471, C471, $G$2:G471), AVERAGE(FILTER($G$2:G471, $C$2:C471 = C471, $A$2:A471 &gt;= A471 - 30)))
"),"#DIV/0!")</f>
        <v>#DIV/0!</v>
      </c>
      <c r="I471" s="20" t="e">
        <f t="shared" ca="1" si="6"/>
        <v>#DIV/0!</v>
      </c>
      <c r="J471" s="20" t="str">
        <f ca="1">IFERROR(__xludf.DUMMYFUNCTION("IF(OR($I471=2, $I471=3), 0, IFERROR(COUNTIFS($C$2:C471, $C471, $A$2:A472, ""&gt;""&amp;IFERROR(MAX(FILTER($A$2:A472, $C$2:C471=$C471, $I$2:I471&lt;&gt;1)), 0), $I$2:I471, 1),1))
"),"#DIV/0!")</f>
        <v>#DIV/0!</v>
      </c>
      <c r="K471" s="20" t="e">
        <f t="shared" ca="1" si="7"/>
        <v>#DIV/0!</v>
      </c>
      <c r="L471" s="20" t="e">
        <f t="shared" ca="1" si="8"/>
        <v>#DIV/0!</v>
      </c>
      <c r="M471" s="21" t="e">
        <f t="shared" ca="1" si="9"/>
        <v>#DIV/0!</v>
      </c>
      <c r="N471" s="20" t="str">
        <f ca="1">IFERROR(__xludf.DUMMYFUNCTION("IF(COUNTIFS($C$2:C471, C471, $A$2:A471, ""&lt;="" &amp; A471) &lt; 30, STDEV.P(FILTER($G$2:G471, $C$2:C471 = C471)), STDEV.P(FILTER($G$2:G471, $C$2:C471 = C471, $A$2:A471 &gt;= A471 - 30)))
"),"#DIV/0!")</f>
        <v>#DIV/0!</v>
      </c>
    </row>
    <row r="472" spans="1:14" x14ac:dyDescent="0.2">
      <c r="A472" s="38"/>
      <c r="B472" s="32"/>
      <c r="C472" s="35"/>
      <c r="D472" s="19"/>
      <c r="E472" s="19"/>
      <c r="F472" s="19"/>
      <c r="G472" s="19" t="e">
        <f t="shared" si="5"/>
        <v>#DIV/0!</v>
      </c>
      <c r="H472" s="20" t="str">
        <f ca="1">IFERROR(__xludf.DUMMYFUNCTION("IF(COUNTIFS($C$2:C472, C472, $A$2:A472, ""&lt;="" &amp; A472) &lt; 30, AVERAGEIF($C$2:C472, C472, $G$2:G472), AVERAGE(FILTER($G$2:G472, $C$2:C472 = C472, $A$2:A472 &gt;= A472 - 30)))
"),"#DIV/0!")</f>
        <v>#DIV/0!</v>
      </c>
      <c r="I472" s="20" t="e">
        <f t="shared" ca="1" si="6"/>
        <v>#DIV/0!</v>
      </c>
      <c r="J472" s="20" t="str">
        <f ca="1">IFERROR(__xludf.DUMMYFUNCTION("IF(OR($I472=2, $I472=3), 0, IFERROR(COUNTIFS($C$2:C472, $C472, $A$2:A473, ""&gt;""&amp;IFERROR(MAX(FILTER($A$2:A473, $C$2:C472=$C472, $I$2:I472&lt;&gt;1)), 0), $I$2:I472, 1),1))
"),"#DIV/0!")</f>
        <v>#DIV/0!</v>
      </c>
      <c r="K472" s="20" t="e">
        <f t="shared" ca="1" si="7"/>
        <v>#DIV/0!</v>
      </c>
      <c r="L472" s="20" t="e">
        <f t="shared" ca="1" si="8"/>
        <v>#DIV/0!</v>
      </c>
      <c r="M472" s="21" t="e">
        <f t="shared" ca="1" si="9"/>
        <v>#DIV/0!</v>
      </c>
      <c r="N472" s="20" t="str">
        <f ca="1">IFERROR(__xludf.DUMMYFUNCTION("IF(COUNTIFS($C$2:C472, C472, $A$2:A472, ""&lt;="" &amp; A472) &lt; 30, STDEV.P(FILTER($G$2:G472, $C$2:C472 = C472)), STDEV.P(FILTER($G$2:G472, $C$2:C472 = C472, $A$2:A472 &gt;= A472 - 30)))
"),"#DIV/0!")</f>
        <v>#DIV/0!</v>
      </c>
    </row>
    <row r="473" spans="1:14" x14ac:dyDescent="0.2">
      <c r="A473" s="38"/>
      <c r="B473" s="32"/>
      <c r="C473" s="35"/>
      <c r="D473" s="19"/>
      <c r="E473" s="19"/>
      <c r="F473" s="19"/>
      <c r="G473" s="19" t="e">
        <f t="shared" si="5"/>
        <v>#DIV/0!</v>
      </c>
      <c r="H473" s="20" t="str">
        <f ca="1">IFERROR(__xludf.DUMMYFUNCTION("IF(COUNTIFS($C$2:C473, C473, $A$2:A473, ""&lt;="" &amp; A473) &lt; 30, AVERAGEIF($C$2:C473, C473, $G$2:G473), AVERAGE(FILTER($G$2:G473, $C$2:C473 = C473, $A$2:A473 &gt;= A473 - 30)))
"),"#DIV/0!")</f>
        <v>#DIV/0!</v>
      </c>
      <c r="I473" s="20" t="e">
        <f t="shared" ca="1" si="6"/>
        <v>#DIV/0!</v>
      </c>
      <c r="J473" s="20" t="str">
        <f ca="1">IFERROR(__xludf.DUMMYFUNCTION("IF(OR($I473=2, $I473=3), 0, IFERROR(COUNTIFS($C$2:C473, $C473, $A$2:A474, ""&gt;""&amp;IFERROR(MAX(FILTER($A$2:A474, $C$2:C473=$C473, $I$2:I473&lt;&gt;1)), 0), $I$2:I473, 1),1))
"),"#DIV/0!")</f>
        <v>#DIV/0!</v>
      </c>
      <c r="K473" s="20" t="e">
        <f t="shared" ca="1" si="7"/>
        <v>#DIV/0!</v>
      </c>
      <c r="L473" s="20" t="e">
        <f t="shared" ca="1" si="8"/>
        <v>#DIV/0!</v>
      </c>
      <c r="M473" s="21" t="e">
        <f t="shared" ca="1" si="9"/>
        <v>#DIV/0!</v>
      </c>
      <c r="N473" s="20" t="str">
        <f ca="1">IFERROR(__xludf.DUMMYFUNCTION("IF(COUNTIFS($C$2:C473, C473, $A$2:A473, ""&lt;="" &amp; A473) &lt; 30, STDEV.P(FILTER($G$2:G473, $C$2:C473 = C473)), STDEV.P(FILTER($G$2:G473, $C$2:C473 = C473, $A$2:A473 &gt;= A473 - 30)))
"),"#DIV/0!")</f>
        <v>#DIV/0!</v>
      </c>
    </row>
    <row r="474" spans="1:14" x14ac:dyDescent="0.2">
      <c r="A474" s="38"/>
      <c r="B474" s="40"/>
      <c r="C474" s="35"/>
      <c r="D474" s="19"/>
      <c r="E474" s="19"/>
      <c r="F474" s="19"/>
      <c r="G474" s="19" t="e">
        <f t="shared" si="5"/>
        <v>#DIV/0!</v>
      </c>
      <c r="H474" s="20" t="str">
        <f ca="1">IFERROR(__xludf.DUMMYFUNCTION("IF(COUNTIFS($C$2:C474, C474, $A$2:A474, ""&lt;="" &amp; A474) &lt; 30, AVERAGEIF($C$2:C474, C474, $G$2:G474), AVERAGE(FILTER($G$2:G474, $C$2:C474 = C474, $A$2:A474 &gt;= A474 - 30)))
"),"#DIV/0!")</f>
        <v>#DIV/0!</v>
      </c>
      <c r="I474" s="20" t="e">
        <f t="shared" ca="1" si="6"/>
        <v>#DIV/0!</v>
      </c>
      <c r="J474" s="20" t="str">
        <f ca="1">IFERROR(__xludf.DUMMYFUNCTION("IF(OR($I474=2, $I474=3), 0, IFERROR(COUNTIFS($C$2:C474, $C474, $A$2:A475, ""&gt;""&amp;IFERROR(MAX(FILTER($A$2:A475, $C$2:C474=$C474, $I$2:I474&lt;&gt;1)), 0), $I$2:I474, 1),1))
"),"#DIV/0!")</f>
        <v>#DIV/0!</v>
      </c>
      <c r="K474" s="20" t="e">
        <f t="shared" ca="1" si="7"/>
        <v>#DIV/0!</v>
      </c>
      <c r="L474" s="20" t="e">
        <f t="shared" ca="1" si="8"/>
        <v>#DIV/0!</v>
      </c>
      <c r="M474" s="21" t="e">
        <f t="shared" ca="1" si="9"/>
        <v>#DIV/0!</v>
      </c>
      <c r="N474" s="20" t="str">
        <f ca="1">IFERROR(__xludf.DUMMYFUNCTION("IF(COUNTIFS($C$2:C474, C474, $A$2:A474, ""&lt;="" &amp; A474) &lt; 30, STDEV.P(FILTER($G$2:G474, $C$2:C474 = C474)), STDEV.P(FILTER($G$2:G474, $C$2:C474 = C474, $A$2:A474 &gt;= A474 - 30)))
"),"#DIV/0!")</f>
        <v>#DIV/0!</v>
      </c>
    </row>
    <row r="475" spans="1:14" x14ac:dyDescent="0.2">
      <c r="A475" s="38"/>
      <c r="B475" s="40"/>
      <c r="C475" s="35"/>
      <c r="D475" s="19"/>
      <c r="E475" s="19"/>
      <c r="F475" s="19"/>
      <c r="G475" s="19" t="e">
        <f t="shared" si="5"/>
        <v>#DIV/0!</v>
      </c>
      <c r="H475" s="20" t="str">
        <f ca="1">IFERROR(__xludf.DUMMYFUNCTION("IF(COUNTIFS($C$2:C475, C475, $A$2:A475, ""&lt;="" &amp; A475) &lt; 30, AVERAGEIF($C$2:C475, C475, $G$2:G475), AVERAGE(FILTER($G$2:G475, $C$2:C475 = C475, $A$2:A475 &gt;= A475 - 30)))
"),"#DIV/0!")</f>
        <v>#DIV/0!</v>
      </c>
      <c r="I475" s="20" t="e">
        <f t="shared" ca="1" si="6"/>
        <v>#DIV/0!</v>
      </c>
      <c r="J475" s="20" t="str">
        <f ca="1">IFERROR(__xludf.DUMMYFUNCTION("IF(OR($I475=2, $I475=3), 0, IFERROR(COUNTIFS($C$2:C475, $C475, $A$2:A476, ""&gt;""&amp;IFERROR(MAX(FILTER($A$2:A476, $C$2:C475=$C475, $I$2:I475&lt;&gt;1)), 0), $I$2:I475, 1),1))
"),"#DIV/0!")</f>
        <v>#DIV/0!</v>
      </c>
      <c r="K475" s="20" t="e">
        <f t="shared" ca="1" si="7"/>
        <v>#DIV/0!</v>
      </c>
      <c r="L475" s="20" t="e">
        <f t="shared" ca="1" si="8"/>
        <v>#DIV/0!</v>
      </c>
      <c r="M475" s="21" t="e">
        <f t="shared" ca="1" si="9"/>
        <v>#DIV/0!</v>
      </c>
      <c r="N475" s="20" t="str">
        <f ca="1">IFERROR(__xludf.DUMMYFUNCTION("IF(COUNTIFS($C$2:C475, C475, $A$2:A475, ""&lt;="" &amp; A475) &lt; 30, STDEV.P(FILTER($G$2:G475, $C$2:C475 = C475)), STDEV.P(FILTER($G$2:G475, $C$2:C475 = C475, $A$2:A475 &gt;= A475 - 30)))
"),"#DIV/0!")</f>
        <v>#DIV/0!</v>
      </c>
    </row>
    <row r="476" spans="1:14" x14ac:dyDescent="0.2">
      <c r="A476" s="38"/>
      <c r="B476" s="40"/>
      <c r="C476" s="35"/>
      <c r="D476" s="19"/>
      <c r="E476" s="19"/>
      <c r="F476" s="19"/>
      <c r="G476" s="19" t="e">
        <f t="shared" si="5"/>
        <v>#DIV/0!</v>
      </c>
      <c r="H476" s="20" t="str">
        <f ca="1">IFERROR(__xludf.DUMMYFUNCTION("IF(COUNTIFS($C$2:C476, C476, $A$2:A476, ""&lt;="" &amp; A476) &lt; 30, AVERAGEIF($C$2:C476, C476, $G$2:G476), AVERAGE(FILTER($G$2:G476, $C$2:C476 = C476, $A$2:A476 &gt;= A476 - 30)))
"),"#DIV/0!")</f>
        <v>#DIV/0!</v>
      </c>
      <c r="I476" s="20" t="e">
        <f t="shared" ca="1" si="6"/>
        <v>#DIV/0!</v>
      </c>
      <c r="J476" s="20" t="str">
        <f ca="1">IFERROR(__xludf.DUMMYFUNCTION("IF(OR($I476=2, $I476=3), 0, IFERROR(COUNTIFS($C$2:C476, $C476, $A$2:A477, ""&gt;""&amp;IFERROR(MAX(FILTER($A$2:A477, $C$2:C476=$C476, $I$2:I476&lt;&gt;1)), 0), $I$2:I476, 1),1))
"),"#DIV/0!")</f>
        <v>#DIV/0!</v>
      </c>
      <c r="K476" s="20" t="e">
        <f t="shared" ca="1" si="7"/>
        <v>#DIV/0!</v>
      </c>
      <c r="L476" s="20" t="e">
        <f t="shared" ca="1" si="8"/>
        <v>#DIV/0!</v>
      </c>
      <c r="M476" s="21" t="e">
        <f t="shared" ca="1" si="9"/>
        <v>#DIV/0!</v>
      </c>
      <c r="N476" s="20" t="str">
        <f ca="1">IFERROR(__xludf.DUMMYFUNCTION("IF(COUNTIFS($C$2:C476, C476, $A$2:A476, ""&lt;="" &amp; A476) &lt; 30, STDEV.P(FILTER($G$2:G476, $C$2:C476 = C476)), STDEV.P(FILTER($G$2:G476, $C$2:C476 = C476, $A$2:A476 &gt;= A476 - 30)))
"),"#DIV/0!")</f>
        <v>#DIV/0!</v>
      </c>
    </row>
    <row r="477" spans="1:14" x14ac:dyDescent="0.2">
      <c r="A477" s="38"/>
      <c r="B477" s="40"/>
      <c r="C477" s="35"/>
      <c r="D477" s="19"/>
      <c r="E477" s="19"/>
      <c r="F477" s="19"/>
      <c r="G477" s="19" t="e">
        <f t="shared" si="5"/>
        <v>#DIV/0!</v>
      </c>
      <c r="H477" s="20" t="str">
        <f ca="1">IFERROR(__xludf.DUMMYFUNCTION("IF(COUNTIFS($C$2:C477, C477, $A$2:A477, ""&lt;="" &amp; A477) &lt; 30, AVERAGEIF($C$2:C477, C477, $G$2:G477), AVERAGE(FILTER($G$2:G477, $C$2:C477 = C477, $A$2:A477 &gt;= A477 - 30)))
"),"#DIV/0!")</f>
        <v>#DIV/0!</v>
      </c>
      <c r="I477" s="20" t="e">
        <f t="shared" ca="1" si="6"/>
        <v>#DIV/0!</v>
      </c>
      <c r="J477" s="20" t="str">
        <f ca="1">IFERROR(__xludf.DUMMYFUNCTION("IF(OR($I477=2, $I477=3), 0, IFERROR(COUNTIFS($C$2:C477, $C477, $A$2:A478, ""&gt;""&amp;IFERROR(MAX(FILTER($A$2:A478, $C$2:C477=$C477, $I$2:I477&lt;&gt;1)), 0), $I$2:I477, 1),1))
"),"#DIV/0!")</f>
        <v>#DIV/0!</v>
      </c>
      <c r="K477" s="20" t="e">
        <f t="shared" ca="1" si="7"/>
        <v>#DIV/0!</v>
      </c>
      <c r="L477" s="20" t="e">
        <f t="shared" ca="1" si="8"/>
        <v>#DIV/0!</v>
      </c>
      <c r="M477" s="21" t="e">
        <f t="shared" ca="1" si="9"/>
        <v>#DIV/0!</v>
      </c>
      <c r="N477" s="20" t="str">
        <f ca="1">IFERROR(__xludf.DUMMYFUNCTION("IF(COUNTIFS($C$2:C477, C477, $A$2:A477, ""&lt;="" &amp; A477) &lt; 30, STDEV.P(FILTER($G$2:G477, $C$2:C477 = C477)), STDEV.P(FILTER($G$2:G477, $C$2:C477 = C477, $A$2:A477 &gt;= A477 - 30)))
"),"#DIV/0!")</f>
        <v>#DIV/0!</v>
      </c>
    </row>
    <row r="478" spans="1:14" x14ac:dyDescent="0.2">
      <c r="A478" s="34"/>
      <c r="B478" s="40"/>
      <c r="C478" s="35"/>
      <c r="D478" s="19"/>
      <c r="E478" s="19"/>
      <c r="F478" s="19"/>
      <c r="G478" s="19" t="e">
        <f t="shared" si="5"/>
        <v>#DIV/0!</v>
      </c>
      <c r="H478" s="20" t="str">
        <f ca="1">IFERROR(__xludf.DUMMYFUNCTION("IF(COUNTIFS($C$2:C478, C478, $A$2:A478, ""&lt;="" &amp; A478) &lt; 30, AVERAGEIF($C$2:C478, C478, $G$2:G478), AVERAGE(FILTER($G$2:G478, $C$2:C478 = C478, $A$2:A478 &gt;= A478 - 30)))
"),"#DIV/0!")</f>
        <v>#DIV/0!</v>
      </c>
      <c r="I478" s="20" t="e">
        <f t="shared" ca="1" si="6"/>
        <v>#DIV/0!</v>
      </c>
      <c r="J478" s="20" t="str">
        <f ca="1">IFERROR(__xludf.DUMMYFUNCTION("IF(OR($I478=2, $I478=3), 0, IFERROR(COUNTIFS($C$2:C478, $C478, $A$2:A479, ""&gt;""&amp;IFERROR(MAX(FILTER($A$2:A479, $C$2:C478=$C478, $I$2:I478&lt;&gt;1)), 0), $I$2:I478, 1),1))
"),"#DIV/0!")</f>
        <v>#DIV/0!</v>
      </c>
      <c r="K478" s="20" t="e">
        <f t="shared" ca="1" si="7"/>
        <v>#DIV/0!</v>
      </c>
      <c r="L478" s="20" t="e">
        <f t="shared" ca="1" si="8"/>
        <v>#DIV/0!</v>
      </c>
      <c r="M478" s="21" t="e">
        <f t="shared" ca="1" si="9"/>
        <v>#DIV/0!</v>
      </c>
      <c r="N478" s="20" t="str">
        <f ca="1">IFERROR(__xludf.DUMMYFUNCTION("IF(COUNTIFS($C$2:C478, C478, $A$2:A478, ""&lt;="" &amp; A478) &lt; 30, STDEV.P(FILTER($G$2:G478, $C$2:C478 = C478)), STDEV.P(FILTER($G$2:G478, $C$2:C478 = C478, $A$2:A478 &gt;= A478 - 30)))
"),"#DIV/0!")</f>
        <v>#DIV/0!</v>
      </c>
    </row>
    <row r="479" spans="1:14" x14ac:dyDescent="0.2">
      <c r="A479" s="35"/>
      <c r="B479" s="40"/>
      <c r="C479" s="40"/>
      <c r="D479" s="31"/>
      <c r="E479" s="31"/>
      <c r="F479" s="31"/>
      <c r="G479" s="19" t="e">
        <f t="shared" si="5"/>
        <v>#DIV/0!</v>
      </c>
      <c r="H479" s="20" t="str">
        <f ca="1">IFERROR(__xludf.DUMMYFUNCTION("IF(COUNTIFS($C$2:C479, C479, $A$2:A479, ""&lt;="" &amp; A479) &lt; 30, AVERAGEIF($C$2:C479, C479, $G$2:G479), AVERAGE(FILTER($G$2:G479, $C$2:C479 = C479, $A$2:A479 &gt;= A479 - 30)))
"),"#DIV/0!")</f>
        <v>#DIV/0!</v>
      </c>
      <c r="I479" s="20" t="e">
        <f t="shared" ca="1" si="6"/>
        <v>#DIV/0!</v>
      </c>
      <c r="J479" s="20" t="str">
        <f ca="1">IFERROR(__xludf.DUMMYFUNCTION("IF(OR($I479=2, $I479=3), 0, IFERROR(COUNTIFS($C$2:C479, $C479, $A$2:A480, ""&gt;""&amp;IFERROR(MAX(FILTER($A$2:A480, $C$2:C479=$C479, $I$2:I479&lt;&gt;1)), 0), $I$2:I479, 1),1))
"),"#DIV/0!")</f>
        <v>#DIV/0!</v>
      </c>
      <c r="K479" s="7" t="e">
        <f t="shared" ca="1" si="7"/>
        <v>#DIV/0!</v>
      </c>
      <c r="L479" s="20" t="e">
        <f t="shared" ca="1" si="8"/>
        <v>#DIV/0!</v>
      </c>
      <c r="M479" s="21" t="e">
        <f t="shared" ca="1" si="9"/>
        <v>#DIV/0!</v>
      </c>
      <c r="N479" s="20" t="str">
        <f ca="1">IFERROR(__xludf.DUMMYFUNCTION("IF(COUNTIFS($C$2:C479, C479, $A$2:A479, ""&lt;="" &amp; A479) &lt; 30, STDEV.P(FILTER($G$2:G479, $C$2:C479 = C479)), STDEV.P(FILTER($G$2:G479, $C$2:C479 = C479, $A$2:A479 &gt;= A479 - 30)))
"),"#DIV/0!")</f>
        <v>#DIV/0!</v>
      </c>
    </row>
    <row r="480" spans="1:14" x14ac:dyDescent="0.2">
      <c r="A480" s="35"/>
      <c r="B480" s="40"/>
      <c r="C480" s="40"/>
      <c r="D480" s="31"/>
      <c r="E480" s="31"/>
      <c r="F480" s="31"/>
      <c r="G480" s="19" t="e">
        <f t="shared" si="5"/>
        <v>#DIV/0!</v>
      </c>
      <c r="H480" s="20" t="str">
        <f ca="1">IFERROR(__xludf.DUMMYFUNCTION("IF(COUNTIFS($C$2:C480, C480, $A$2:A480, ""&lt;="" &amp; A480) &lt; 30, AVERAGEIF($C$2:C480, C480, $G$2:G480), AVERAGE(FILTER($G$2:G480, $C$2:C480 = C480, $A$2:A480 &gt;= A480 - 30)))
"),"#DIV/0!")</f>
        <v>#DIV/0!</v>
      </c>
      <c r="I480" s="20" t="e">
        <f t="shared" ca="1" si="6"/>
        <v>#DIV/0!</v>
      </c>
      <c r="J480" s="20" t="str">
        <f ca="1">IFERROR(__xludf.DUMMYFUNCTION("IF(OR($I480=2, $I480=3), 0, IFERROR(COUNTIFS($C$2:C480, $C480, $A$2:A481, ""&gt;""&amp;IFERROR(MAX(FILTER($A$2:A481, $C$2:C480=$C480, $I$2:I480&lt;&gt;1)), 0), $I$2:I480, 1),1))
"),"#DIV/0!")</f>
        <v>#DIV/0!</v>
      </c>
      <c r="K480" s="7" t="e">
        <f t="shared" ca="1" si="7"/>
        <v>#DIV/0!</v>
      </c>
      <c r="L480" s="20" t="e">
        <f t="shared" ca="1" si="8"/>
        <v>#DIV/0!</v>
      </c>
      <c r="M480" s="21" t="e">
        <f t="shared" ca="1" si="9"/>
        <v>#DIV/0!</v>
      </c>
      <c r="N480" s="20" t="str">
        <f ca="1">IFERROR(__xludf.DUMMYFUNCTION("IF(COUNTIFS($C$2:C480, C480, $A$2:A480, ""&lt;="" &amp; A480) &lt; 30, STDEV.P(FILTER($G$2:G480, $C$2:C480 = C480)), STDEV.P(FILTER($G$2:G480, $C$2:C480 = C480, $A$2:A480 &gt;= A480 - 30)))
"),"#DIV/0!")</f>
        <v>#DIV/0!</v>
      </c>
    </row>
    <row r="481" spans="1:14" x14ac:dyDescent="0.2">
      <c r="A481" s="35"/>
      <c r="B481" s="40"/>
      <c r="C481" s="40"/>
      <c r="D481" s="31"/>
      <c r="E481" s="31"/>
      <c r="F481" s="31"/>
      <c r="G481" s="19" t="e">
        <f t="shared" si="5"/>
        <v>#DIV/0!</v>
      </c>
      <c r="H481" s="20" t="str">
        <f ca="1">IFERROR(__xludf.DUMMYFUNCTION("IF(COUNTIFS($C$2:C481, C481, $A$2:A481, ""&lt;="" &amp; A481) &lt; 30, AVERAGEIF($C$2:C481, C481, $G$2:G481), AVERAGE(FILTER($G$2:G481, $C$2:C481 = C481, $A$2:A481 &gt;= A481 - 30)))
"),"#DIV/0!")</f>
        <v>#DIV/0!</v>
      </c>
      <c r="I481" s="20" t="e">
        <f t="shared" ca="1" si="6"/>
        <v>#DIV/0!</v>
      </c>
      <c r="J481" s="20" t="str">
        <f ca="1">IFERROR(__xludf.DUMMYFUNCTION("IF(OR($I481=2, $I481=3), 0, IFERROR(COUNTIFS($C$2:C481, $C481, $A$2:A482, ""&gt;""&amp;IFERROR(MAX(FILTER($A$2:A482, $C$2:C481=$C481, $I$2:I481&lt;&gt;1)), 0), $I$2:I481, 1),1))
"),"#DIV/0!")</f>
        <v>#DIV/0!</v>
      </c>
      <c r="K481" s="7" t="e">
        <f t="shared" ca="1" si="7"/>
        <v>#DIV/0!</v>
      </c>
      <c r="L481" s="20" t="e">
        <f t="shared" ca="1" si="8"/>
        <v>#DIV/0!</v>
      </c>
      <c r="M481" s="21" t="e">
        <f t="shared" ca="1" si="9"/>
        <v>#DIV/0!</v>
      </c>
      <c r="N481" s="20" t="str">
        <f ca="1">IFERROR(__xludf.DUMMYFUNCTION("IF(COUNTIFS($C$2:C481, C481, $A$2:A481, ""&lt;="" &amp; A481) &lt; 30, STDEV.P(FILTER($G$2:G481, $C$2:C481 = C481)), STDEV.P(FILTER($G$2:G481, $C$2:C481 = C481, $A$2:A481 &gt;= A481 - 30)))
"),"#DIV/0!")</f>
        <v>#DIV/0!</v>
      </c>
    </row>
    <row r="482" spans="1:14" x14ac:dyDescent="0.2">
      <c r="A482" s="35"/>
      <c r="B482" s="40"/>
      <c r="C482" s="40"/>
      <c r="D482" s="31"/>
      <c r="E482" s="31"/>
      <c r="F482" s="31"/>
      <c r="G482" s="19" t="e">
        <f t="shared" si="5"/>
        <v>#DIV/0!</v>
      </c>
      <c r="H482" s="20" t="str">
        <f ca="1">IFERROR(__xludf.DUMMYFUNCTION("IF(COUNTIFS($C$2:C482, C482, $A$2:A482, ""&lt;="" &amp; A482) &lt; 30, AVERAGEIF($C$2:C482, C482, $G$2:G482), AVERAGE(FILTER($G$2:G482, $C$2:C482 = C482, $A$2:A482 &gt;= A482 - 30)))
"),"#DIV/0!")</f>
        <v>#DIV/0!</v>
      </c>
      <c r="I482" s="20" t="e">
        <f t="shared" ca="1" si="6"/>
        <v>#DIV/0!</v>
      </c>
      <c r="J482" s="20" t="str">
        <f ca="1">IFERROR(__xludf.DUMMYFUNCTION("IF(OR($I482=2, $I482=3), 0, IFERROR(COUNTIFS($C$2:C482, $C482, $A$2:A483, ""&gt;""&amp;IFERROR(MAX(FILTER($A$2:A483, $C$2:C482=$C482, $I$2:I482&lt;&gt;1)), 0), $I$2:I482, 1),1))
"),"#DIV/0!")</f>
        <v>#DIV/0!</v>
      </c>
      <c r="K482" s="7" t="e">
        <f t="shared" ca="1" si="7"/>
        <v>#DIV/0!</v>
      </c>
      <c r="L482" s="20" t="e">
        <f t="shared" ca="1" si="8"/>
        <v>#DIV/0!</v>
      </c>
      <c r="M482" s="21" t="e">
        <f t="shared" ca="1" si="9"/>
        <v>#DIV/0!</v>
      </c>
      <c r="N482" s="20" t="str">
        <f ca="1">IFERROR(__xludf.DUMMYFUNCTION("IF(COUNTIFS($C$2:C482, C482, $A$2:A482, ""&lt;="" &amp; A482) &lt; 30, STDEV.P(FILTER($G$2:G482, $C$2:C482 = C482)), STDEV.P(FILTER($G$2:G482, $C$2:C482 = C482, $A$2:A482 &gt;= A482 - 30)))
"),"#DIV/0!")</f>
        <v>#DIV/0!</v>
      </c>
    </row>
    <row r="483" spans="1:14" x14ac:dyDescent="0.2">
      <c r="A483" s="35"/>
      <c r="B483" s="32"/>
      <c r="C483" s="32"/>
      <c r="D483" s="33"/>
      <c r="E483" s="33"/>
      <c r="F483" s="33"/>
      <c r="G483" s="19" t="e">
        <f t="shared" si="5"/>
        <v>#DIV/0!</v>
      </c>
      <c r="H483" s="20" t="str">
        <f ca="1">IFERROR(__xludf.DUMMYFUNCTION("IF(COUNTIFS($C$2:C483, C483, $A$2:A483, ""&lt;="" &amp; A483) &lt; 30, AVERAGEIF($C$2:C483, C483, $G$2:G483), AVERAGE(FILTER($G$2:G483, $C$2:C483 = C483, $A$2:A483 &gt;= A483 - 30)))
"),"#DIV/0!")</f>
        <v>#DIV/0!</v>
      </c>
      <c r="I483" s="20" t="e">
        <f t="shared" ca="1" si="6"/>
        <v>#DIV/0!</v>
      </c>
      <c r="J483" s="20" t="str">
        <f ca="1">IFERROR(__xludf.DUMMYFUNCTION("IF(OR($I483=2, $I483=3), 0, IFERROR(COUNTIFS($C$2:C483, $C483, $A$2:A484, ""&gt;""&amp;IFERROR(MAX(FILTER($A$2:A484, $C$2:C483=$C483, $I$2:I483&lt;&gt;1)), 0), $I$2:I483, 1),1))
"),"#DIV/0!")</f>
        <v>#DIV/0!</v>
      </c>
      <c r="K483" s="7" t="e">
        <f t="shared" ca="1" si="7"/>
        <v>#DIV/0!</v>
      </c>
      <c r="L483" s="20" t="e">
        <f t="shared" ca="1" si="8"/>
        <v>#DIV/0!</v>
      </c>
      <c r="M483" s="21" t="e">
        <f t="shared" ca="1" si="9"/>
        <v>#DIV/0!</v>
      </c>
      <c r="N483" s="20" t="str">
        <f ca="1">IFERROR(__xludf.DUMMYFUNCTION("IF(COUNTIFS($C$2:C483, C483, $A$2:A483, ""&lt;="" &amp; A483) &lt; 30, STDEV.P(FILTER($G$2:G483, $C$2:C483 = C483)), STDEV.P(FILTER($G$2:G483, $C$2:C483 = C483, $A$2:A483 &gt;= A483 - 30)))
"),"#DIV/0!")</f>
        <v>#DIV/0!</v>
      </c>
    </row>
    <row r="484" spans="1:14" x14ac:dyDescent="0.2">
      <c r="A484" s="35"/>
      <c r="B484" s="32"/>
      <c r="C484" s="32"/>
      <c r="D484" s="33"/>
      <c r="E484" s="33"/>
      <c r="F484" s="33"/>
      <c r="G484" s="19" t="e">
        <f t="shared" si="5"/>
        <v>#DIV/0!</v>
      </c>
      <c r="H484" s="20" t="str">
        <f ca="1">IFERROR(__xludf.DUMMYFUNCTION("IF(COUNTIFS($C$2:C484, C484, $A$2:A484, ""&lt;="" &amp; A484) &lt; 30, AVERAGEIF($C$2:C484, C484, $G$2:G484), AVERAGE(FILTER($G$2:G484, $C$2:C484 = C484, $A$2:A484 &gt;= A484 - 30)))
"),"#DIV/0!")</f>
        <v>#DIV/0!</v>
      </c>
      <c r="I484" s="20" t="e">
        <f t="shared" ca="1" si="6"/>
        <v>#DIV/0!</v>
      </c>
      <c r="J484" s="20" t="str">
        <f ca="1">IFERROR(__xludf.DUMMYFUNCTION("IF(OR($I484=2, $I484=3), 0, IFERROR(COUNTIFS($C$2:C484, $C484, $A$2:A485, ""&gt;""&amp;IFERROR(MAX(FILTER($A$2:A485, $C$2:C484=$C484, $I$2:I484&lt;&gt;1)), 0), $I$2:I484, 1),1))
"),"#DIV/0!")</f>
        <v>#DIV/0!</v>
      </c>
      <c r="K484" s="7" t="e">
        <f t="shared" ca="1" si="7"/>
        <v>#DIV/0!</v>
      </c>
      <c r="L484" s="20" t="e">
        <f t="shared" ca="1" si="8"/>
        <v>#DIV/0!</v>
      </c>
      <c r="M484" s="21" t="e">
        <f t="shared" ca="1" si="9"/>
        <v>#DIV/0!</v>
      </c>
      <c r="N484" s="20" t="str">
        <f ca="1">IFERROR(__xludf.DUMMYFUNCTION("IF(COUNTIFS($C$2:C484, C484, $A$2:A484, ""&lt;="" &amp; A484) &lt; 30, STDEV.P(FILTER($G$2:G484, $C$2:C484 = C484)), STDEV.P(FILTER($G$2:G484, $C$2:C484 = C484, $A$2:A484 &gt;= A484 - 30)))
"),"#DIV/0!")</f>
        <v>#DIV/0!</v>
      </c>
    </row>
    <row r="485" spans="1:14" x14ac:dyDescent="0.2">
      <c r="A485" s="35"/>
      <c r="B485" s="32"/>
      <c r="C485" s="32"/>
      <c r="D485" s="33"/>
      <c r="E485" s="33"/>
      <c r="F485" s="33"/>
      <c r="G485" s="19" t="e">
        <f t="shared" si="5"/>
        <v>#DIV/0!</v>
      </c>
      <c r="H485" s="20" t="str">
        <f ca="1">IFERROR(__xludf.DUMMYFUNCTION("IF(COUNTIFS($C$2:C485, C485, $A$2:A485, ""&lt;="" &amp; A485) &lt; 30, AVERAGEIF($C$2:C485, C485, $G$2:G485), AVERAGE(FILTER($G$2:G485, $C$2:C485 = C485, $A$2:A485 &gt;= A485 - 30)))
"),"#DIV/0!")</f>
        <v>#DIV/0!</v>
      </c>
      <c r="I485" s="20" t="e">
        <f t="shared" ca="1" si="6"/>
        <v>#DIV/0!</v>
      </c>
      <c r="J485" s="20" t="str">
        <f ca="1">IFERROR(__xludf.DUMMYFUNCTION("IF(OR($I485=2, $I485=3), 0, IFERROR(COUNTIFS($C$2:C485, $C485, $A$2:A486, ""&gt;""&amp;IFERROR(MAX(FILTER($A$2:A486, $C$2:C485=$C485, $I$2:I485&lt;&gt;1)), 0), $I$2:I485, 1),1))
"),"#DIV/0!")</f>
        <v>#DIV/0!</v>
      </c>
      <c r="K485" s="7" t="e">
        <f t="shared" ca="1" si="7"/>
        <v>#DIV/0!</v>
      </c>
      <c r="L485" s="20" t="e">
        <f t="shared" ca="1" si="8"/>
        <v>#DIV/0!</v>
      </c>
      <c r="M485" s="21" t="e">
        <f t="shared" ca="1" si="9"/>
        <v>#DIV/0!</v>
      </c>
      <c r="N485" s="20" t="str">
        <f ca="1">IFERROR(__xludf.DUMMYFUNCTION("IF(COUNTIFS($C$2:C485, C485, $A$2:A485, ""&lt;="" &amp; A485) &lt; 30, STDEV.P(FILTER($G$2:G485, $C$2:C485 = C485)), STDEV.P(FILTER($G$2:G485, $C$2:C485 = C485, $A$2:A485 &gt;= A485 - 30)))
"),"#DIV/0!")</f>
        <v>#DIV/0!</v>
      </c>
    </row>
    <row r="486" spans="1:14" x14ac:dyDescent="0.2">
      <c r="A486" s="35"/>
      <c r="B486" s="32"/>
      <c r="C486" s="32"/>
      <c r="D486" s="33"/>
      <c r="E486" s="33"/>
      <c r="F486" s="33"/>
      <c r="G486" s="19" t="e">
        <f t="shared" si="5"/>
        <v>#DIV/0!</v>
      </c>
      <c r="H486" s="20" t="str">
        <f ca="1">IFERROR(__xludf.DUMMYFUNCTION("IF(COUNTIFS($C$2:C486, C486, $A$2:A486, ""&lt;="" &amp; A486) &lt; 30, AVERAGEIF($C$2:C486, C486, $G$2:G486), AVERAGE(FILTER($G$2:G486, $C$2:C486 = C486, $A$2:A486 &gt;= A486 - 30)))
"),"#DIV/0!")</f>
        <v>#DIV/0!</v>
      </c>
      <c r="I486" s="20" t="e">
        <f t="shared" ca="1" si="6"/>
        <v>#DIV/0!</v>
      </c>
      <c r="J486" s="20" t="str">
        <f ca="1">IFERROR(__xludf.DUMMYFUNCTION("IF(OR($I486=2, $I486=3), 0, IFERROR(COUNTIFS($C$2:C486, $C486, $A$2:A487, ""&gt;""&amp;IFERROR(MAX(FILTER($A$2:A487, $C$2:C486=$C486, $I$2:I486&lt;&gt;1)), 0), $I$2:I486, 1),1))
"),"#DIV/0!")</f>
        <v>#DIV/0!</v>
      </c>
      <c r="K486" s="7" t="e">
        <f t="shared" ca="1" si="7"/>
        <v>#DIV/0!</v>
      </c>
      <c r="L486" s="20" t="e">
        <f t="shared" ca="1" si="8"/>
        <v>#DIV/0!</v>
      </c>
      <c r="M486" s="21" t="e">
        <f t="shared" ca="1" si="9"/>
        <v>#DIV/0!</v>
      </c>
      <c r="N486" s="20" t="str">
        <f ca="1">IFERROR(__xludf.DUMMYFUNCTION("IF(COUNTIFS($C$2:C486, C486, $A$2:A486, ""&lt;="" &amp; A486) &lt; 30, STDEV.P(FILTER($G$2:G486, $C$2:C486 = C486)), STDEV.P(FILTER($G$2:G486, $C$2:C486 = C486, $A$2:A486 &gt;= A486 - 30)))
"),"#DIV/0!")</f>
        <v>#DIV/0!</v>
      </c>
    </row>
    <row r="487" spans="1:14" x14ac:dyDescent="0.2">
      <c r="A487" s="35"/>
      <c r="B487" s="32"/>
      <c r="C487" s="32"/>
      <c r="D487" s="33"/>
      <c r="E487" s="33"/>
      <c r="F487" s="33"/>
      <c r="G487" s="19" t="e">
        <f t="shared" si="5"/>
        <v>#DIV/0!</v>
      </c>
      <c r="H487" s="20" t="str">
        <f ca="1">IFERROR(__xludf.DUMMYFUNCTION("IF(COUNTIFS($C$2:C487, C487, $A$2:A487, ""&lt;="" &amp; A487) &lt; 30, AVERAGEIF($C$2:C487, C487, $G$2:G487), AVERAGE(FILTER($G$2:G487, $C$2:C487 = C487, $A$2:A487 &gt;= A487 - 30)))
"),"#DIV/0!")</f>
        <v>#DIV/0!</v>
      </c>
      <c r="I487" s="20" t="e">
        <f t="shared" ca="1" si="6"/>
        <v>#DIV/0!</v>
      </c>
      <c r="J487" s="20" t="str">
        <f ca="1">IFERROR(__xludf.DUMMYFUNCTION("IF(OR($I487=2, $I487=3), 0, IFERROR(COUNTIFS($C$2:C487, $C487, $A$2:A488, ""&gt;""&amp;IFERROR(MAX(FILTER($A$2:A488, $C$2:C487=$C487, $I$2:I487&lt;&gt;1)), 0), $I$2:I487, 1),1))
"),"#DIV/0!")</f>
        <v>#DIV/0!</v>
      </c>
      <c r="K487" s="7" t="e">
        <f t="shared" ca="1" si="7"/>
        <v>#DIV/0!</v>
      </c>
      <c r="L487" s="20" t="e">
        <f t="shared" ca="1" si="8"/>
        <v>#DIV/0!</v>
      </c>
      <c r="M487" s="21" t="e">
        <f t="shared" ca="1" si="9"/>
        <v>#DIV/0!</v>
      </c>
      <c r="N487" s="20" t="str">
        <f ca="1">IFERROR(__xludf.DUMMYFUNCTION("IF(COUNTIFS($C$2:C487, C487, $A$2:A487, ""&lt;="" &amp; A487) &lt; 30, STDEV.P(FILTER($G$2:G487, $C$2:C487 = C487)), STDEV.P(FILTER($G$2:G487, $C$2:C487 = C487, $A$2:A487 &gt;= A487 - 30)))
"),"#DIV/0!")</f>
        <v>#DIV/0!</v>
      </c>
    </row>
    <row r="488" spans="1:14" x14ac:dyDescent="0.2">
      <c r="A488" s="35"/>
      <c r="B488" s="32"/>
      <c r="C488" s="32"/>
      <c r="D488" s="33"/>
      <c r="E488" s="33"/>
      <c r="F488" s="33"/>
      <c r="G488" s="19" t="e">
        <f t="shared" si="5"/>
        <v>#DIV/0!</v>
      </c>
      <c r="H488" s="20" t="str">
        <f ca="1">IFERROR(__xludf.DUMMYFUNCTION("IF(COUNTIFS($C$2:C488, C488, $A$2:A488, ""&lt;="" &amp; A488) &lt; 30, AVERAGEIF($C$2:C488, C488, $G$2:G488), AVERAGE(FILTER($G$2:G488, $C$2:C488 = C488, $A$2:A488 &gt;= A488 - 30)))
"),"#DIV/0!")</f>
        <v>#DIV/0!</v>
      </c>
      <c r="I488" s="20" t="e">
        <f t="shared" ca="1" si="6"/>
        <v>#DIV/0!</v>
      </c>
      <c r="J488" s="20" t="str">
        <f ca="1">IFERROR(__xludf.DUMMYFUNCTION("IF(OR($I488=2, $I488=3), 0, IFERROR(COUNTIFS($C$2:C488, $C488, $A$2:A489, ""&gt;""&amp;IFERROR(MAX(FILTER($A$2:A489, $C$2:C488=$C488, $I$2:I488&lt;&gt;1)), 0), $I$2:I488, 1),1))
"),"#DIV/0!")</f>
        <v>#DIV/0!</v>
      </c>
      <c r="K488" s="7" t="e">
        <f t="shared" ca="1" si="7"/>
        <v>#DIV/0!</v>
      </c>
      <c r="L488" s="20" t="e">
        <f t="shared" ca="1" si="8"/>
        <v>#DIV/0!</v>
      </c>
      <c r="M488" s="21" t="e">
        <f t="shared" ca="1" si="9"/>
        <v>#DIV/0!</v>
      </c>
      <c r="N488" s="20" t="str">
        <f ca="1">IFERROR(__xludf.DUMMYFUNCTION("IF(COUNTIFS($C$2:C488, C488, $A$2:A488, ""&lt;="" &amp; A488) &lt; 30, STDEV.P(FILTER($G$2:G488, $C$2:C488 = C488)), STDEV.P(FILTER($G$2:G488, $C$2:C488 = C488, $A$2:A488 &gt;= A488 - 30)))
"),"#DIV/0!")</f>
        <v>#DIV/0!</v>
      </c>
    </row>
    <row r="489" spans="1:14" x14ac:dyDescent="0.2">
      <c r="A489" s="35"/>
      <c r="B489" s="32"/>
      <c r="C489" s="32"/>
      <c r="D489" s="33"/>
      <c r="E489" s="33"/>
      <c r="F489" s="33"/>
      <c r="G489" s="19" t="e">
        <f t="shared" si="5"/>
        <v>#DIV/0!</v>
      </c>
      <c r="H489" s="20" t="str">
        <f ca="1">IFERROR(__xludf.DUMMYFUNCTION("IF(COUNTIFS($C$2:C489, C489, $A$2:A489, ""&lt;="" &amp; A489) &lt; 30, AVERAGEIF($C$2:C489, C489, $G$2:G489), AVERAGE(FILTER($G$2:G489, $C$2:C489 = C489, $A$2:A489 &gt;= A489 - 30)))
"),"#DIV/0!")</f>
        <v>#DIV/0!</v>
      </c>
      <c r="I489" s="20" t="e">
        <f t="shared" ca="1" si="6"/>
        <v>#DIV/0!</v>
      </c>
      <c r="J489" s="20" t="str">
        <f ca="1">IFERROR(__xludf.DUMMYFUNCTION("IF(OR($I489=2, $I489=3), 0, IFERROR(COUNTIFS($C$2:C489, $C489, $A$2:A490, ""&gt;""&amp;IFERROR(MAX(FILTER($A$2:A490, $C$2:C489=$C489, $I$2:I489&lt;&gt;1)), 0), $I$2:I489, 1),1))
"),"#DIV/0!")</f>
        <v>#DIV/0!</v>
      </c>
      <c r="K489" s="7" t="e">
        <f t="shared" ca="1" si="7"/>
        <v>#DIV/0!</v>
      </c>
      <c r="L489" s="20" t="e">
        <f t="shared" ca="1" si="8"/>
        <v>#DIV/0!</v>
      </c>
      <c r="M489" s="21" t="e">
        <f t="shared" ca="1" si="9"/>
        <v>#DIV/0!</v>
      </c>
      <c r="N489" s="20" t="str">
        <f ca="1">IFERROR(__xludf.DUMMYFUNCTION("IF(COUNTIFS($C$2:C489, C489, $A$2:A489, ""&lt;="" &amp; A489) &lt; 30, STDEV.P(FILTER($G$2:G489, $C$2:C489 = C489)), STDEV.P(FILTER($G$2:G489, $C$2:C489 = C489, $A$2:A489 &gt;= A489 - 30)))
"),"#DIV/0!")</f>
        <v>#DIV/0!</v>
      </c>
    </row>
    <row r="490" spans="1:14" x14ac:dyDescent="0.2">
      <c r="A490" s="35"/>
      <c r="B490" s="32"/>
      <c r="C490" s="32"/>
      <c r="D490" s="33"/>
      <c r="E490" s="33"/>
      <c r="F490" s="33"/>
      <c r="G490" s="19" t="e">
        <f t="shared" si="5"/>
        <v>#DIV/0!</v>
      </c>
      <c r="H490" s="20" t="str">
        <f ca="1">IFERROR(__xludf.DUMMYFUNCTION("IF(COUNTIFS($C$2:C490, C490, $A$2:A490, ""&lt;="" &amp; A490) &lt; 30, AVERAGEIF($C$2:C490, C490, $G$2:G490), AVERAGE(FILTER($G$2:G490, $C$2:C490 = C490, $A$2:A490 &gt;= A490 - 30)))
"),"#DIV/0!")</f>
        <v>#DIV/0!</v>
      </c>
      <c r="I490" s="20" t="e">
        <f t="shared" ca="1" si="6"/>
        <v>#DIV/0!</v>
      </c>
      <c r="J490" s="20" t="str">
        <f ca="1">IFERROR(__xludf.DUMMYFUNCTION("IF(OR($I490=2, $I490=3), 0, IFERROR(COUNTIFS($C$2:C490, $C490, $A$2:A491, ""&gt;""&amp;IFERROR(MAX(FILTER($A$2:A491, $C$2:C490=$C490, $I$2:I490&lt;&gt;1)), 0), $I$2:I490, 1),1))
"),"#DIV/0!")</f>
        <v>#DIV/0!</v>
      </c>
      <c r="K490" s="7" t="e">
        <f t="shared" ca="1" si="7"/>
        <v>#DIV/0!</v>
      </c>
      <c r="L490" s="20" t="e">
        <f t="shared" ca="1" si="8"/>
        <v>#DIV/0!</v>
      </c>
      <c r="M490" s="21" t="e">
        <f t="shared" ca="1" si="9"/>
        <v>#DIV/0!</v>
      </c>
      <c r="N490" s="20" t="str">
        <f ca="1">IFERROR(__xludf.DUMMYFUNCTION("IF(COUNTIFS($C$2:C490, C490, $A$2:A490, ""&lt;="" &amp; A490) &lt; 30, STDEV.P(FILTER($G$2:G490, $C$2:C490 = C490)), STDEV.P(FILTER($G$2:G490, $C$2:C490 = C490, $A$2:A490 &gt;= A490 - 30)))
"),"#DIV/0!")</f>
        <v>#DIV/0!</v>
      </c>
    </row>
    <row r="491" spans="1:14" x14ac:dyDescent="0.2">
      <c r="A491" s="35"/>
      <c r="B491" s="32"/>
      <c r="C491" s="32"/>
      <c r="D491" s="33"/>
      <c r="E491" s="33"/>
      <c r="F491" s="33"/>
      <c r="G491" s="19" t="e">
        <f t="shared" si="5"/>
        <v>#DIV/0!</v>
      </c>
      <c r="H491" s="20" t="str">
        <f ca="1">IFERROR(__xludf.DUMMYFUNCTION("IF(COUNTIFS($C$2:C491, C491, $A$2:A491, ""&lt;="" &amp; A491) &lt; 30, AVERAGEIF($C$2:C491, C491, $G$2:G491), AVERAGE(FILTER($G$2:G491, $C$2:C491 = C491, $A$2:A491 &gt;= A491 - 30)))
"),"#DIV/0!")</f>
        <v>#DIV/0!</v>
      </c>
      <c r="I491" s="20" t="e">
        <f t="shared" ca="1" si="6"/>
        <v>#DIV/0!</v>
      </c>
      <c r="J491" s="20" t="str">
        <f ca="1">IFERROR(__xludf.DUMMYFUNCTION("IF(OR($I491=2, $I491=3), 0, IFERROR(COUNTIFS($C$2:C491, $C491, $A$2:A492, ""&gt;""&amp;IFERROR(MAX(FILTER($A$2:A492, $C$2:C491=$C491, $I$2:I491&lt;&gt;1)), 0), $I$2:I491, 1),1))
"),"#DIV/0!")</f>
        <v>#DIV/0!</v>
      </c>
      <c r="K491" s="7" t="e">
        <f t="shared" ca="1" si="7"/>
        <v>#DIV/0!</v>
      </c>
      <c r="L491" s="20" t="e">
        <f t="shared" ca="1" si="8"/>
        <v>#DIV/0!</v>
      </c>
      <c r="M491" s="21" t="e">
        <f t="shared" ca="1" si="9"/>
        <v>#DIV/0!</v>
      </c>
      <c r="N491" s="20" t="str">
        <f ca="1">IFERROR(__xludf.DUMMYFUNCTION("IF(COUNTIFS($C$2:C491, C491, $A$2:A491, ""&lt;="" &amp; A491) &lt; 30, STDEV.P(FILTER($G$2:G491, $C$2:C491 = C491)), STDEV.P(FILTER($G$2:G491, $C$2:C491 = C491, $A$2:A491 &gt;= A491 - 30)))
"),"#DIV/0!")</f>
        <v>#DIV/0!</v>
      </c>
    </row>
    <row r="492" spans="1:14" x14ac:dyDescent="0.2">
      <c r="A492" s="35"/>
      <c r="B492" s="32"/>
      <c r="C492" s="32"/>
      <c r="D492" s="33"/>
      <c r="E492" s="33"/>
      <c r="F492" s="33"/>
      <c r="G492" s="19" t="e">
        <f t="shared" si="5"/>
        <v>#DIV/0!</v>
      </c>
      <c r="H492" s="20" t="str">
        <f ca="1">IFERROR(__xludf.DUMMYFUNCTION("IF(COUNTIFS($C$2:C492, C492, $A$2:A492, ""&lt;="" &amp; A492) &lt; 30, AVERAGEIF($C$2:C492, C492, $G$2:G492), AVERAGE(FILTER($G$2:G492, $C$2:C492 = C492, $A$2:A492 &gt;= A492 - 30)))
"),"#DIV/0!")</f>
        <v>#DIV/0!</v>
      </c>
      <c r="I492" s="20" t="e">
        <f t="shared" ca="1" si="6"/>
        <v>#DIV/0!</v>
      </c>
      <c r="J492" s="20" t="str">
        <f ca="1">IFERROR(__xludf.DUMMYFUNCTION("IF(OR($I492=2, $I492=3), 0, IFERROR(COUNTIFS($C$2:C492, $C492, $A$2:A493, ""&gt;""&amp;IFERROR(MAX(FILTER($A$2:A493, $C$2:C492=$C492, $I$2:I492&lt;&gt;1)), 0), $I$2:I492, 1),1))
"),"#DIV/0!")</f>
        <v>#DIV/0!</v>
      </c>
      <c r="K492" s="7" t="e">
        <f t="shared" ca="1" si="7"/>
        <v>#DIV/0!</v>
      </c>
      <c r="L492" s="20" t="e">
        <f t="shared" ca="1" si="8"/>
        <v>#DIV/0!</v>
      </c>
      <c r="M492" s="21" t="e">
        <f t="shared" ca="1" si="9"/>
        <v>#DIV/0!</v>
      </c>
      <c r="N492" s="20" t="str">
        <f ca="1">IFERROR(__xludf.DUMMYFUNCTION("IF(COUNTIFS($C$2:C492, C492, $A$2:A492, ""&lt;="" &amp; A492) &lt; 30, STDEV.P(FILTER($G$2:G492, $C$2:C492 = C492)), STDEV.P(FILTER($G$2:G492, $C$2:C492 = C492, $A$2:A492 &gt;= A492 - 30)))
"),"#DIV/0!")</f>
        <v>#DIV/0!</v>
      </c>
    </row>
    <row r="493" spans="1:14" x14ac:dyDescent="0.2">
      <c r="A493" s="35"/>
      <c r="B493" s="32"/>
      <c r="C493" s="32"/>
      <c r="D493" s="33"/>
      <c r="E493" s="33"/>
      <c r="F493" s="33"/>
      <c r="G493" s="19" t="e">
        <f t="shared" si="5"/>
        <v>#DIV/0!</v>
      </c>
      <c r="H493" s="20" t="str">
        <f ca="1">IFERROR(__xludf.DUMMYFUNCTION("IF(COUNTIFS($C$2:C493, C493, $A$2:A493, ""&lt;="" &amp; A493) &lt; 30, AVERAGEIF($C$2:C493, C493, $G$2:G493), AVERAGE(FILTER($G$2:G493, $C$2:C493 = C493, $A$2:A493 &gt;= A493 - 30)))
"),"#DIV/0!")</f>
        <v>#DIV/0!</v>
      </c>
      <c r="I493" s="20" t="e">
        <f t="shared" ca="1" si="6"/>
        <v>#DIV/0!</v>
      </c>
      <c r="J493" s="20" t="str">
        <f ca="1">IFERROR(__xludf.DUMMYFUNCTION("IF(OR($I493=2, $I493=3), 0, IFERROR(COUNTIFS($C$2:C493, $C493, $A$2:A494, ""&gt;""&amp;IFERROR(MAX(FILTER($A$2:A494, $C$2:C493=$C493, $I$2:I493&lt;&gt;1)), 0), $I$2:I493, 1),1))
"),"#DIV/0!")</f>
        <v>#DIV/0!</v>
      </c>
      <c r="K493" s="7" t="e">
        <f t="shared" ca="1" si="7"/>
        <v>#DIV/0!</v>
      </c>
      <c r="L493" s="20" t="e">
        <f t="shared" ca="1" si="8"/>
        <v>#DIV/0!</v>
      </c>
      <c r="M493" s="21" t="e">
        <f t="shared" ca="1" si="9"/>
        <v>#DIV/0!</v>
      </c>
      <c r="N493" s="20" t="str">
        <f ca="1">IFERROR(__xludf.DUMMYFUNCTION("IF(COUNTIFS($C$2:C493, C493, $A$2:A493, ""&lt;="" &amp; A493) &lt; 30, STDEV.P(FILTER($G$2:G493, $C$2:C493 = C493)), STDEV.P(FILTER($G$2:G493, $C$2:C493 = C493, $A$2:A493 &gt;= A493 - 30)))
"),"#DIV/0!")</f>
        <v>#DIV/0!</v>
      </c>
    </row>
    <row r="494" spans="1:14" x14ac:dyDescent="0.2">
      <c r="A494" s="35"/>
      <c r="B494" s="32"/>
      <c r="C494" s="32"/>
      <c r="D494" s="33"/>
      <c r="E494" s="33"/>
      <c r="F494" s="33"/>
      <c r="G494" s="19" t="e">
        <f t="shared" si="5"/>
        <v>#DIV/0!</v>
      </c>
      <c r="H494" s="20" t="str">
        <f ca="1">IFERROR(__xludf.DUMMYFUNCTION("IF(COUNTIFS($C$2:C494, C494, $A$2:A494, ""&lt;="" &amp; A494) &lt; 30, AVERAGEIF($C$2:C494, C494, $G$2:G494), AVERAGE(FILTER($G$2:G494, $C$2:C494 = C494, $A$2:A494 &gt;= A494 - 30)))
"),"#DIV/0!")</f>
        <v>#DIV/0!</v>
      </c>
      <c r="I494" s="20" t="e">
        <f t="shared" ca="1" si="6"/>
        <v>#DIV/0!</v>
      </c>
      <c r="J494" s="20" t="str">
        <f ca="1">IFERROR(__xludf.DUMMYFUNCTION("IF(OR($I494=2, $I494=3), 0, IFERROR(COUNTIFS($C$2:C494, $C494, $A$2:A495, ""&gt;""&amp;IFERROR(MAX(FILTER($A$2:A495, $C$2:C494=$C494, $I$2:I494&lt;&gt;1)), 0), $I$2:I494, 1),1))
"),"#DIV/0!")</f>
        <v>#DIV/0!</v>
      </c>
      <c r="K494" s="7" t="e">
        <f t="shared" ca="1" si="7"/>
        <v>#DIV/0!</v>
      </c>
      <c r="L494" s="20" t="e">
        <f t="shared" ca="1" si="8"/>
        <v>#DIV/0!</v>
      </c>
      <c r="M494" s="21" t="e">
        <f t="shared" ca="1" si="9"/>
        <v>#DIV/0!</v>
      </c>
      <c r="N494" s="20" t="str">
        <f ca="1">IFERROR(__xludf.DUMMYFUNCTION("IF(COUNTIFS($C$2:C494, C494, $A$2:A494, ""&lt;="" &amp; A494) &lt; 30, STDEV.P(FILTER($G$2:G494, $C$2:C494 = C494)), STDEV.P(FILTER($G$2:G494, $C$2:C494 = C494, $A$2:A494 &gt;= A494 - 30)))
"),"#DIV/0!")</f>
        <v>#DIV/0!</v>
      </c>
    </row>
    <row r="495" spans="1:14" x14ac:dyDescent="0.2">
      <c r="A495" s="35"/>
      <c r="B495" s="32"/>
      <c r="C495" s="32"/>
      <c r="D495" s="33"/>
      <c r="E495" s="33"/>
      <c r="F495" s="33"/>
      <c r="G495" s="19" t="e">
        <f t="shared" si="5"/>
        <v>#DIV/0!</v>
      </c>
      <c r="H495" s="20" t="str">
        <f ca="1">IFERROR(__xludf.DUMMYFUNCTION("IF(COUNTIFS($C$2:C495, C495, $A$2:A495, ""&lt;="" &amp; A495) &lt; 30, AVERAGEIF($C$2:C495, C495, $G$2:G495), AVERAGE(FILTER($G$2:G495, $C$2:C495 = C495, $A$2:A495 &gt;= A495 - 30)))
"),"#DIV/0!")</f>
        <v>#DIV/0!</v>
      </c>
      <c r="I495" s="20" t="e">
        <f t="shared" ca="1" si="6"/>
        <v>#DIV/0!</v>
      </c>
      <c r="J495" s="20" t="str">
        <f ca="1">IFERROR(__xludf.DUMMYFUNCTION("IF(OR($I495=2, $I495=3), 0, IFERROR(COUNTIFS($C$2:C495, $C495, $A$2:A496, ""&gt;""&amp;IFERROR(MAX(FILTER($A$2:A496, $C$2:C495=$C495, $I$2:I495&lt;&gt;1)), 0), $I$2:I495, 1),1))
"),"#DIV/0!")</f>
        <v>#DIV/0!</v>
      </c>
      <c r="K495" s="7" t="e">
        <f t="shared" ca="1" si="7"/>
        <v>#DIV/0!</v>
      </c>
      <c r="L495" s="20" t="e">
        <f t="shared" ca="1" si="8"/>
        <v>#DIV/0!</v>
      </c>
      <c r="M495" s="21" t="e">
        <f t="shared" ca="1" si="9"/>
        <v>#DIV/0!</v>
      </c>
      <c r="N495" s="20" t="str">
        <f ca="1">IFERROR(__xludf.DUMMYFUNCTION("IF(COUNTIFS($C$2:C495, C495, $A$2:A495, ""&lt;="" &amp; A495) &lt; 30, STDEV.P(FILTER($G$2:G495, $C$2:C495 = C495)), STDEV.P(FILTER($G$2:G495, $C$2:C495 = C495, $A$2:A495 &gt;= A495 - 30)))
"),"#DIV/0!")</f>
        <v>#DIV/0!</v>
      </c>
    </row>
    <row r="496" spans="1:14" x14ac:dyDescent="0.2">
      <c r="A496" s="35"/>
      <c r="B496" s="40"/>
      <c r="C496" s="40"/>
      <c r="D496" s="31"/>
      <c r="E496" s="31"/>
      <c r="F496" s="31"/>
      <c r="G496" s="19" t="e">
        <f t="shared" si="5"/>
        <v>#DIV/0!</v>
      </c>
      <c r="H496" s="20" t="str">
        <f ca="1">IFERROR(__xludf.DUMMYFUNCTION("IF(COUNTIFS($C$2:C496, C496, $A$2:A496, ""&lt;="" &amp; A496) &lt; 30, AVERAGEIF($C$2:C496, C496, $G$2:G496), AVERAGE(FILTER($G$2:G496, $C$2:C496 = C496, $A$2:A496 &gt;= A496 - 30)))
"),"#DIV/0!")</f>
        <v>#DIV/0!</v>
      </c>
      <c r="I496" s="20" t="e">
        <f t="shared" ca="1" si="6"/>
        <v>#DIV/0!</v>
      </c>
      <c r="J496" s="20" t="str">
        <f ca="1">IFERROR(__xludf.DUMMYFUNCTION("IF(OR($I496=2, $I496=3), 0, IFERROR(COUNTIFS($C$2:C496, $C496, $A$2:A497, ""&gt;""&amp;IFERROR(MAX(FILTER($A$2:A497, $C$2:C496=$C496, $I$2:I496&lt;&gt;1)), 0), $I$2:I496, 1),1))
"),"#DIV/0!")</f>
        <v>#DIV/0!</v>
      </c>
      <c r="K496" s="7" t="e">
        <f t="shared" ca="1" si="7"/>
        <v>#DIV/0!</v>
      </c>
      <c r="L496" s="20" t="e">
        <f t="shared" ca="1" si="8"/>
        <v>#DIV/0!</v>
      </c>
      <c r="M496" s="21" t="e">
        <f t="shared" ca="1" si="9"/>
        <v>#DIV/0!</v>
      </c>
      <c r="N496" s="20" t="str">
        <f ca="1">IFERROR(__xludf.DUMMYFUNCTION("IF(COUNTIFS($C$2:C496, C496, $A$2:A496, ""&lt;="" &amp; A496) &lt; 30, STDEV.P(FILTER($G$2:G496, $C$2:C496 = C496)), STDEV.P(FILTER($G$2:G496, $C$2:C496 = C496, $A$2:A496 &gt;= A496 - 30)))
"),"#DIV/0!")</f>
        <v>#DIV/0!</v>
      </c>
    </row>
    <row r="497" spans="1:14" x14ac:dyDescent="0.2">
      <c r="A497" s="35"/>
      <c r="B497" s="40"/>
      <c r="C497" s="40"/>
      <c r="D497" s="31"/>
      <c r="E497" s="31"/>
      <c r="F497" s="31"/>
      <c r="G497" s="19" t="e">
        <f t="shared" si="5"/>
        <v>#DIV/0!</v>
      </c>
      <c r="H497" s="20" t="str">
        <f ca="1">IFERROR(__xludf.DUMMYFUNCTION("IF(COUNTIFS($C$2:C497, C497, $A$2:A497, ""&lt;="" &amp; A497) &lt; 30, AVERAGEIF($C$2:C497, C497, $G$2:G497), AVERAGE(FILTER($G$2:G497, $C$2:C497 = C497, $A$2:A497 &gt;= A497 - 30)))
"),"#DIV/0!")</f>
        <v>#DIV/0!</v>
      </c>
      <c r="I497" s="20" t="e">
        <f t="shared" ca="1" si="6"/>
        <v>#DIV/0!</v>
      </c>
      <c r="J497" s="20" t="str">
        <f ca="1">IFERROR(__xludf.DUMMYFUNCTION("IF(OR($I497=2, $I497=3), 0, IFERROR(COUNTIFS($C$2:C497, $C497, $A$2:A498, ""&gt;""&amp;IFERROR(MAX(FILTER($A$2:A498, $C$2:C497=$C497, $I$2:I497&lt;&gt;1)), 0), $I$2:I497, 1),1))
"),"#DIV/0!")</f>
        <v>#DIV/0!</v>
      </c>
      <c r="K497" s="7" t="e">
        <f t="shared" ca="1" si="7"/>
        <v>#DIV/0!</v>
      </c>
      <c r="L497" s="20" t="e">
        <f t="shared" ca="1" si="8"/>
        <v>#DIV/0!</v>
      </c>
      <c r="M497" s="21" t="e">
        <f t="shared" ca="1" si="9"/>
        <v>#DIV/0!</v>
      </c>
      <c r="N497" s="20" t="str">
        <f ca="1">IFERROR(__xludf.DUMMYFUNCTION("IF(COUNTIFS($C$2:C497, C497, $A$2:A497, ""&lt;="" &amp; A497) &lt; 30, STDEV.P(FILTER($G$2:G497, $C$2:C497 = C497)), STDEV.P(FILTER($G$2:G497, $C$2:C497 = C497, $A$2:A497 &gt;= A497 - 30)))
"),"#DIV/0!")</f>
        <v>#DIV/0!</v>
      </c>
    </row>
    <row r="498" spans="1:14" x14ac:dyDescent="0.2">
      <c r="A498" s="35"/>
      <c r="B498" s="40"/>
      <c r="C498" s="40"/>
      <c r="D498" s="31"/>
      <c r="E498" s="31"/>
      <c r="F498" s="31"/>
      <c r="G498" s="19" t="e">
        <f t="shared" si="5"/>
        <v>#DIV/0!</v>
      </c>
      <c r="H498" s="20" t="str">
        <f ca="1">IFERROR(__xludf.DUMMYFUNCTION("IF(COUNTIFS($C$2:C498, C498, $A$2:A498, ""&lt;="" &amp; A498) &lt; 30, AVERAGEIF($C$2:C498, C498, $G$2:G498), AVERAGE(FILTER($G$2:G498, $C$2:C498 = C498, $A$2:A498 &gt;= A498 - 30)))
"),"#DIV/0!")</f>
        <v>#DIV/0!</v>
      </c>
      <c r="I498" s="20" t="e">
        <f t="shared" ca="1" si="6"/>
        <v>#DIV/0!</v>
      </c>
      <c r="J498" s="20" t="str">
        <f ca="1">IFERROR(__xludf.DUMMYFUNCTION("IF(OR($I498=2, $I498=3), 0, IFERROR(COUNTIFS($C$2:C498, $C498, $A$2:A499, ""&gt;""&amp;IFERROR(MAX(FILTER($A$2:A499, $C$2:C498=$C498, $I$2:I498&lt;&gt;1)), 0), $I$2:I498, 1),1))
"),"#DIV/0!")</f>
        <v>#DIV/0!</v>
      </c>
      <c r="K498" s="7" t="e">
        <f t="shared" ca="1" si="7"/>
        <v>#DIV/0!</v>
      </c>
      <c r="L498" s="20" t="e">
        <f t="shared" ca="1" si="8"/>
        <v>#DIV/0!</v>
      </c>
      <c r="M498" s="21" t="e">
        <f t="shared" ca="1" si="9"/>
        <v>#DIV/0!</v>
      </c>
      <c r="N498" s="20" t="str">
        <f ca="1">IFERROR(__xludf.DUMMYFUNCTION("IF(COUNTIFS($C$2:C498, C498, $A$2:A498, ""&lt;="" &amp; A498) &lt; 30, STDEV.P(FILTER($G$2:G498, $C$2:C498 = C498)), STDEV.P(FILTER($G$2:G498, $C$2:C498 = C498, $A$2:A498 &gt;= A498 - 30)))
"),"#DIV/0!")</f>
        <v>#DIV/0!</v>
      </c>
    </row>
    <row r="499" spans="1:14" x14ac:dyDescent="0.2">
      <c r="A499" s="35"/>
      <c r="B499" s="40"/>
      <c r="C499" s="40"/>
      <c r="D499" s="31"/>
      <c r="E499" s="31"/>
      <c r="F499" s="31"/>
      <c r="G499" s="19" t="e">
        <f t="shared" si="5"/>
        <v>#DIV/0!</v>
      </c>
      <c r="H499" s="20" t="str">
        <f ca="1">IFERROR(__xludf.DUMMYFUNCTION("IF(COUNTIFS($C$2:C499, C499, $A$2:A499, ""&lt;="" &amp; A499) &lt; 30, AVERAGEIF($C$2:C499, C499, $G$2:G499), AVERAGE(FILTER($G$2:G499, $C$2:C499 = C499, $A$2:A499 &gt;= A499 - 30)))
"),"#DIV/0!")</f>
        <v>#DIV/0!</v>
      </c>
      <c r="I499" s="20" t="e">
        <f t="shared" ca="1" si="6"/>
        <v>#DIV/0!</v>
      </c>
      <c r="J499" s="20" t="str">
        <f ca="1">IFERROR(__xludf.DUMMYFUNCTION("IF(OR($I499=2, $I499=3), 0, IFERROR(COUNTIFS($C$2:C499, $C499, $A$2:A500, ""&gt;""&amp;IFERROR(MAX(FILTER($A$2:A500, $C$2:C499=$C499, $I$2:I499&lt;&gt;1)), 0), $I$2:I499, 1),1))
"),"#DIV/0!")</f>
        <v>#DIV/0!</v>
      </c>
      <c r="K499" s="7" t="e">
        <f t="shared" ca="1" si="7"/>
        <v>#DIV/0!</v>
      </c>
      <c r="L499" s="20" t="e">
        <f t="shared" ca="1" si="8"/>
        <v>#DIV/0!</v>
      </c>
      <c r="M499" s="21" t="e">
        <f t="shared" ca="1" si="9"/>
        <v>#DIV/0!</v>
      </c>
      <c r="N499" s="20" t="str">
        <f ca="1">IFERROR(__xludf.DUMMYFUNCTION("IF(COUNTIFS($C$2:C499, C499, $A$2:A499, ""&lt;="" &amp; A499) &lt; 30, STDEV.P(FILTER($G$2:G499, $C$2:C499 = C499)), STDEV.P(FILTER($G$2:G499, $C$2:C499 = C499, $A$2:A499 &gt;= A499 - 30)))
"),"#DIV/0!")</f>
        <v>#DIV/0!</v>
      </c>
    </row>
    <row r="500" spans="1:14" x14ac:dyDescent="0.2">
      <c r="A500" s="35"/>
      <c r="B500" s="40"/>
      <c r="C500" s="40"/>
      <c r="D500" s="31"/>
      <c r="E500" s="31"/>
      <c r="F500" s="31"/>
      <c r="G500" s="19" t="e">
        <f t="shared" si="5"/>
        <v>#DIV/0!</v>
      </c>
      <c r="H500" s="20" t="str">
        <f ca="1">IFERROR(__xludf.DUMMYFUNCTION("IF(COUNTIFS($C$2:C500, C500, $A$2:A500, ""&lt;="" &amp; A500) &lt; 30, AVERAGEIF($C$2:C500, C500, $G$2:G500), AVERAGE(FILTER($G$2:G500, $C$2:C500 = C500, $A$2:A500 &gt;= A500 - 30)))
"),"#DIV/0!")</f>
        <v>#DIV/0!</v>
      </c>
      <c r="I500" s="20" t="e">
        <f t="shared" ca="1" si="6"/>
        <v>#DIV/0!</v>
      </c>
      <c r="J500" s="20" t="str">
        <f ca="1">IFERROR(__xludf.DUMMYFUNCTION("IF(OR($I500=2, $I500=3), 0, IFERROR(COUNTIFS($C$2:C500, $C500, $A$2:A501, ""&gt;""&amp;IFERROR(MAX(FILTER($A$2:A501, $C$2:C500=$C500, $I$2:I500&lt;&gt;1)), 0), $I$2:I500, 1),1))
"),"#DIV/0!")</f>
        <v>#DIV/0!</v>
      </c>
      <c r="K500" s="7" t="e">
        <f t="shared" ca="1" si="7"/>
        <v>#DIV/0!</v>
      </c>
      <c r="L500" s="20" t="e">
        <f t="shared" ca="1" si="8"/>
        <v>#DIV/0!</v>
      </c>
      <c r="M500" s="21" t="e">
        <f t="shared" ca="1" si="9"/>
        <v>#DIV/0!</v>
      </c>
      <c r="N500" s="20" t="str">
        <f ca="1">IFERROR(__xludf.DUMMYFUNCTION("IF(COUNTIFS($C$2:C500, C500, $A$2:A500, ""&lt;="" &amp; A500) &lt; 30, STDEV.P(FILTER($G$2:G500, $C$2:C500 = C500)), STDEV.P(FILTER($G$2:G500, $C$2:C500 = C500, $A$2:A500 &gt;= A500 - 30)))
"),"#DIV/0!")</f>
        <v>#DIV/0!</v>
      </c>
    </row>
    <row r="501" spans="1:14" x14ac:dyDescent="0.2">
      <c r="A501" s="35"/>
      <c r="B501" s="40"/>
      <c r="C501" s="40"/>
      <c r="D501" s="31"/>
      <c r="E501" s="31"/>
      <c r="F501" s="31"/>
      <c r="G501" s="19" t="e">
        <f t="shared" si="5"/>
        <v>#DIV/0!</v>
      </c>
      <c r="H501" s="20" t="str">
        <f ca="1">IFERROR(__xludf.DUMMYFUNCTION("IF(COUNTIFS($C$2:C501, C501, $A$2:A501, ""&lt;="" &amp; A501) &lt; 30, AVERAGEIF($C$2:C501, C501, $G$2:G501), AVERAGE(FILTER($G$2:G501, $C$2:C501 = C501, $A$2:A501 &gt;= A501 - 30)))
"),"#DIV/0!")</f>
        <v>#DIV/0!</v>
      </c>
      <c r="I501" s="20" t="e">
        <f t="shared" ca="1" si="6"/>
        <v>#DIV/0!</v>
      </c>
      <c r="J501" s="20" t="str">
        <f ca="1">IFERROR(__xludf.DUMMYFUNCTION("IF(OR($I501=2, $I501=3), 0, IFERROR(COUNTIFS($C$2:C501, $C501, $A$2:A502, ""&gt;""&amp;IFERROR(MAX(FILTER($A$2:A502, $C$2:C501=$C501, $I$2:I501&lt;&gt;1)), 0), $I$2:I501, 1),1))
"),"#DIV/0!")</f>
        <v>#DIV/0!</v>
      </c>
      <c r="K501" s="7" t="e">
        <f t="shared" ca="1" si="7"/>
        <v>#DIV/0!</v>
      </c>
      <c r="L501" s="20" t="e">
        <f t="shared" ca="1" si="8"/>
        <v>#DIV/0!</v>
      </c>
      <c r="M501" s="21" t="e">
        <f t="shared" ca="1" si="9"/>
        <v>#DIV/0!</v>
      </c>
      <c r="N501" s="20" t="str">
        <f ca="1">IFERROR(__xludf.DUMMYFUNCTION("IF(COUNTIFS($C$2:C501, C501, $A$2:A501, ""&lt;="" &amp; A501) &lt; 30, STDEV.P(FILTER($G$2:G501, $C$2:C501 = C501)), STDEV.P(FILTER($G$2:G501, $C$2:C501 = C501, $A$2:A501 &gt;= A501 - 30)))
"),"#DIV/0!")</f>
        <v>#DIV/0!</v>
      </c>
    </row>
    <row r="502" spans="1:14" x14ac:dyDescent="0.2">
      <c r="A502" s="35"/>
      <c r="B502" s="40"/>
      <c r="C502" s="40"/>
      <c r="D502" s="31"/>
      <c r="E502" s="31"/>
      <c r="F502" s="31"/>
      <c r="G502" s="19" t="e">
        <f t="shared" si="5"/>
        <v>#DIV/0!</v>
      </c>
      <c r="H502" s="20" t="str">
        <f ca="1">IFERROR(__xludf.DUMMYFUNCTION("IF(COUNTIFS($C$2:C502, C502, $A$2:A502, ""&lt;="" &amp; A502) &lt; 30, AVERAGEIF($C$2:C502, C502, $G$2:G502), AVERAGE(FILTER($G$2:G502, $C$2:C502 = C502, $A$2:A502 &gt;= A502 - 30)))
"),"#DIV/0!")</f>
        <v>#DIV/0!</v>
      </c>
      <c r="I502" s="20" t="e">
        <f t="shared" ca="1" si="6"/>
        <v>#DIV/0!</v>
      </c>
      <c r="J502" s="20" t="str">
        <f ca="1">IFERROR(__xludf.DUMMYFUNCTION("IF(OR($I502=2, $I502=3), 0, IFERROR(COUNTIFS($C$2:C502, $C502, $A$2:A503, ""&gt;""&amp;IFERROR(MAX(FILTER($A$2:A503, $C$2:C502=$C502, $I$2:I502&lt;&gt;1)), 0), $I$2:I502, 1),1))
"),"#DIV/0!")</f>
        <v>#DIV/0!</v>
      </c>
      <c r="K502" s="7" t="e">
        <f t="shared" ca="1" si="7"/>
        <v>#DIV/0!</v>
      </c>
      <c r="L502" s="20" t="e">
        <f t="shared" ca="1" si="8"/>
        <v>#DIV/0!</v>
      </c>
      <c r="M502" s="21" t="e">
        <f t="shared" ca="1" si="9"/>
        <v>#DIV/0!</v>
      </c>
      <c r="N502" s="20" t="str">
        <f ca="1">IFERROR(__xludf.DUMMYFUNCTION("IF(COUNTIFS($C$2:C502, C502, $A$2:A502, ""&lt;="" &amp; A502) &lt; 30, STDEV.P(FILTER($G$2:G502, $C$2:C502 = C502)), STDEV.P(FILTER($G$2:G502, $C$2:C502 = C502, $A$2:A502 &gt;= A502 - 30)))
"),"#DIV/0!")</f>
        <v>#DIV/0!</v>
      </c>
    </row>
    <row r="503" spans="1:14" x14ac:dyDescent="0.2">
      <c r="A503" s="35"/>
      <c r="B503" s="40"/>
      <c r="C503" s="40"/>
      <c r="D503" s="31"/>
      <c r="E503" s="31"/>
      <c r="F503" s="31"/>
      <c r="G503" s="19" t="e">
        <f t="shared" si="5"/>
        <v>#DIV/0!</v>
      </c>
      <c r="H503" s="20" t="str">
        <f ca="1">IFERROR(__xludf.DUMMYFUNCTION("IF(COUNTIFS($C$2:C503, C503, $A$2:A503, ""&lt;="" &amp; A503) &lt; 30, AVERAGEIF($C$2:C503, C503, $G$2:G503), AVERAGE(FILTER($G$2:G503, $C$2:C503 = C503, $A$2:A503 &gt;= A503 - 30)))
"),"#DIV/0!")</f>
        <v>#DIV/0!</v>
      </c>
      <c r="I503" s="20" t="e">
        <f t="shared" ca="1" si="6"/>
        <v>#DIV/0!</v>
      </c>
      <c r="J503" s="20" t="str">
        <f ca="1">IFERROR(__xludf.DUMMYFUNCTION("IF(OR($I503=2, $I503=3), 0, IFERROR(COUNTIFS($C$2:C503, $C503, $A$2:A504, ""&gt;""&amp;IFERROR(MAX(FILTER($A$2:A504, $C$2:C503=$C503, $I$2:I503&lt;&gt;1)), 0), $I$2:I503, 1),1))
"),"#DIV/0!")</f>
        <v>#DIV/0!</v>
      </c>
      <c r="K503" s="7" t="e">
        <f t="shared" ca="1" si="7"/>
        <v>#DIV/0!</v>
      </c>
      <c r="L503" s="20" t="e">
        <f t="shared" ca="1" si="8"/>
        <v>#DIV/0!</v>
      </c>
      <c r="M503" s="21" t="e">
        <f t="shared" ca="1" si="9"/>
        <v>#DIV/0!</v>
      </c>
      <c r="N503" s="20" t="str">
        <f ca="1">IFERROR(__xludf.DUMMYFUNCTION("IF(COUNTIFS($C$2:C503, C503, $A$2:A503, ""&lt;="" &amp; A503) &lt; 30, STDEV.P(FILTER($G$2:G503, $C$2:C503 = C503)), STDEV.P(FILTER($G$2:G503, $C$2:C503 = C503, $A$2:A503 &gt;= A503 - 30)))
"),"#DIV/0!")</f>
        <v>#DIV/0!</v>
      </c>
    </row>
    <row r="504" spans="1:14" x14ac:dyDescent="0.2">
      <c r="A504" s="35"/>
      <c r="B504" s="40"/>
      <c r="C504" s="40"/>
      <c r="D504" s="31"/>
      <c r="E504" s="31"/>
      <c r="F504" s="31"/>
      <c r="G504" s="19" t="e">
        <f t="shared" si="5"/>
        <v>#DIV/0!</v>
      </c>
      <c r="H504" s="20" t="str">
        <f ca="1">IFERROR(__xludf.DUMMYFUNCTION("IF(COUNTIFS($C$2:C504, C504, $A$2:A504, ""&lt;="" &amp; A504) &lt; 30, AVERAGEIF($C$2:C504, C504, $G$2:G504), AVERAGE(FILTER($G$2:G504, $C$2:C504 = C504, $A$2:A504 &gt;= A504 - 30)))
"),"#DIV/0!")</f>
        <v>#DIV/0!</v>
      </c>
      <c r="I504" s="20" t="e">
        <f t="shared" ca="1" si="6"/>
        <v>#DIV/0!</v>
      </c>
      <c r="J504" s="20" t="str">
        <f ca="1">IFERROR(__xludf.DUMMYFUNCTION("IF(OR($I504=2, $I504=3), 0, IFERROR(COUNTIFS($C$2:C504, $C504, $A$2:A505, ""&gt;""&amp;IFERROR(MAX(FILTER($A$2:A505, $C$2:C504=$C504, $I$2:I504&lt;&gt;1)), 0), $I$2:I504, 1),1))
"),"#DIV/0!")</f>
        <v>#DIV/0!</v>
      </c>
      <c r="K504" s="7" t="e">
        <f t="shared" ca="1" si="7"/>
        <v>#DIV/0!</v>
      </c>
      <c r="L504" s="20" t="e">
        <f t="shared" ca="1" si="8"/>
        <v>#DIV/0!</v>
      </c>
      <c r="M504" s="21" t="e">
        <f t="shared" ca="1" si="9"/>
        <v>#DIV/0!</v>
      </c>
      <c r="N504" s="20" t="str">
        <f ca="1">IFERROR(__xludf.DUMMYFUNCTION("IF(COUNTIFS($C$2:C504, C504, $A$2:A504, ""&lt;="" &amp; A504) &lt; 30, STDEV.P(FILTER($G$2:G504, $C$2:C504 = C504)), STDEV.P(FILTER($G$2:G504, $C$2:C504 = C504, $A$2:A504 &gt;= A504 - 30)))
"),"#DIV/0!")</f>
        <v>#DIV/0!</v>
      </c>
    </row>
    <row r="505" spans="1:14" x14ac:dyDescent="0.2">
      <c r="A505" s="35"/>
      <c r="B505" s="32"/>
      <c r="C505" s="32"/>
      <c r="D505" s="33"/>
      <c r="E505" s="33"/>
      <c r="F505" s="33"/>
      <c r="G505" s="19" t="e">
        <f t="shared" si="5"/>
        <v>#DIV/0!</v>
      </c>
      <c r="H505" s="20" t="str">
        <f ca="1">IFERROR(__xludf.DUMMYFUNCTION("IF(COUNTIFS($C$2:C505, C505, $A$2:A505, ""&lt;="" &amp; A505) &lt; 30, AVERAGEIF($C$2:C505, C505, $G$2:G505), AVERAGE(FILTER($G$2:G505, $C$2:C505 = C505, $A$2:A505 &gt;= A505 - 30)))
"),"#DIV/0!")</f>
        <v>#DIV/0!</v>
      </c>
      <c r="I505" s="20" t="e">
        <f t="shared" ca="1" si="6"/>
        <v>#DIV/0!</v>
      </c>
      <c r="J505" s="20" t="str">
        <f ca="1">IFERROR(__xludf.DUMMYFUNCTION("IF(OR($I505=2, $I505=3), 0, IFERROR(COUNTIFS($C$2:C505, $C505, $A$2:A506, ""&gt;""&amp;IFERROR(MAX(FILTER($A$2:A506, $C$2:C505=$C505, $I$2:I505&lt;&gt;1)), 0), $I$2:I505, 1),1))
"),"#DIV/0!")</f>
        <v>#DIV/0!</v>
      </c>
      <c r="K505" s="7" t="e">
        <f t="shared" ca="1" si="7"/>
        <v>#DIV/0!</v>
      </c>
      <c r="L505" s="20" t="e">
        <f t="shared" ca="1" si="8"/>
        <v>#DIV/0!</v>
      </c>
      <c r="M505" s="21" t="e">
        <f t="shared" ca="1" si="9"/>
        <v>#DIV/0!</v>
      </c>
      <c r="N505" s="20" t="str">
        <f ca="1">IFERROR(__xludf.DUMMYFUNCTION("IF(COUNTIFS($C$2:C505, C505, $A$2:A505, ""&lt;="" &amp; A505) &lt; 30, STDEV.P(FILTER($G$2:G505, $C$2:C505 = C505)), STDEV.P(FILTER($G$2:G505, $C$2:C505 = C505, $A$2:A505 &gt;= A505 - 30)))
"),"#DIV/0!")</f>
        <v>#DIV/0!</v>
      </c>
    </row>
    <row r="506" spans="1:14" x14ac:dyDescent="0.2">
      <c r="A506" s="35"/>
      <c r="B506" s="32"/>
      <c r="C506" s="32"/>
      <c r="D506" s="33"/>
      <c r="E506" s="33"/>
      <c r="F506" s="33"/>
      <c r="G506" s="19" t="e">
        <f t="shared" si="5"/>
        <v>#DIV/0!</v>
      </c>
      <c r="H506" s="20" t="str">
        <f ca="1">IFERROR(__xludf.DUMMYFUNCTION("IF(COUNTIFS($C$2:C506, C506, $A$2:A506, ""&lt;="" &amp; A506) &lt; 30, AVERAGEIF($C$2:C506, C506, $G$2:G506), AVERAGE(FILTER($G$2:G506, $C$2:C506 = C506, $A$2:A506 &gt;= A506 - 30)))
"),"#DIV/0!")</f>
        <v>#DIV/0!</v>
      </c>
      <c r="I506" s="20" t="e">
        <f t="shared" ca="1" si="6"/>
        <v>#DIV/0!</v>
      </c>
      <c r="J506" s="20" t="str">
        <f ca="1">IFERROR(__xludf.DUMMYFUNCTION("IF(OR($I506=2, $I506=3), 0, IFERROR(COUNTIFS($C$2:C506, $C506, $A$2:A507, ""&gt;""&amp;IFERROR(MAX(FILTER($A$2:A507, $C$2:C506=$C506, $I$2:I506&lt;&gt;1)), 0), $I$2:I506, 1),1))
"),"#DIV/0!")</f>
        <v>#DIV/0!</v>
      </c>
      <c r="K506" s="7" t="e">
        <f t="shared" ca="1" si="7"/>
        <v>#DIV/0!</v>
      </c>
      <c r="L506" s="20" t="e">
        <f t="shared" ca="1" si="8"/>
        <v>#DIV/0!</v>
      </c>
      <c r="M506" s="21" t="e">
        <f t="shared" ca="1" si="9"/>
        <v>#DIV/0!</v>
      </c>
      <c r="N506" s="20" t="str">
        <f ca="1">IFERROR(__xludf.DUMMYFUNCTION("IF(COUNTIFS($C$2:C506, C506, $A$2:A506, ""&lt;="" &amp; A506) &lt; 30, STDEV.P(FILTER($G$2:G506, $C$2:C506 = C506)), STDEV.P(FILTER($G$2:G506, $C$2:C506 = C506, $A$2:A506 &gt;= A506 - 30)))
"),"#DIV/0!")</f>
        <v>#DIV/0!</v>
      </c>
    </row>
    <row r="507" spans="1:14" x14ac:dyDescent="0.2">
      <c r="A507" s="35"/>
      <c r="B507" s="32"/>
      <c r="C507" s="32"/>
      <c r="D507" s="33"/>
      <c r="E507" s="33"/>
      <c r="F507" s="33"/>
      <c r="G507" s="19" t="e">
        <f t="shared" si="5"/>
        <v>#DIV/0!</v>
      </c>
      <c r="H507" s="20" t="str">
        <f ca="1">IFERROR(__xludf.DUMMYFUNCTION("IF(COUNTIFS($C$2:C507, C507, $A$2:A507, ""&lt;="" &amp; A507) &lt; 30, AVERAGEIF($C$2:C507, C507, $G$2:G507), AVERAGE(FILTER($G$2:G507, $C$2:C507 = C507, $A$2:A507 &gt;= A507 - 30)))
"),"#DIV/0!")</f>
        <v>#DIV/0!</v>
      </c>
      <c r="I507" s="20" t="e">
        <f t="shared" ca="1" si="6"/>
        <v>#DIV/0!</v>
      </c>
      <c r="J507" s="20" t="str">
        <f ca="1">IFERROR(__xludf.DUMMYFUNCTION("IF(OR($I507=2, $I507=3), 0, IFERROR(COUNTIFS($C$2:C507, $C507, $A$2:A508, ""&gt;""&amp;IFERROR(MAX(FILTER($A$2:A508, $C$2:C507=$C507, $I$2:I507&lt;&gt;1)), 0), $I$2:I507, 1),1))
"),"#DIV/0!")</f>
        <v>#DIV/0!</v>
      </c>
      <c r="K507" s="7" t="e">
        <f t="shared" ca="1" si="7"/>
        <v>#DIV/0!</v>
      </c>
      <c r="L507" s="20" t="e">
        <f t="shared" ca="1" si="8"/>
        <v>#DIV/0!</v>
      </c>
      <c r="M507" s="21" t="e">
        <f t="shared" ca="1" si="9"/>
        <v>#DIV/0!</v>
      </c>
      <c r="N507" s="20" t="str">
        <f ca="1">IFERROR(__xludf.DUMMYFUNCTION("IF(COUNTIFS($C$2:C507, C507, $A$2:A507, ""&lt;="" &amp; A507) &lt; 30, STDEV.P(FILTER($G$2:G507, $C$2:C507 = C507)), STDEV.P(FILTER($G$2:G507, $C$2:C507 = C507, $A$2:A507 &gt;= A507 - 30)))
"),"#DIV/0!")</f>
        <v>#DIV/0!</v>
      </c>
    </row>
    <row r="508" spans="1:14" x14ac:dyDescent="0.2">
      <c r="A508" s="35"/>
      <c r="B508" s="32"/>
      <c r="C508" s="32"/>
      <c r="D508" s="33"/>
      <c r="E508" s="33"/>
      <c r="F508" s="33"/>
      <c r="G508" s="19" t="e">
        <f t="shared" si="5"/>
        <v>#DIV/0!</v>
      </c>
      <c r="H508" s="20" t="str">
        <f ca="1">IFERROR(__xludf.DUMMYFUNCTION("IF(COUNTIFS($C$2:C508, C508, $A$2:A508, ""&lt;="" &amp; A508) &lt; 30, AVERAGEIF($C$2:C508, C508, $G$2:G508), AVERAGE(FILTER($G$2:G508, $C$2:C508 = C508, $A$2:A508 &gt;= A508 - 30)))
"),"#DIV/0!")</f>
        <v>#DIV/0!</v>
      </c>
      <c r="I508" s="20" t="e">
        <f t="shared" ca="1" si="6"/>
        <v>#DIV/0!</v>
      </c>
      <c r="J508" s="20" t="str">
        <f ca="1">IFERROR(__xludf.DUMMYFUNCTION("IF(OR($I508=2, $I508=3), 0, IFERROR(COUNTIFS($C$2:C508, $C508, $A$2:A509, ""&gt;""&amp;IFERROR(MAX(FILTER($A$2:A509, $C$2:C508=$C508, $I$2:I508&lt;&gt;1)), 0), $I$2:I508, 1),1))
"),"#DIV/0!")</f>
        <v>#DIV/0!</v>
      </c>
      <c r="K508" s="7" t="e">
        <f t="shared" ca="1" si="7"/>
        <v>#DIV/0!</v>
      </c>
      <c r="L508" s="20" t="e">
        <f t="shared" ca="1" si="8"/>
        <v>#DIV/0!</v>
      </c>
      <c r="M508" s="21" t="e">
        <f t="shared" ca="1" si="9"/>
        <v>#DIV/0!</v>
      </c>
      <c r="N508" s="20" t="str">
        <f ca="1">IFERROR(__xludf.DUMMYFUNCTION("IF(COUNTIFS($C$2:C508, C508, $A$2:A508, ""&lt;="" &amp; A508) &lt; 30, STDEV.P(FILTER($G$2:G508, $C$2:C508 = C508)), STDEV.P(FILTER($G$2:G508, $C$2:C508 = C508, $A$2:A508 &gt;= A508 - 30)))
"),"#DIV/0!")</f>
        <v>#DIV/0!</v>
      </c>
    </row>
    <row r="509" spans="1:14" x14ac:dyDescent="0.2">
      <c r="A509" s="35"/>
      <c r="B509" s="32"/>
      <c r="C509" s="32"/>
      <c r="D509" s="33"/>
      <c r="E509" s="33"/>
      <c r="F509" s="33"/>
      <c r="G509" s="19" t="e">
        <f t="shared" si="5"/>
        <v>#DIV/0!</v>
      </c>
      <c r="H509" s="20" t="str">
        <f ca="1">IFERROR(__xludf.DUMMYFUNCTION("IF(COUNTIFS($C$2:C509, C509, $A$2:A509, ""&lt;="" &amp; A509) &lt; 30, AVERAGEIF($C$2:C509, C509, $G$2:G509), AVERAGE(FILTER($G$2:G509, $C$2:C509 = C509, $A$2:A509 &gt;= A509 - 30)))
"),"#DIV/0!")</f>
        <v>#DIV/0!</v>
      </c>
      <c r="I509" s="20" t="e">
        <f t="shared" ca="1" si="6"/>
        <v>#DIV/0!</v>
      </c>
      <c r="J509" s="20" t="str">
        <f ca="1">IFERROR(__xludf.DUMMYFUNCTION("IF(OR($I509=2, $I509=3), 0, IFERROR(COUNTIFS($C$2:C509, $C509, $A$2:A510, ""&gt;""&amp;IFERROR(MAX(FILTER($A$2:A510, $C$2:C509=$C509, $I$2:I509&lt;&gt;1)), 0), $I$2:I509, 1),1))
"),"#DIV/0!")</f>
        <v>#DIV/0!</v>
      </c>
      <c r="K509" s="7" t="e">
        <f t="shared" ca="1" si="7"/>
        <v>#DIV/0!</v>
      </c>
      <c r="L509" s="20" t="e">
        <f t="shared" ca="1" si="8"/>
        <v>#DIV/0!</v>
      </c>
      <c r="M509" s="21" t="e">
        <f t="shared" ca="1" si="9"/>
        <v>#DIV/0!</v>
      </c>
      <c r="N509" s="20" t="str">
        <f ca="1">IFERROR(__xludf.DUMMYFUNCTION("IF(COUNTIFS($C$2:C509, C509, $A$2:A509, ""&lt;="" &amp; A509) &lt; 30, STDEV.P(FILTER($G$2:G509, $C$2:C509 = C509)), STDEV.P(FILTER($G$2:G509, $C$2:C509 = C509, $A$2:A509 &gt;= A509 - 30)))
"),"#DIV/0!")</f>
        <v>#DIV/0!</v>
      </c>
    </row>
    <row r="510" spans="1:14" x14ac:dyDescent="0.2">
      <c r="A510" s="35"/>
      <c r="B510" s="32"/>
      <c r="C510" s="32"/>
      <c r="D510" s="33"/>
      <c r="E510" s="33"/>
      <c r="F510" s="33"/>
      <c r="G510" s="19" t="e">
        <f t="shared" si="5"/>
        <v>#DIV/0!</v>
      </c>
      <c r="H510" s="20" t="str">
        <f ca="1">IFERROR(__xludf.DUMMYFUNCTION("IF(COUNTIFS($C$2:C510, C510, $A$2:A510, ""&lt;="" &amp; A510) &lt; 30, AVERAGEIF($C$2:C510, C510, $G$2:G510), AVERAGE(FILTER($G$2:G510, $C$2:C510 = C510, $A$2:A510 &gt;= A510 - 30)))
"),"#DIV/0!")</f>
        <v>#DIV/0!</v>
      </c>
      <c r="I510" s="20" t="e">
        <f t="shared" ca="1" si="6"/>
        <v>#DIV/0!</v>
      </c>
      <c r="J510" s="20" t="str">
        <f ca="1">IFERROR(__xludf.DUMMYFUNCTION("IF(OR($I510=2, $I510=3), 0, IFERROR(COUNTIFS($C$2:C510, $C510, $A$2:A511, ""&gt;""&amp;IFERROR(MAX(FILTER($A$2:A511, $C$2:C510=$C510, $I$2:I510&lt;&gt;1)), 0), $I$2:I510, 1),1))
"),"#DIV/0!")</f>
        <v>#DIV/0!</v>
      </c>
      <c r="K510" s="7" t="e">
        <f t="shared" ca="1" si="7"/>
        <v>#DIV/0!</v>
      </c>
      <c r="L510" s="20" t="e">
        <f t="shared" ca="1" si="8"/>
        <v>#DIV/0!</v>
      </c>
      <c r="M510" s="21" t="e">
        <f t="shared" ca="1" si="9"/>
        <v>#DIV/0!</v>
      </c>
      <c r="N510" s="20" t="str">
        <f ca="1">IFERROR(__xludf.DUMMYFUNCTION("IF(COUNTIFS($C$2:C510, C510, $A$2:A510, ""&lt;="" &amp; A510) &lt; 30, STDEV.P(FILTER($G$2:G510, $C$2:C510 = C510)), STDEV.P(FILTER($G$2:G510, $C$2:C510 = C510, $A$2:A510 &gt;= A510 - 30)))
"),"#DIV/0!")</f>
        <v>#DIV/0!</v>
      </c>
    </row>
    <row r="511" spans="1:14" x14ac:dyDescent="0.2">
      <c r="A511" s="35"/>
      <c r="B511" s="32"/>
      <c r="C511" s="32"/>
      <c r="D511" s="33"/>
      <c r="E511" s="33"/>
      <c r="F511" s="33"/>
      <c r="G511" s="19" t="e">
        <f t="shared" si="5"/>
        <v>#DIV/0!</v>
      </c>
      <c r="H511" s="20" t="str">
        <f ca="1">IFERROR(__xludf.DUMMYFUNCTION("IF(COUNTIFS($C$2:C511, C511, $A$2:A511, ""&lt;="" &amp; A511) &lt; 30, AVERAGEIF($C$2:C511, C511, $G$2:G511), AVERAGE(FILTER($G$2:G511, $C$2:C511 = C511, $A$2:A511 &gt;= A511 - 30)))
"),"#DIV/0!")</f>
        <v>#DIV/0!</v>
      </c>
      <c r="I511" s="20" t="e">
        <f t="shared" ca="1" si="6"/>
        <v>#DIV/0!</v>
      </c>
      <c r="J511" s="20" t="str">
        <f ca="1">IFERROR(__xludf.DUMMYFUNCTION("IF(OR($I511=2, $I511=3), 0, IFERROR(COUNTIFS($C$2:C511, $C511, $A$2:A512, ""&gt;""&amp;IFERROR(MAX(FILTER($A$2:A512, $C$2:C511=$C511, $I$2:I511&lt;&gt;1)), 0), $I$2:I511, 1),1))
"),"#DIV/0!")</f>
        <v>#DIV/0!</v>
      </c>
      <c r="K511" s="7" t="e">
        <f t="shared" ca="1" si="7"/>
        <v>#DIV/0!</v>
      </c>
      <c r="L511" s="20" t="e">
        <f t="shared" ca="1" si="8"/>
        <v>#DIV/0!</v>
      </c>
      <c r="M511" s="21" t="e">
        <f t="shared" ca="1" si="9"/>
        <v>#DIV/0!</v>
      </c>
      <c r="N511" s="20" t="str">
        <f ca="1">IFERROR(__xludf.DUMMYFUNCTION("IF(COUNTIFS($C$2:C511, C511, $A$2:A511, ""&lt;="" &amp; A511) &lt; 30, STDEV.P(FILTER($G$2:G511, $C$2:C511 = C511)), STDEV.P(FILTER($G$2:G511, $C$2:C511 = C511, $A$2:A511 &gt;= A511 - 30)))
"),"#DIV/0!")</f>
        <v>#DIV/0!</v>
      </c>
    </row>
    <row r="512" spans="1:14" x14ac:dyDescent="0.2">
      <c r="A512" s="35"/>
      <c r="B512" s="32"/>
      <c r="C512" s="32"/>
      <c r="D512" s="33"/>
      <c r="E512" s="33"/>
      <c r="F512" s="33"/>
      <c r="G512" s="19" t="e">
        <f t="shared" ref="G512:G766" si="10">AVERAGE(D512:F512)</f>
        <v>#DIV/0!</v>
      </c>
      <c r="H512" s="20" t="str">
        <f ca="1">IFERROR(__xludf.DUMMYFUNCTION("IF(COUNTIFS($C$2:C512, C512, $A$2:A512, ""&lt;="" &amp; A512) &lt; 30, AVERAGEIF($C$2:C512, C512, $G$2:G512), AVERAGE(FILTER($G$2:G512, $C$2:C512 = C512, $A$2:A512 &gt;= A512 - 30)))
"),"#DIV/0!")</f>
        <v>#DIV/0!</v>
      </c>
      <c r="I512" s="20" t="e">
        <f t="shared" ref="I512:I766" ca="1" si="11">IF(L512 &gt;= 1, 3, IF(L512 &lt;= -1, 1, 2))</f>
        <v>#DIV/0!</v>
      </c>
      <c r="J512" s="20" t="str">
        <f ca="1">IFERROR(__xludf.DUMMYFUNCTION("IF(OR($I512=2, $I512=3), 0, IFERROR(COUNTIFS($C$2:C512, $C512, $A$2:A513, ""&gt;""&amp;IFERROR(MAX(FILTER($A$2:A513, $C$2:C512=$C512, $I$2:I512&lt;&gt;1)), 0), $I$2:I512, 1),1))
"),"#DIV/0!")</f>
        <v>#DIV/0!</v>
      </c>
      <c r="K512" s="7" t="e">
        <f t="shared" ref="K512:K766" ca="1" si="12">G512-H512</f>
        <v>#DIV/0!</v>
      </c>
      <c r="L512" s="20" t="e">
        <f t="shared" ref="L512:L766" ca="1" si="13">(G512 - H512) / N512</f>
        <v>#DIV/0!</v>
      </c>
      <c r="M512" s="21" t="e">
        <f t="shared" ref="M512:M766" ca="1" si="14">IF(H512&lt;&gt;0, ((G512-H512)/H512), 0)</f>
        <v>#DIV/0!</v>
      </c>
      <c r="N512" s="20" t="str">
        <f ca="1">IFERROR(__xludf.DUMMYFUNCTION("IF(COUNTIFS($C$2:C512, C512, $A$2:A512, ""&lt;="" &amp; A512) &lt; 30, STDEV.P(FILTER($G$2:G512, $C$2:C512 = C512)), STDEV.P(FILTER($G$2:G512, $C$2:C512 = C512, $A$2:A512 &gt;= A512 - 30)))
"),"#DIV/0!")</f>
        <v>#DIV/0!</v>
      </c>
    </row>
    <row r="513" spans="1:14" x14ac:dyDescent="0.2">
      <c r="A513" s="35"/>
      <c r="B513" s="32"/>
      <c r="C513" s="32"/>
      <c r="D513" s="33"/>
      <c r="E513" s="33"/>
      <c r="F513" s="33"/>
      <c r="G513" s="19" t="e">
        <f t="shared" si="10"/>
        <v>#DIV/0!</v>
      </c>
      <c r="H513" s="20" t="str">
        <f ca="1">IFERROR(__xludf.DUMMYFUNCTION("IF(COUNTIFS($C$2:C513, C513, $A$2:A513, ""&lt;="" &amp; A513) &lt; 30, AVERAGEIF($C$2:C513, C513, $G$2:G513), AVERAGE(FILTER($G$2:G513, $C$2:C513 = C513, $A$2:A513 &gt;= A513 - 30)))
"),"#DIV/0!")</f>
        <v>#DIV/0!</v>
      </c>
      <c r="I513" s="20" t="e">
        <f t="shared" ca="1" si="11"/>
        <v>#DIV/0!</v>
      </c>
      <c r="J513" s="20" t="str">
        <f ca="1">IFERROR(__xludf.DUMMYFUNCTION("IF(OR($I513=2, $I513=3), 0, IFERROR(COUNTIFS($C$2:C513, $C513, $A$2:A514, ""&gt;""&amp;IFERROR(MAX(FILTER($A$2:A514, $C$2:C513=$C513, $I$2:I513&lt;&gt;1)), 0), $I$2:I513, 1),1))
"),"#DIV/0!")</f>
        <v>#DIV/0!</v>
      </c>
      <c r="K513" s="7" t="e">
        <f t="shared" ca="1" si="12"/>
        <v>#DIV/0!</v>
      </c>
      <c r="L513" s="20" t="e">
        <f t="shared" ca="1" si="13"/>
        <v>#DIV/0!</v>
      </c>
      <c r="M513" s="21" t="e">
        <f t="shared" ca="1" si="14"/>
        <v>#DIV/0!</v>
      </c>
      <c r="N513" s="20" t="str">
        <f ca="1">IFERROR(__xludf.DUMMYFUNCTION("IF(COUNTIFS($C$2:C513, C513, $A$2:A513, ""&lt;="" &amp; A513) &lt; 30, STDEV.P(FILTER($G$2:G513, $C$2:C513 = C513)), STDEV.P(FILTER($G$2:G513, $C$2:C513 = C513, $A$2:A513 &gt;= A513 - 30)))
"),"#DIV/0!")</f>
        <v>#DIV/0!</v>
      </c>
    </row>
    <row r="514" spans="1:14" x14ac:dyDescent="0.2">
      <c r="A514" s="35"/>
      <c r="B514" s="32"/>
      <c r="C514" s="32"/>
      <c r="D514" s="33"/>
      <c r="E514" s="33"/>
      <c r="F514" s="33"/>
      <c r="G514" s="19" t="e">
        <f t="shared" si="10"/>
        <v>#DIV/0!</v>
      </c>
      <c r="H514" s="20" t="str">
        <f ca="1">IFERROR(__xludf.DUMMYFUNCTION("IF(COUNTIFS($C$2:C514, C514, $A$2:A514, ""&lt;="" &amp; A514) &lt; 30, AVERAGEIF($C$2:C514, C514, $G$2:G514), AVERAGE(FILTER($G$2:G514, $C$2:C514 = C514, $A$2:A514 &gt;= A514 - 30)))
"),"#DIV/0!")</f>
        <v>#DIV/0!</v>
      </c>
      <c r="I514" s="20" t="e">
        <f t="shared" ca="1" si="11"/>
        <v>#DIV/0!</v>
      </c>
      <c r="J514" s="20" t="str">
        <f ca="1">IFERROR(__xludf.DUMMYFUNCTION("IF(OR($I514=2, $I514=3), 0, IFERROR(COUNTIFS($C$2:C514, $C514, $A$2:A515, ""&gt;""&amp;IFERROR(MAX(FILTER($A$2:A515, $C$2:C514=$C514, $I$2:I514&lt;&gt;1)), 0), $I$2:I514, 1),1))
"),"#DIV/0!")</f>
        <v>#DIV/0!</v>
      </c>
      <c r="K514" s="7" t="e">
        <f t="shared" ca="1" si="12"/>
        <v>#DIV/0!</v>
      </c>
      <c r="L514" s="20" t="e">
        <f t="shared" ca="1" si="13"/>
        <v>#DIV/0!</v>
      </c>
      <c r="M514" s="21" t="e">
        <f t="shared" ca="1" si="14"/>
        <v>#DIV/0!</v>
      </c>
      <c r="N514" s="20" t="str">
        <f ca="1">IFERROR(__xludf.DUMMYFUNCTION("IF(COUNTIFS($C$2:C514, C514, $A$2:A514, ""&lt;="" &amp; A514) &lt; 30, STDEV.P(FILTER($G$2:G514, $C$2:C514 = C514)), STDEV.P(FILTER($G$2:G514, $C$2:C514 = C514, $A$2:A514 &gt;= A514 - 30)))
"),"#DIV/0!")</f>
        <v>#DIV/0!</v>
      </c>
    </row>
    <row r="515" spans="1:14" x14ac:dyDescent="0.2">
      <c r="A515" s="35"/>
      <c r="B515" s="32"/>
      <c r="C515" s="32"/>
      <c r="D515" s="33"/>
      <c r="E515" s="33"/>
      <c r="F515" s="33"/>
      <c r="G515" s="19" t="e">
        <f t="shared" si="10"/>
        <v>#DIV/0!</v>
      </c>
      <c r="H515" s="20" t="str">
        <f ca="1">IFERROR(__xludf.DUMMYFUNCTION("IF(COUNTIFS($C$2:C515, C515, $A$2:A515, ""&lt;="" &amp; A515) &lt; 30, AVERAGEIF($C$2:C515, C515, $G$2:G515), AVERAGE(FILTER($G$2:G515, $C$2:C515 = C515, $A$2:A515 &gt;= A515 - 30)))
"),"#DIV/0!")</f>
        <v>#DIV/0!</v>
      </c>
      <c r="I515" s="20" t="e">
        <f t="shared" ca="1" si="11"/>
        <v>#DIV/0!</v>
      </c>
      <c r="J515" s="20" t="str">
        <f ca="1">IFERROR(__xludf.DUMMYFUNCTION("IF(OR($I515=2, $I515=3), 0, IFERROR(COUNTIFS($C$2:C515, $C515, $A$2:A516, ""&gt;""&amp;IFERROR(MAX(FILTER($A$2:A516, $C$2:C515=$C515, $I$2:I515&lt;&gt;1)), 0), $I$2:I515, 1),1))
"),"#DIV/0!")</f>
        <v>#DIV/0!</v>
      </c>
      <c r="K515" s="7" t="e">
        <f t="shared" ca="1" si="12"/>
        <v>#DIV/0!</v>
      </c>
      <c r="L515" s="20" t="e">
        <f t="shared" ca="1" si="13"/>
        <v>#DIV/0!</v>
      </c>
      <c r="M515" s="21" t="e">
        <f t="shared" ca="1" si="14"/>
        <v>#DIV/0!</v>
      </c>
      <c r="N515" s="20" t="str">
        <f ca="1">IFERROR(__xludf.DUMMYFUNCTION("IF(COUNTIFS($C$2:C515, C515, $A$2:A515, ""&lt;="" &amp; A515) &lt; 30, STDEV.P(FILTER($G$2:G515, $C$2:C515 = C515)), STDEV.P(FILTER($G$2:G515, $C$2:C515 = C515, $A$2:A515 &gt;= A515 - 30)))
"),"#DIV/0!")</f>
        <v>#DIV/0!</v>
      </c>
    </row>
    <row r="516" spans="1:14" x14ac:dyDescent="0.2">
      <c r="A516" s="35"/>
      <c r="B516" s="32"/>
      <c r="C516" s="32"/>
      <c r="D516" s="33"/>
      <c r="E516" s="33"/>
      <c r="F516" s="33"/>
      <c r="G516" s="19" t="e">
        <f t="shared" si="10"/>
        <v>#DIV/0!</v>
      </c>
      <c r="H516" s="20" t="str">
        <f ca="1">IFERROR(__xludf.DUMMYFUNCTION("IF(COUNTIFS($C$2:C516, C516, $A$2:A516, ""&lt;="" &amp; A516) &lt; 30, AVERAGEIF($C$2:C516, C516, $G$2:G516), AVERAGE(FILTER($G$2:G516, $C$2:C516 = C516, $A$2:A516 &gt;= A516 - 30)))
"),"#DIV/0!")</f>
        <v>#DIV/0!</v>
      </c>
      <c r="I516" s="20" t="e">
        <f t="shared" ca="1" si="11"/>
        <v>#DIV/0!</v>
      </c>
      <c r="J516" s="20" t="str">
        <f ca="1">IFERROR(__xludf.DUMMYFUNCTION("IF(OR($I516=2, $I516=3), 0, IFERROR(COUNTIFS($C$2:C516, $C516, $A$2:A517, ""&gt;""&amp;IFERROR(MAX(FILTER($A$2:A517, $C$2:C516=$C516, $I$2:I516&lt;&gt;1)), 0), $I$2:I516, 1),1))
"),"#DIV/0!")</f>
        <v>#DIV/0!</v>
      </c>
      <c r="K516" s="7" t="e">
        <f t="shared" ca="1" si="12"/>
        <v>#DIV/0!</v>
      </c>
      <c r="L516" s="20" t="e">
        <f t="shared" ca="1" si="13"/>
        <v>#DIV/0!</v>
      </c>
      <c r="M516" s="21" t="e">
        <f t="shared" ca="1" si="14"/>
        <v>#DIV/0!</v>
      </c>
      <c r="N516" s="20" t="str">
        <f ca="1">IFERROR(__xludf.DUMMYFUNCTION("IF(COUNTIFS($C$2:C516, C516, $A$2:A516, ""&lt;="" &amp; A516) &lt; 30, STDEV.P(FILTER($G$2:G516, $C$2:C516 = C516)), STDEV.P(FILTER($G$2:G516, $C$2:C516 = C516, $A$2:A516 &gt;= A516 - 30)))
"),"#DIV/0!")</f>
        <v>#DIV/0!</v>
      </c>
    </row>
    <row r="517" spans="1:14" x14ac:dyDescent="0.2">
      <c r="A517" s="35"/>
      <c r="B517" s="32"/>
      <c r="C517" s="32"/>
      <c r="D517" s="33"/>
      <c r="E517" s="33"/>
      <c r="F517" s="33"/>
      <c r="G517" s="19" t="e">
        <f t="shared" si="10"/>
        <v>#DIV/0!</v>
      </c>
      <c r="H517" s="20" t="str">
        <f ca="1">IFERROR(__xludf.DUMMYFUNCTION("IF(COUNTIFS($C$2:C517, C517, $A$2:A517, ""&lt;="" &amp; A517) &lt; 30, AVERAGEIF($C$2:C517, C517, $G$2:G517), AVERAGE(FILTER($G$2:G517, $C$2:C517 = C517, $A$2:A517 &gt;= A517 - 30)))
"),"#DIV/0!")</f>
        <v>#DIV/0!</v>
      </c>
      <c r="I517" s="20" t="e">
        <f t="shared" ca="1" si="11"/>
        <v>#DIV/0!</v>
      </c>
      <c r="J517" s="20" t="str">
        <f ca="1">IFERROR(__xludf.DUMMYFUNCTION("IF(OR($I517=2, $I517=3), 0, IFERROR(COUNTIFS($C$2:C517, $C517, $A$2:A518, ""&gt;""&amp;IFERROR(MAX(FILTER($A$2:A518, $C$2:C517=$C517, $I$2:I517&lt;&gt;1)), 0), $I$2:I517, 1),1))
"),"#DIV/0!")</f>
        <v>#DIV/0!</v>
      </c>
      <c r="K517" s="7" t="e">
        <f t="shared" ca="1" si="12"/>
        <v>#DIV/0!</v>
      </c>
      <c r="L517" s="20" t="e">
        <f t="shared" ca="1" si="13"/>
        <v>#DIV/0!</v>
      </c>
      <c r="M517" s="21" t="e">
        <f t="shared" ca="1" si="14"/>
        <v>#DIV/0!</v>
      </c>
      <c r="N517" s="20" t="str">
        <f ca="1">IFERROR(__xludf.DUMMYFUNCTION("IF(COUNTIFS($C$2:C517, C517, $A$2:A517, ""&lt;="" &amp; A517) &lt; 30, STDEV.P(FILTER($G$2:G517, $C$2:C517 = C517)), STDEV.P(FILTER($G$2:G517, $C$2:C517 = C517, $A$2:A517 &gt;= A517 - 30)))
"),"#DIV/0!")</f>
        <v>#DIV/0!</v>
      </c>
    </row>
    <row r="518" spans="1:14" x14ac:dyDescent="0.2">
      <c r="A518" s="35"/>
      <c r="B518" s="32"/>
      <c r="C518" s="32"/>
      <c r="D518" s="33"/>
      <c r="E518" s="33"/>
      <c r="F518" s="33"/>
      <c r="G518" s="19" t="e">
        <f t="shared" si="10"/>
        <v>#DIV/0!</v>
      </c>
      <c r="H518" s="20" t="str">
        <f ca="1">IFERROR(__xludf.DUMMYFUNCTION("IF(COUNTIFS($C$2:C518, C518, $A$2:A518, ""&lt;="" &amp; A518) &lt; 30, AVERAGEIF($C$2:C518, C518, $G$2:G518), AVERAGE(FILTER($G$2:G518, $C$2:C518 = C518, $A$2:A518 &gt;= A518 - 30)))
"),"#DIV/0!")</f>
        <v>#DIV/0!</v>
      </c>
      <c r="I518" s="20" t="e">
        <f t="shared" ca="1" si="11"/>
        <v>#DIV/0!</v>
      </c>
      <c r="J518" s="20" t="str">
        <f ca="1">IFERROR(__xludf.DUMMYFUNCTION("IF(OR($I518=2, $I518=3), 0, IFERROR(COUNTIFS($C$2:C518, $C518, $A$2:A519, ""&gt;""&amp;IFERROR(MAX(FILTER($A$2:A519, $C$2:C518=$C518, $I$2:I518&lt;&gt;1)), 0), $I$2:I518, 1),1))
"),"#DIV/0!")</f>
        <v>#DIV/0!</v>
      </c>
      <c r="K518" s="7" t="e">
        <f t="shared" ca="1" si="12"/>
        <v>#DIV/0!</v>
      </c>
      <c r="L518" s="20" t="e">
        <f t="shared" ca="1" si="13"/>
        <v>#DIV/0!</v>
      </c>
      <c r="M518" s="21" t="e">
        <f t="shared" ca="1" si="14"/>
        <v>#DIV/0!</v>
      </c>
      <c r="N518" s="20" t="str">
        <f ca="1">IFERROR(__xludf.DUMMYFUNCTION("IF(COUNTIFS($C$2:C518, C518, $A$2:A518, ""&lt;="" &amp; A518) &lt; 30, STDEV.P(FILTER($G$2:G518, $C$2:C518 = C518)), STDEV.P(FILTER($G$2:G518, $C$2:C518 = C518, $A$2:A518 &gt;= A518 - 30)))
"),"#DIV/0!")</f>
        <v>#DIV/0!</v>
      </c>
    </row>
    <row r="519" spans="1:14" x14ac:dyDescent="0.2">
      <c r="A519" s="35"/>
      <c r="B519" s="32"/>
      <c r="C519" s="32"/>
      <c r="D519" s="33"/>
      <c r="E519" s="33"/>
      <c r="F519" s="33"/>
      <c r="G519" s="19" t="e">
        <f t="shared" si="10"/>
        <v>#DIV/0!</v>
      </c>
      <c r="H519" s="20" t="str">
        <f ca="1">IFERROR(__xludf.DUMMYFUNCTION("IF(COUNTIFS($C$2:C519, C519, $A$2:A519, ""&lt;="" &amp; A519) &lt; 30, AVERAGEIF($C$2:C519, C519, $G$2:G519), AVERAGE(FILTER($G$2:G519, $C$2:C519 = C519, $A$2:A519 &gt;= A519 - 30)))
"),"#DIV/0!")</f>
        <v>#DIV/0!</v>
      </c>
      <c r="I519" s="20" t="e">
        <f t="shared" ca="1" si="11"/>
        <v>#DIV/0!</v>
      </c>
      <c r="J519" s="20" t="str">
        <f ca="1">IFERROR(__xludf.DUMMYFUNCTION("IF(OR($I519=2, $I519=3), 0, IFERROR(COUNTIFS($C$2:C519, $C519, $A$2:A520, ""&gt;""&amp;IFERROR(MAX(FILTER($A$2:A520, $C$2:C519=$C519, $I$2:I519&lt;&gt;1)), 0), $I$2:I519, 1),1))
"),"#DIV/0!")</f>
        <v>#DIV/0!</v>
      </c>
      <c r="K519" s="7" t="e">
        <f t="shared" ca="1" si="12"/>
        <v>#DIV/0!</v>
      </c>
      <c r="L519" s="20" t="e">
        <f t="shared" ca="1" si="13"/>
        <v>#DIV/0!</v>
      </c>
      <c r="M519" s="21" t="e">
        <f t="shared" ca="1" si="14"/>
        <v>#DIV/0!</v>
      </c>
      <c r="N519" s="20" t="str">
        <f ca="1">IFERROR(__xludf.DUMMYFUNCTION("IF(COUNTIFS($C$2:C519, C519, $A$2:A519, ""&lt;="" &amp; A519) &lt; 30, STDEV.P(FILTER($G$2:G519, $C$2:C519 = C519)), STDEV.P(FILTER($G$2:G519, $C$2:C519 = C519, $A$2:A519 &gt;= A519 - 30)))
"),"#DIV/0!")</f>
        <v>#DIV/0!</v>
      </c>
    </row>
    <row r="520" spans="1:14" x14ac:dyDescent="0.2">
      <c r="A520" s="35"/>
      <c r="B520" s="40"/>
      <c r="C520" s="40"/>
      <c r="D520" s="31"/>
      <c r="E520" s="31"/>
      <c r="F520" s="31"/>
      <c r="G520" s="19" t="e">
        <f t="shared" si="10"/>
        <v>#DIV/0!</v>
      </c>
      <c r="H520" s="20" t="str">
        <f ca="1">IFERROR(__xludf.DUMMYFUNCTION("IF(COUNTIFS($C$2:C520, C520, $A$2:A520, ""&lt;="" &amp; A520) &lt; 30, AVERAGEIF($C$2:C520, C520, $G$2:G520), AVERAGE(FILTER($G$2:G520, $C$2:C520 = C520, $A$2:A520 &gt;= A520 - 30)))
"),"#DIV/0!")</f>
        <v>#DIV/0!</v>
      </c>
      <c r="I520" s="20" t="e">
        <f t="shared" ca="1" si="11"/>
        <v>#DIV/0!</v>
      </c>
      <c r="J520" s="20" t="str">
        <f ca="1">IFERROR(__xludf.DUMMYFUNCTION("IF(OR($I520=2, $I520=3), 0, IFERROR(COUNTIFS($C$2:C520, $C520, $A$2:A521, ""&gt;""&amp;IFERROR(MAX(FILTER($A$2:A521, $C$2:C520=$C520, $I$2:I520&lt;&gt;1)), 0), $I$2:I520, 1),1))
"),"#DIV/0!")</f>
        <v>#DIV/0!</v>
      </c>
      <c r="K520" s="7" t="e">
        <f t="shared" ca="1" si="12"/>
        <v>#DIV/0!</v>
      </c>
      <c r="L520" s="20" t="e">
        <f t="shared" ca="1" si="13"/>
        <v>#DIV/0!</v>
      </c>
      <c r="M520" s="21" t="e">
        <f t="shared" ca="1" si="14"/>
        <v>#DIV/0!</v>
      </c>
      <c r="N520" s="20" t="str">
        <f ca="1">IFERROR(__xludf.DUMMYFUNCTION("IF(COUNTIFS($C$2:C520, C520, $A$2:A520, ""&lt;="" &amp; A520) &lt; 30, STDEV.P(FILTER($G$2:G520, $C$2:C520 = C520)), STDEV.P(FILTER($G$2:G520, $C$2:C520 = C520, $A$2:A520 &gt;= A520 - 30)))
"),"#DIV/0!")</f>
        <v>#DIV/0!</v>
      </c>
    </row>
    <row r="521" spans="1:14" x14ac:dyDescent="0.2">
      <c r="A521" s="35"/>
      <c r="B521" s="40"/>
      <c r="C521" s="40"/>
      <c r="D521" s="31"/>
      <c r="E521" s="31"/>
      <c r="F521" s="31"/>
      <c r="G521" s="19" t="e">
        <f t="shared" si="10"/>
        <v>#DIV/0!</v>
      </c>
      <c r="H521" s="20" t="str">
        <f ca="1">IFERROR(__xludf.DUMMYFUNCTION("IF(COUNTIFS($C$2:C521, C521, $A$2:A521, ""&lt;="" &amp; A521) &lt; 30, AVERAGEIF($C$2:C521, C521, $G$2:G521), AVERAGE(FILTER($G$2:G521, $C$2:C521 = C521, $A$2:A521 &gt;= A521 - 30)))
"),"#DIV/0!")</f>
        <v>#DIV/0!</v>
      </c>
      <c r="I521" s="20" t="e">
        <f t="shared" ca="1" si="11"/>
        <v>#DIV/0!</v>
      </c>
      <c r="J521" s="20" t="str">
        <f ca="1">IFERROR(__xludf.DUMMYFUNCTION("IF(OR($I521=2, $I521=3), 0, IFERROR(COUNTIFS($C$2:C521, $C521, $A$2:A522, ""&gt;""&amp;IFERROR(MAX(FILTER($A$2:A522, $C$2:C521=$C521, $I$2:I521&lt;&gt;1)), 0), $I$2:I521, 1),1))
"),"#DIV/0!")</f>
        <v>#DIV/0!</v>
      </c>
      <c r="K521" s="7" t="e">
        <f t="shared" ca="1" si="12"/>
        <v>#DIV/0!</v>
      </c>
      <c r="L521" s="20" t="e">
        <f t="shared" ca="1" si="13"/>
        <v>#DIV/0!</v>
      </c>
      <c r="M521" s="21" t="e">
        <f t="shared" ca="1" si="14"/>
        <v>#DIV/0!</v>
      </c>
      <c r="N521" s="20" t="str">
        <f ca="1">IFERROR(__xludf.DUMMYFUNCTION("IF(COUNTIFS($C$2:C521, C521, $A$2:A521, ""&lt;="" &amp; A521) &lt; 30, STDEV.P(FILTER($G$2:G521, $C$2:C521 = C521)), STDEV.P(FILTER($G$2:G521, $C$2:C521 = C521, $A$2:A521 &gt;= A521 - 30)))
"),"#DIV/0!")</f>
        <v>#DIV/0!</v>
      </c>
    </row>
    <row r="522" spans="1:14" x14ac:dyDescent="0.2">
      <c r="A522" s="35"/>
      <c r="B522" s="40"/>
      <c r="C522" s="40"/>
      <c r="D522" s="31"/>
      <c r="E522" s="31"/>
      <c r="F522" s="31"/>
      <c r="G522" s="19" t="e">
        <f t="shared" si="10"/>
        <v>#DIV/0!</v>
      </c>
      <c r="H522" s="20" t="str">
        <f ca="1">IFERROR(__xludf.DUMMYFUNCTION("IF(COUNTIFS($C$2:C522, C522, $A$2:A522, ""&lt;="" &amp; A522) &lt; 30, AVERAGEIF($C$2:C522, C522, $G$2:G522), AVERAGE(FILTER($G$2:G522, $C$2:C522 = C522, $A$2:A522 &gt;= A522 - 30)))
"),"#DIV/0!")</f>
        <v>#DIV/0!</v>
      </c>
      <c r="I522" s="20" t="e">
        <f t="shared" ca="1" si="11"/>
        <v>#DIV/0!</v>
      </c>
      <c r="J522" s="20" t="str">
        <f ca="1">IFERROR(__xludf.DUMMYFUNCTION("IF(OR($I522=2, $I522=3), 0, IFERROR(COUNTIFS($C$2:C522, $C522, $A$2:A523, ""&gt;""&amp;IFERROR(MAX(FILTER($A$2:A523, $C$2:C522=$C522, $I$2:I522&lt;&gt;1)), 0), $I$2:I522, 1),1))
"),"#DIV/0!")</f>
        <v>#DIV/0!</v>
      </c>
      <c r="K522" s="7" t="e">
        <f t="shared" ca="1" si="12"/>
        <v>#DIV/0!</v>
      </c>
      <c r="L522" s="20" t="e">
        <f t="shared" ca="1" si="13"/>
        <v>#DIV/0!</v>
      </c>
      <c r="M522" s="21" t="e">
        <f t="shared" ca="1" si="14"/>
        <v>#DIV/0!</v>
      </c>
      <c r="N522" s="20" t="str">
        <f ca="1">IFERROR(__xludf.DUMMYFUNCTION("IF(COUNTIFS($C$2:C522, C522, $A$2:A522, ""&lt;="" &amp; A522) &lt; 30, STDEV.P(FILTER($G$2:G522, $C$2:C522 = C522)), STDEV.P(FILTER($G$2:G522, $C$2:C522 = C522, $A$2:A522 &gt;= A522 - 30)))
"),"#DIV/0!")</f>
        <v>#DIV/0!</v>
      </c>
    </row>
    <row r="523" spans="1:14" x14ac:dyDescent="0.2">
      <c r="A523" s="35"/>
      <c r="B523" s="40"/>
      <c r="C523" s="40"/>
      <c r="D523" s="31"/>
      <c r="E523" s="31"/>
      <c r="F523" s="31"/>
      <c r="G523" s="19" t="e">
        <f t="shared" si="10"/>
        <v>#DIV/0!</v>
      </c>
      <c r="H523" s="20" t="str">
        <f ca="1">IFERROR(__xludf.DUMMYFUNCTION("IF(COUNTIFS($C$2:C523, C523, $A$2:A523, ""&lt;="" &amp; A523) &lt; 30, AVERAGEIF($C$2:C523, C523, $G$2:G523), AVERAGE(FILTER($G$2:G523, $C$2:C523 = C523, $A$2:A523 &gt;= A523 - 30)))
"),"#DIV/0!")</f>
        <v>#DIV/0!</v>
      </c>
      <c r="I523" s="20" t="e">
        <f t="shared" ca="1" si="11"/>
        <v>#DIV/0!</v>
      </c>
      <c r="J523" s="20" t="str">
        <f ca="1">IFERROR(__xludf.DUMMYFUNCTION("IF(OR($I523=2, $I523=3), 0, IFERROR(COUNTIFS($C$2:C523, $C523, $A$2:A524, ""&gt;""&amp;IFERROR(MAX(FILTER($A$2:A524, $C$2:C523=$C523, $I$2:I523&lt;&gt;1)), 0), $I$2:I523, 1),1))
"),"#DIV/0!")</f>
        <v>#DIV/0!</v>
      </c>
      <c r="K523" s="7" t="e">
        <f t="shared" ca="1" si="12"/>
        <v>#DIV/0!</v>
      </c>
      <c r="L523" s="20" t="e">
        <f t="shared" ca="1" si="13"/>
        <v>#DIV/0!</v>
      </c>
      <c r="M523" s="21" t="e">
        <f t="shared" ca="1" si="14"/>
        <v>#DIV/0!</v>
      </c>
      <c r="N523" s="20" t="str">
        <f ca="1">IFERROR(__xludf.DUMMYFUNCTION("IF(COUNTIFS($C$2:C523, C523, $A$2:A523, ""&lt;="" &amp; A523) &lt; 30, STDEV.P(FILTER($G$2:G523, $C$2:C523 = C523)), STDEV.P(FILTER($G$2:G523, $C$2:C523 = C523, $A$2:A523 &gt;= A523 - 30)))
"),"#DIV/0!")</f>
        <v>#DIV/0!</v>
      </c>
    </row>
    <row r="524" spans="1:14" x14ac:dyDescent="0.2">
      <c r="A524" s="35"/>
      <c r="B524" s="40"/>
      <c r="C524" s="40"/>
      <c r="D524" s="31"/>
      <c r="E524" s="31"/>
      <c r="F524" s="31"/>
      <c r="G524" s="19" t="e">
        <f t="shared" si="10"/>
        <v>#DIV/0!</v>
      </c>
      <c r="H524" s="20" t="str">
        <f ca="1">IFERROR(__xludf.DUMMYFUNCTION("IF(COUNTIFS($C$2:C524, C524, $A$2:A524, ""&lt;="" &amp; A524) &lt; 30, AVERAGEIF($C$2:C524, C524, $G$2:G524), AVERAGE(FILTER($G$2:G524, $C$2:C524 = C524, $A$2:A524 &gt;= A524 - 30)))
"),"#DIV/0!")</f>
        <v>#DIV/0!</v>
      </c>
      <c r="I524" s="20" t="e">
        <f t="shared" ca="1" si="11"/>
        <v>#DIV/0!</v>
      </c>
      <c r="J524" s="20" t="str">
        <f ca="1">IFERROR(__xludf.DUMMYFUNCTION("IF(OR($I524=2, $I524=3), 0, IFERROR(COUNTIFS($C$2:C524, $C524, $A$2:A525, ""&gt;""&amp;IFERROR(MAX(FILTER($A$2:A525, $C$2:C524=$C524, $I$2:I524&lt;&gt;1)), 0), $I$2:I524, 1),1))
"),"#DIV/0!")</f>
        <v>#DIV/0!</v>
      </c>
      <c r="K524" s="7" t="e">
        <f t="shared" ca="1" si="12"/>
        <v>#DIV/0!</v>
      </c>
      <c r="L524" s="20" t="e">
        <f t="shared" ca="1" si="13"/>
        <v>#DIV/0!</v>
      </c>
      <c r="M524" s="21" t="e">
        <f t="shared" ca="1" si="14"/>
        <v>#DIV/0!</v>
      </c>
      <c r="N524" s="20" t="str">
        <f ca="1">IFERROR(__xludf.DUMMYFUNCTION("IF(COUNTIFS($C$2:C524, C524, $A$2:A524, ""&lt;="" &amp; A524) &lt; 30, STDEV.P(FILTER($G$2:G524, $C$2:C524 = C524)), STDEV.P(FILTER($G$2:G524, $C$2:C524 = C524, $A$2:A524 &gt;= A524 - 30)))
"),"#DIV/0!")</f>
        <v>#DIV/0!</v>
      </c>
    </row>
    <row r="525" spans="1:14" x14ac:dyDescent="0.2">
      <c r="A525" s="35"/>
      <c r="B525" s="40"/>
      <c r="C525" s="40"/>
      <c r="D525" s="31"/>
      <c r="E525" s="31"/>
      <c r="F525" s="31"/>
      <c r="G525" s="19" t="e">
        <f t="shared" si="10"/>
        <v>#DIV/0!</v>
      </c>
      <c r="H525" s="20" t="str">
        <f ca="1">IFERROR(__xludf.DUMMYFUNCTION("IF(COUNTIFS($C$2:C525, C525, $A$2:A525, ""&lt;="" &amp; A525) &lt; 30, AVERAGEIF($C$2:C525, C525, $G$2:G525), AVERAGE(FILTER($G$2:G525, $C$2:C525 = C525, $A$2:A525 &gt;= A525 - 30)))
"),"#DIV/0!")</f>
        <v>#DIV/0!</v>
      </c>
      <c r="I525" s="20" t="e">
        <f t="shared" ca="1" si="11"/>
        <v>#DIV/0!</v>
      </c>
      <c r="J525" s="20" t="str">
        <f ca="1">IFERROR(__xludf.DUMMYFUNCTION("IF(OR($I525=2, $I525=3), 0, IFERROR(COUNTIFS($C$2:C525, $C525, $A$2:A526, ""&gt;""&amp;IFERROR(MAX(FILTER($A$2:A526, $C$2:C525=$C525, $I$2:I525&lt;&gt;1)), 0), $I$2:I525, 1),1))
"),"#DIV/0!")</f>
        <v>#DIV/0!</v>
      </c>
      <c r="K525" s="7" t="e">
        <f t="shared" ca="1" si="12"/>
        <v>#DIV/0!</v>
      </c>
      <c r="L525" s="20" t="e">
        <f t="shared" ca="1" si="13"/>
        <v>#DIV/0!</v>
      </c>
      <c r="M525" s="21" t="e">
        <f t="shared" ca="1" si="14"/>
        <v>#DIV/0!</v>
      </c>
      <c r="N525" s="20" t="str">
        <f ca="1">IFERROR(__xludf.DUMMYFUNCTION("IF(COUNTIFS($C$2:C525, C525, $A$2:A525, ""&lt;="" &amp; A525) &lt; 30, STDEV.P(FILTER($G$2:G525, $C$2:C525 = C525)), STDEV.P(FILTER($G$2:G525, $C$2:C525 = C525, $A$2:A525 &gt;= A525 - 30)))
"),"#DIV/0!")</f>
        <v>#DIV/0!</v>
      </c>
    </row>
    <row r="526" spans="1:14" x14ac:dyDescent="0.2">
      <c r="A526" s="35"/>
      <c r="B526" s="40"/>
      <c r="C526" s="40"/>
      <c r="D526" s="31"/>
      <c r="E526" s="31"/>
      <c r="F526" s="31"/>
      <c r="G526" s="19" t="e">
        <f t="shared" si="10"/>
        <v>#DIV/0!</v>
      </c>
      <c r="H526" s="20" t="str">
        <f ca="1">IFERROR(__xludf.DUMMYFUNCTION("IF(COUNTIFS($C$2:C526, C526, $A$2:A526, ""&lt;="" &amp; A526) &lt; 30, AVERAGEIF($C$2:C526, C526, $G$2:G526), AVERAGE(FILTER($G$2:G526, $C$2:C526 = C526, $A$2:A526 &gt;= A526 - 30)))
"),"#DIV/0!")</f>
        <v>#DIV/0!</v>
      </c>
      <c r="I526" s="20" t="e">
        <f t="shared" ca="1" si="11"/>
        <v>#DIV/0!</v>
      </c>
      <c r="J526" s="20" t="str">
        <f ca="1">IFERROR(__xludf.DUMMYFUNCTION("IF(OR($I526=2, $I526=3), 0, IFERROR(COUNTIFS($C$2:C526, $C526, $A$2:A527, ""&gt;""&amp;IFERROR(MAX(FILTER($A$2:A527, $C$2:C526=$C526, $I$2:I526&lt;&gt;1)), 0), $I$2:I526, 1),1))
"),"#DIV/0!")</f>
        <v>#DIV/0!</v>
      </c>
      <c r="K526" s="7" t="e">
        <f t="shared" ca="1" si="12"/>
        <v>#DIV/0!</v>
      </c>
      <c r="L526" s="20" t="e">
        <f t="shared" ca="1" si="13"/>
        <v>#DIV/0!</v>
      </c>
      <c r="M526" s="21" t="e">
        <f t="shared" ca="1" si="14"/>
        <v>#DIV/0!</v>
      </c>
      <c r="N526" s="20" t="str">
        <f ca="1">IFERROR(__xludf.DUMMYFUNCTION("IF(COUNTIFS($C$2:C526, C526, $A$2:A526, ""&lt;="" &amp; A526) &lt; 30, STDEV.P(FILTER($G$2:G526, $C$2:C526 = C526)), STDEV.P(FILTER($G$2:G526, $C$2:C526 = C526, $A$2:A526 &gt;= A526 - 30)))
"),"#DIV/0!")</f>
        <v>#DIV/0!</v>
      </c>
    </row>
    <row r="527" spans="1:14" x14ac:dyDescent="0.2">
      <c r="A527" s="35"/>
      <c r="B527" s="40"/>
      <c r="C527" s="40"/>
      <c r="D527" s="31"/>
      <c r="E527" s="31"/>
      <c r="F527" s="31"/>
      <c r="G527" s="19" t="e">
        <f t="shared" si="10"/>
        <v>#DIV/0!</v>
      </c>
      <c r="H527" s="20" t="str">
        <f ca="1">IFERROR(__xludf.DUMMYFUNCTION("IF(COUNTIFS($C$2:C527, C527, $A$2:A527, ""&lt;="" &amp; A527) &lt; 30, AVERAGEIF($C$2:C527, C527, $G$2:G527), AVERAGE(FILTER($G$2:G527, $C$2:C527 = C527, $A$2:A527 &gt;= A527 - 30)))
"),"#DIV/0!")</f>
        <v>#DIV/0!</v>
      </c>
      <c r="I527" s="20" t="e">
        <f t="shared" ca="1" si="11"/>
        <v>#DIV/0!</v>
      </c>
      <c r="J527" s="20" t="str">
        <f ca="1">IFERROR(__xludf.DUMMYFUNCTION("IF(OR($I527=2, $I527=3), 0, IFERROR(COUNTIFS($C$2:C527, $C527, $A$2:A528, ""&gt;""&amp;IFERROR(MAX(FILTER($A$2:A528, $C$2:C527=$C527, $I$2:I527&lt;&gt;1)), 0), $I$2:I527, 1),1))
"),"#DIV/0!")</f>
        <v>#DIV/0!</v>
      </c>
      <c r="K527" s="7" t="e">
        <f t="shared" ca="1" si="12"/>
        <v>#DIV/0!</v>
      </c>
      <c r="L527" s="20" t="e">
        <f t="shared" ca="1" si="13"/>
        <v>#DIV/0!</v>
      </c>
      <c r="M527" s="21" t="e">
        <f t="shared" ca="1" si="14"/>
        <v>#DIV/0!</v>
      </c>
      <c r="N527" s="20" t="str">
        <f ca="1">IFERROR(__xludf.DUMMYFUNCTION("IF(COUNTIFS($C$2:C527, C527, $A$2:A527, ""&lt;="" &amp; A527) &lt; 30, STDEV.P(FILTER($G$2:G527, $C$2:C527 = C527)), STDEV.P(FILTER($G$2:G527, $C$2:C527 = C527, $A$2:A527 &gt;= A527 - 30)))
"),"#DIV/0!")</f>
        <v>#DIV/0!</v>
      </c>
    </row>
    <row r="528" spans="1:14" x14ac:dyDescent="0.2">
      <c r="A528" s="35"/>
      <c r="B528" s="32"/>
      <c r="C528" s="32"/>
      <c r="D528" s="33"/>
      <c r="E528" s="33"/>
      <c r="F528" s="33"/>
      <c r="G528" s="19" t="e">
        <f t="shared" si="10"/>
        <v>#DIV/0!</v>
      </c>
      <c r="H528" s="20" t="str">
        <f ca="1">IFERROR(__xludf.DUMMYFUNCTION("IF(COUNTIFS($C$2:C528, C528, $A$2:A528, ""&lt;="" &amp; A528) &lt; 30, AVERAGEIF($C$2:C528, C528, $G$2:G528), AVERAGE(FILTER($G$2:G528, $C$2:C528 = C528, $A$2:A528 &gt;= A528 - 30)))
"),"#DIV/0!")</f>
        <v>#DIV/0!</v>
      </c>
      <c r="I528" s="20" t="e">
        <f t="shared" ca="1" si="11"/>
        <v>#DIV/0!</v>
      </c>
      <c r="J528" s="20" t="str">
        <f ca="1">IFERROR(__xludf.DUMMYFUNCTION("IF(OR($I528=2, $I528=3), 0, IFERROR(COUNTIFS($C$2:C528, $C528, $A$2:A529, ""&gt;""&amp;IFERROR(MAX(FILTER($A$2:A529, $C$2:C528=$C528, $I$2:I528&lt;&gt;1)), 0), $I$2:I528, 1),1))
"),"#DIV/0!")</f>
        <v>#DIV/0!</v>
      </c>
      <c r="K528" s="7" t="e">
        <f t="shared" ca="1" si="12"/>
        <v>#DIV/0!</v>
      </c>
      <c r="L528" s="20" t="e">
        <f t="shared" ca="1" si="13"/>
        <v>#DIV/0!</v>
      </c>
      <c r="M528" s="21" t="e">
        <f t="shared" ca="1" si="14"/>
        <v>#DIV/0!</v>
      </c>
      <c r="N528" s="20" t="str">
        <f ca="1">IFERROR(__xludf.DUMMYFUNCTION("IF(COUNTIFS($C$2:C528, C528, $A$2:A528, ""&lt;="" &amp; A528) &lt; 30, STDEV.P(FILTER($G$2:G528, $C$2:C528 = C528)), STDEV.P(FILTER($G$2:G528, $C$2:C528 = C528, $A$2:A528 &gt;= A528 - 30)))
"),"#DIV/0!")</f>
        <v>#DIV/0!</v>
      </c>
    </row>
    <row r="529" spans="1:14" x14ac:dyDescent="0.2">
      <c r="A529" s="35"/>
      <c r="B529" s="32"/>
      <c r="C529" s="32"/>
      <c r="D529" s="33"/>
      <c r="E529" s="33"/>
      <c r="F529" s="33"/>
      <c r="G529" s="19" t="e">
        <f t="shared" si="10"/>
        <v>#DIV/0!</v>
      </c>
      <c r="H529" s="20" t="str">
        <f ca="1">IFERROR(__xludf.DUMMYFUNCTION("IF(COUNTIFS($C$2:C529, C529, $A$2:A529, ""&lt;="" &amp; A529) &lt; 30, AVERAGEIF($C$2:C529, C529, $G$2:G529), AVERAGE(FILTER($G$2:G529, $C$2:C529 = C529, $A$2:A529 &gt;= A529 - 30)))
"),"#DIV/0!")</f>
        <v>#DIV/0!</v>
      </c>
      <c r="I529" s="20" t="e">
        <f t="shared" ca="1" si="11"/>
        <v>#DIV/0!</v>
      </c>
      <c r="J529" s="20" t="str">
        <f ca="1">IFERROR(__xludf.DUMMYFUNCTION("IF(OR($I529=2, $I529=3), 0, IFERROR(COUNTIFS($C$2:C529, $C529, $A$2:A530, ""&gt;""&amp;IFERROR(MAX(FILTER($A$2:A530, $C$2:C529=$C529, $I$2:I529&lt;&gt;1)), 0), $I$2:I529, 1),1))
"),"#DIV/0!")</f>
        <v>#DIV/0!</v>
      </c>
      <c r="K529" s="7" t="e">
        <f t="shared" ca="1" si="12"/>
        <v>#DIV/0!</v>
      </c>
      <c r="L529" s="20" t="e">
        <f t="shared" ca="1" si="13"/>
        <v>#DIV/0!</v>
      </c>
      <c r="M529" s="21" t="e">
        <f t="shared" ca="1" si="14"/>
        <v>#DIV/0!</v>
      </c>
      <c r="N529" s="20" t="str">
        <f ca="1">IFERROR(__xludf.DUMMYFUNCTION("IF(COUNTIFS($C$2:C529, C529, $A$2:A529, ""&lt;="" &amp; A529) &lt; 30, STDEV.P(FILTER($G$2:G529, $C$2:C529 = C529)), STDEV.P(FILTER($G$2:G529, $C$2:C529 = C529, $A$2:A529 &gt;= A529 - 30)))
"),"#DIV/0!")</f>
        <v>#DIV/0!</v>
      </c>
    </row>
    <row r="530" spans="1:14" x14ac:dyDescent="0.2">
      <c r="A530" s="35"/>
      <c r="B530" s="32"/>
      <c r="C530" s="32"/>
      <c r="D530" s="33"/>
      <c r="E530" s="33"/>
      <c r="F530" s="33"/>
      <c r="G530" s="19" t="e">
        <f t="shared" si="10"/>
        <v>#DIV/0!</v>
      </c>
      <c r="H530" s="20" t="str">
        <f ca="1">IFERROR(__xludf.DUMMYFUNCTION("IF(COUNTIFS($C$2:C530, C530, $A$2:A530, ""&lt;="" &amp; A530) &lt; 30, AVERAGEIF($C$2:C530, C530, $G$2:G530), AVERAGE(FILTER($G$2:G530, $C$2:C530 = C530, $A$2:A530 &gt;= A530 - 30)))
"),"#DIV/0!")</f>
        <v>#DIV/0!</v>
      </c>
      <c r="I530" s="20" t="e">
        <f t="shared" ca="1" si="11"/>
        <v>#DIV/0!</v>
      </c>
      <c r="J530" s="20" t="str">
        <f ca="1">IFERROR(__xludf.DUMMYFUNCTION("IF(OR($I530=2, $I530=3), 0, IFERROR(COUNTIFS($C$2:C530, $C530, $A$2:A531, ""&gt;""&amp;IFERROR(MAX(FILTER($A$2:A531, $C$2:C530=$C530, $I$2:I530&lt;&gt;1)), 0), $I$2:I530, 1),1))
"),"#DIV/0!")</f>
        <v>#DIV/0!</v>
      </c>
      <c r="K530" s="7" t="e">
        <f t="shared" ca="1" si="12"/>
        <v>#DIV/0!</v>
      </c>
      <c r="L530" s="20" t="e">
        <f t="shared" ca="1" si="13"/>
        <v>#DIV/0!</v>
      </c>
      <c r="M530" s="21" t="e">
        <f t="shared" ca="1" si="14"/>
        <v>#DIV/0!</v>
      </c>
      <c r="N530" s="20" t="str">
        <f ca="1">IFERROR(__xludf.DUMMYFUNCTION("IF(COUNTIFS($C$2:C530, C530, $A$2:A530, ""&lt;="" &amp; A530) &lt; 30, STDEV.P(FILTER($G$2:G530, $C$2:C530 = C530)), STDEV.P(FILTER($G$2:G530, $C$2:C530 = C530, $A$2:A530 &gt;= A530 - 30)))
"),"#DIV/0!")</f>
        <v>#DIV/0!</v>
      </c>
    </row>
    <row r="531" spans="1:14" x14ac:dyDescent="0.2">
      <c r="A531" s="35"/>
      <c r="B531" s="32"/>
      <c r="C531" s="32"/>
      <c r="D531" s="33"/>
      <c r="E531" s="33"/>
      <c r="F531" s="33"/>
      <c r="G531" s="19" t="e">
        <f t="shared" si="10"/>
        <v>#DIV/0!</v>
      </c>
      <c r="H531" s="20" t="str">
        <f ca="1">IFERROR(__xludf.DUMMYFUNCTION("IF(COUNTIFS($C$2:C531, C531, $A$2:A531, ""&lt;="" &amp; A531) &lt; 30, AVERAGEIF($C$2:C531, C531, $G$2:G531), AVERAGE(FILTER($G$2:G531, $C$2:C531 = C531, $A$2:A531 &gt;= A531 - 30)))
"),"#DIV/0!")</f>
        <v>#DIV/0!</v>
      </c>
      <c r="I531" s="20" t="e">
        <f t="shared" ca="1" si="11"/>
        <v>#DIV/0!</v>
      </c>
      <c r="J531" s="20" t="str">
        <f ca="1">IFERROR(__xludf.DUMMYFUNCTION("IF(OR($I531=2, $I531=3), 0, IFERROR(COUNTIFS($C$2:C531, $C531, $A$2:A532, ""&gt;""&amp;IFERROR(MAX(FILTER($A$2:A532, $C$2:C531=$C531, $I$2:I531&lt;&gt;1)), 0), $I$2:I531, 1),1))
"),"#DIV/0!")</f>
        <v>#DIV/0!</v>
      </c>
      <c r="K531" s="7" t="e">
        <f t="shared" ca="1" si="12"/>
        <v>#DIV/0!</v>
      </c>
      <c r="L531" s="20" t="e">
        <f t="shared" ca="1" si="13"/>
        <v>#DIV/0!</v>
      </c>
      <c r="M531" s="21" t="e">
        <f t="shared" ca="1" si="14"/>
        <v>#DIV/0!</v>
      </c>
      <c r="N531" s="20" t="str">
        <f ca="1">IFERROR(__xludf.DUMMYFUNCTION("IF(COUNTIFS($C$2:C531, C531, $A$2:A531, ""&lt;="" &amp; A531) &lt; 30, STDEV.P(FILTER($G$2:G531, $C$2:C531 = C531)), STDEV.P(FILTER($G$2:G531, $C$2:C531 = C531, $A$2:A531 &gt;= A531 - 30)))
"),"#DIV/0!")</f>
        <v>#DIV/0!</v>
      </c>
    </row>
    <row r="532" spans="1:14" x14ac:dyDescent="0.2">
      <c r="A532" s="35"/>
      <c r="B532" s="32"/>
      <c r="C532" s="32"/>
      <c r="D532" s="33"/>
      <c r="E532" s="33"/>
      <c r="F532" s="33"/>
      <c r="G532" s="19" t="e">
        <f t="shared" si="10"/>
        <v>#DIV/0!</v>
      </c>
      <c r="H532" s="20" t="str">
        <f ca="1">IFERROR(__xludf.DUMMYFUNCTION("IF(COUNTIFS($C$2:C532, C532, $A$2:A532, ""&lt;="" &amp; A532) &lt; 30, AVERAGEIF($C$2:C532, C532, $G$2:G532), AVERAGE(FILTER($G$2:G532, $C$2:C532 = C532, $A$2:A532 &gt;= A532 - 30)))
"),"#DIV/0!")</f>
        <v>#DIV/0!</v>
      </c>
      <c r="I532" s="20" t="e">
        <f t="shared" ca="1" si="11"/>
        <v>#DIV/0!</v>
      </c>
      <c r="J532" s="20" t="str">
        <f ca="1">IFERROR(__xludf.DUMMYFUNCTION("IF(OR($I532=2, $I532=3), 0, IFERROR(COUNTIFS($C$2:C532, $C532, $A$2:A533, ""&gt;""&amp;IFERROR(MAX(FILTER($A$2:A533, $C$2:C532=$C532, $I$2:I532&lt;&gt;1)), 0), $I$2:I532, 1),1))
"),"#DIV/0!")</f>
        <v>#DIV/0!</v>
      </c>
      <c r="K532" s="7" t="e">
        <f t="shared" ca="1" si="12"/>
        <v>#DIV/0!</v>
      </c>
      <c r="L532" s="20" t="e">
        <f t="shared" ca="1" si="13"/>
        <v>#DIV/0!</v>
      </c>
      <c r="M532" s="21" t="e">
        <f t="shared" ca="1" si="14"/>
        <v>#DIV/0!</v>
      </c>
      <c r="N532" s="20" t="str">
        <f ca="1">IFERROR(__xludf.DUMMYFUNCTION("IF(COUNTIFS($C$2:C532, C532, $A$2:A532, ""&lt;="" &amp; A532) &lt; 30, STDEV.P(FILTER($G$2:G532, $C$2:C532 = C532)), STDEV.P(FILTER($G$2:G532, $C$2:C532 = C532, $A$2:A532 &gt;= A532 - 30)))
"),"#DIV/0!")</f>
        <v>#DIV/0!</v>
      </c>
    </row>
    <row r="533" spans="1:14" x14ac:dyDescent="0.2">
      <c r="A533" s="35"/>
      <c r="B533" s="32"/>
      <c r="C533" s="32"/>
      <c r="D533" s="33"/>
      <c r="E533" s="33"/>
      <c r="F533" s="33"/>
      <c r="G533" s="19" t="e">
        <f t="shared" si="10"/>
        <v>#DIV/0!</v>
      </c>
      <c r="H533" s="20" t="str">
        <f ca="1">IFERROR(__xludf.DUMMYFUNCTION("IF(COUNTIFS($C$2:C533, C533, $A$2:A533, ""&lt;="" &amp; A533) &lt; 30, AVERAGEIF($C$2:C533, C533, $G$2:G533), AVERAGE(FILTER($G$2:G533, $C$2:C533 = C533, $A$2:A533 &gt;= A533 - 30)))
"),"#DIV/0!")</f>
        <v>#DIV/0!</v>
      </c>
      <c r="I533" s="20" t="e">
        <f t="shared" ca="1" si="11"/>
        <v>#DIV/0!</v>
      </c>
      <c r="J533" s="20" t="str">
        <f ca="1">IFERROR(__xludf.DUMMYFUNCTION("IF(OR($I533=2, $I533=3), 0, IFERROR(COUNTIFS($C$2:C533, $C533, $A$2:A534, ""&gt;""&amp;IFERROR(MAX(FILTER($A$2:A534, $C$2:C533=$C533, $I$2:I533&lt;&gt;1)), 0), $I$2:I533, 1),1))
"),"#DIV/0!")</f>
        <v>#DIV/0!</v>
      </c>
      <c r="K533" s="7" t="e">
        <f t="shared" ca="1" si="12"/>
        <v>#DIV/0!</v>
      </c>
      <c r="L533" s="20" t="e">
        <f t="shared" ca="1" si="13"/>
        <v>#DIV/0!</v>
      </c>
      <c r="M533" s="21" t="e">
        <f t="shared" ca="1" si="14"/>
        <v>#DIV/0!</v>
      </c>
      <c r="N533" s="20" t="str">
        <f ca="1">IFERROR(__xludf.DUMMYFUNCTION("IF(COUNTIFS($C$2:C533, C533, $A$2:A533, ""&lt;="" &amp; A533) &lt; 30, STDEV.P(FILTER($G$2:G533, $C$2:C533 = C533)), STDEV.P(FILTER($G$2:G533, $C$2:C533 = C533, $A$2:A533 &gt;= A533 - 30)))
"),"#DIV/0!")</f>
        <v>#DIV/0!</v>
      </c>
    </row>
    <row r="534" spans="1:14" x14ac:dyDescent="0.2">
      <c r="A534" s="35"/>
      <c r="B534" s="32"/>
      <c r="C534" s="32"/>
      <c r="D534" s="33"/>
      <c r="E534" s="33"/>
      <c r="F534" s="33"/>
      <c r="G534" s="19" t="e">
        <f t="shared" si="10"/>
        <v>#DIV/0!</v>
      </c>
      <c r="H534" s="20" t="str">
        <f ca="1">IFERROR(__xludf.DUMMYFUNCTION("IF(COUNTIFS($C$2:C534, C534, $A$2:A534, ""&lt;="" &amp; A534) &lt; 30, AVERAGEIF($C$2:C534, C534, $G$2:G534), AVERAGE(FILTER($G$2:G534, $C$2:C534 = C534, $A$2:A534 &gt;= A534 - 30)))
"),"#DIV/0!")</f>
        <v>#DIV/0!</v>
      </c>
      <c r="I534" s="20" t="e">
        <f t="shared" ca="1" si="11"/>
        <v>#DIV/0!</v>
      </c>
      <c r="J534" s="20" t="str">
        <f ca="1">IFERROR(__xludf.DUMMYFUNCTION("IF(OR($I534=2, $I534=3), 0, IFERROR(COUNTIFS($C$2:C534, $C534, $A$2:A535, ""&gt;""&amp;IFERROR(MAX(FILTER($A$2:A535, $C$2:C534=$C534, $I$2:I534&lt;&gt;1)), 0), $I$2:I534, 1),1))
"),"#DIV/0!")</f>
        <v>#DIV/0!</v>
      </c>
      <c r="K534" s="7" t="e">
        <f t="shared" ca="1" si="12"/>
        <v>#DIV/0!</v>
      </c>
      <c r="L534" s="20" t="e">
        <f t="shared" ca="1" si="13"/>
        <v>#DIV/0!</v>
      </c>
      <c r="M534" s="21" t="e">
        <f t="shared" ca="1" si="14"/>
        <v>#DIV/0!</v>
      </c>
      <c r="N534" s="20" t="str">
        <f ca="1">IFERROR(__xludf.DUMMYFUNCTION("IF(COUNTIFS($C$2:C534, C534, $A$2:A534, ""&lt;="" &amp; A534) &lt; 30, STDEV.P(FILTER($G$2:G534, $C$2:C534 = C534)), STDEV.P(FILTER($G$2:G534, $C$2:C534 = C534, $A$2:A534 &gt;= A534 - 30)))
"),"#DIV/0!")</f>
        <v>#DIV/0!</v>
      </c>
    </row>
    <row r="535" spans="1:14" x14ac:dyDescent="0.2">
      <c r="A535" s="35"/>
      <c r="B535" s="32"/>
      <c r="C535" s="32"/>
      <c r="D535" s="33"/>
      <c r="E535" s="33"/>
      <c r="F535" s="33"/>
      <c r="G535" s="19" t="e">
        <f t="shared" si="10"/>
        <v>#DIV/0!</v>
      </c>
      <c r="H535" s="20" t="str">
        <f ca="1">IFERROR(__xludf.DUMMYFUNCTION("IF(COUNTIFS($C$2:C535, C535, $A$2:A535, ""&lt;="" &amp; A535) &lt; 30, AVERAGEIF($C$2:C535, C535, $G$2:G535), AVERAGE(FILTER($G$2:G535, $C$2:C535 = C535, $A$2:A535 &gt;= A535 - 30)))
"),"#DIV/0!")</f>
        <v>#DIV/0!</v>
      </c>
      <c r="I535" s="20" t="e">
        <f t="shared" ca="1" si="11"/>
        <v>#DIV/0!</v>
      </c>
      <c r="J535" s="20" t="str">
        <f ca="1">IFERROR(__xludf.DUMMYFUNCTION("IF(OR($I535=2, $I535=3), 0, IFERROR(COUNTIFS($C$2:C535, $C535, $A$2:A536, ""&gt;""&amp;IFERROR(MAX(FILTER($A$2:A536, $C$2:C535=$C535, $I$2:I535&lt;&gt;1)), 0), $I$2:I535, 1),1))
"),"#DIV/0!")</f>
        <v>#DIV/0!</v>
      </c>
      <c r="K535" s="7" t="e">
        <f t="shared" ca="1" si="12"/>
        <v>#DIV/0!</v>
      </c>
      <c r="L535" s="20" t="e">
        <f t="shared" ca="1" si="13"/>
        <v>#DIV/0!</v>
      </c>
      <c r="M535" s="21" t="e">
        <f t="shared" ca="1" si="14"/>
        <v>#DIV/0!</v>
      </c>
      <c r="N535" s="20" t="str">
        <f ca="1">IFERROR(__xludf.DUMMYFUNCTION("IF(COUNTIFS($C$2:C535, C535, $A$2:A535, ""&lt;="" &amp; A535) &lt; 30, STDEV.P(FILTER($G$2:G535, $C$2:C535 = C535)), STDEV.P(FILTER($G$2:G535, $C$2:C535 = C535, $A$2:A535 &gt;= A535 - 30)))
"),"#DIV/0!")</f>
        <v>#DIV/0!</v>
      </c>
    </row>
    <row r="536" spans="1:14" x14ac:dyDescent="0.2">
      <c r="A536" s="35"/>
      <c r="B536" s="32"/>
      <c r="C536" s="32"/>
      <c r="D536" s="33"/>
      <c r="E536" s="33"/>
      <c r="F536" s="33"/>
      <c r="G536" s="19" t="e">
        <f t="shared" si="10"/>
        <v>#DIV/0!</v>
      </c>
      <c r="H536" s="20" t="str">
        <f ca="1">IFERROR(__xludf.DUMMYFUNCTION("IF(COUNTIFS($C$2:C536, C536, $A$2:A536, ""&lt;="" &amp; A536) &lt; 30, AVERAGEIF($C$2:C536, C536, $G$2:G536), AVERAGE(FILTER($G$2:G536, $C$2:C536 = C536, $A$2:A536 &gt;= A536 - 30)))
"),"#DIV/0!")</f>
        <v>#DIV/0!</v>
      </c>
      <c r="I536" s="20" t="e">
        <f t="shared" ca="1" si="11"/>
        <v>#DIV/0!</v>
      </c>
      <c r="J536" s="20" t="str">
        <f ca="1">IFERROR(__xludf.DUMMYFUNCTION("IF(OR($I536=2, $I536=3), 0, IFERROR(COUNTIFS($C$2:C536, $C536, $A$2:A537, ""&gt;""&amp;IFERROR(MAX(FILTER($A$2:A537, $C$2:C536=$C536, $I$2:I536&lt;&gt;1)), 0), $I$2:I536, 1),1))
"),"#DIV/0!")</f>
        <v>#DIV/0!</v>
      </c>
      <c r="K536" s="7" t="e">
        <f t="shared" ca="1" si="12"/>
        <v>#DIV/0!</v>
      </c>
      <c r="L536" s="20" t="e">
        <f t="shared" ca="1" si="13"/>
        <v>#DIV/0!</v>
      </c>
      <c r="M536" s="21" t="e">
        <f t="shared" ca="1" si="14"/>
        <v>#DIV/0!</v>
      </c>
      <c r="N536" s="20" t="str">
        <f ca="1">IFERROR(__xludf.DUMMYFUNCTION("IF(COUNTIFS($C$2:C536, C536, $A$2:A536, ""&lt;="" &amp; A536) &lt; 30, STDEV.P(FILTER($G$2:G536, $C$2:C536 = C536)), STDEV.P(FILTER($G$2:G536, $C$2:C536 = C536, $A$2:A536 &gt;= A536 - 30)))
"),"#DIV/0!")</f>
        <v>#DIV/0!</v>
      </c>
    </row>
    <row r="537" spans="1:14" x14ac:dyDescent="0.2">
      <c r="A537" s="35"/>
      <c r="B537" s="32"/>
      <c r="C537" s="32"/>
      <c r="D537" s="33"/>
      <c r="E537" s="33"/>
      <c r="F537" s="33"/>
      <c r="G537" s="19" t="e">
        <f t="shared" si="10"/>
        <v>#DIV/0!</v>
      </c>
      <c r="H537" s="20" t="str">
        <f ca="1">IFERROR(__xludf.DUMMYFUNCTION("IF(COUNTIFS($C$2:C537, C537, $A$2:A537, ""&lt;="" &amp; A537) &lt; 30, AVERAGEIF($C$2:C537, C537, $G$2:G537), AVERAGE(FILTER($G$2:G537, $C$2:C537 = C537, $A$2:A537 &gt;= A537 - 30)))
"),"#DIV/0!")</f>
        <v>#DIV/0!</v>
      </c>
      <c r="I537" s="20" t="e">
        <f t="shared" ca="1" si="11"/>
        <v>#DIV/0!</v>
      </c>
      <c r="J537" s="20" t="str">
        <f ca="1">IFERROR(__xludf.DUMMYFUNCTION("IF(OR($I537=2, $I537=3), 0, IFERROR(COUNTIFS($C$2:C537, $C537, $A$2:A538, ""&gt;""&amp;IFERROR(MAX(FILTER($A$2:A538, $C$2:C537=$C537, $I$2:I537&lt;&gt;1)), 0), $I$2:I537, 1),1))
"),"#DIV/0!")</f>
        <v>#DIV/0!</v>
      </c>
      <c r="K537" s="7" t="e">
        <f t="shared" ca="1" si="12"/>
        <v>#DIV/0!</v>
      </c>
      <c r="L537" s="20" t="e">
        <f t="shared" ca="1" si="13"/>
        <v>#DIV/0!</v>
      </c>
      <c r="M537" s="21" t="e">
        <f t="shared" ca="1" si="14"/>
        <v>#DIV/0!</v>
      </c>
      <c r="N537" s="20" t="str">
        <f ca="1">IFERROR(__xludf.DUMMYFUNCTION("IF(COUNTIFS($C$2:C537, C537, $A$2:A537, ""&lt;="" &amp; A537) &lt; 30, STDEV.P(FILTER($G$2:G537, $C$2:C537 = C537)), STDEV.P(FILTER($G$2:G537, $C$2:C537 = C537, $A$2:A537 &gt;= A537 - 30)))
"),"#DIV/0!")</f>
        <v>#DIV/0!</v>
      </c>
    </row>
    <row r="538" spans="1:14" x14ac:dyDescent="0.2">
      <c r="A538" s="35"/>
      <c r="B538" s="32"/>
      <c r="C538" s="32"/>
      <c r="D538" s="33"/>
      <c r="E538" s="33"/>
      <c r="F538" s="33"/>
      <c r="G538" s="19" t="e">
        <f t="shared" si="10"/>
        <v>#DIV/0!</v>
      </c>
      <c r="H538" s="20" t="str">
        <f ca="1">IFERROR(__xludf.DUMMYFUNCTION("IF(COUNTIFS($C$2:C538, C538, $A$2:A538, ""&lt;="" &amp; A538) &lt; 30, AVERAGEIF($C$2:C538, C538, $G$2:G538), AVERAGE(FILTER($G$2:G538, $C$2:C538 = C538, $A$2:A538 &gt;= A538 - 30)))
"),"#DIV/0!")</f>
        <v>#DIV/0!</v>
      </c>
      <c r="I538" s="20" t="e">
        <f t="shared" ca="1" si="11"/>
        <v>#DIV/0!</v>
      </c>
      <c r="J538" s="20" t="str">
        <f ca="1">IFERROR(__xludf.DUMMYFUNCTION("IF(OR($I538=2, $I538=3), 0, IFERROR(COUNTIFS($C$2:C538, $C538, $A$2:A539, ""&gt;""&amp;IFERROR(MAX(FILTER($A$2:A539, $C$2:C538=$C538, $I$2:I538&lt;&gt;1)), 0), $I$2:I538, 1),1))
"),"#DIV/0!")</f>
        <v>#DIV/0!</v>
      </c>
      <c r="K538" s="7" t="e">
        <f t="shared" ca="1" si="12"/>
        <v>#DIV/0!</v>
      </c>
      <c r="L538" s="20" t="e">
        <f t="shared" ca="1" si="13"/>
        <v>#DIV/0!</v>
      </c>
      <c r="M538" s="21" t="e">
        <f t="shared" ca="1" si="14"/>
        <v>#DIV/0!</v>
      </c>
      <c r="N538" s="20" t="str">
        <f ca="1">IFERROR(__xludf.DUMMYFUNCTION("IF(COUNTIFS($C$2:C538, C538, $A$2:A538, ""&lt;="" &amp; A538) &lt; 30, STDEV.P(FILTER($G$2:G538, $C$2:C538 = C538)), STDEV.P(FILTER($G$2:G538, $C$2:C538 = C538, $A$2:A538 &gt;= A538 - 30)))
"),"#DIV/0!")</f>
        <v>#DIV/0!</v>
      </c>
    </row>
    <row r="539" spans="1:14" x14ac:dyDescent="0.2">
      <c r="A539" s="35"/>
      <c r="B539" s="32"/>
      <c r="C539" s="32"/>
      <c r="D539" s="33"/>
      <c r="E539" s="33"/>
      <c r="F539" s="33"/>
      <c r="G539" s="19" t="e">
        <f t="shared" si="10"/>
        <v>#DIV/0!</v>
      </c>
      <c r="H539" s="20" t="str">
        <f ca="1">IFERROR(__xludf.DUMMYFUNCTION("IF(COUNTIFS($C$2:C539, C539, $A$2:A539, ""&lt;="" &amp; A539) &lt; 30, AVERAGEIF($C$2:C539, C539, $G$2:G539), AVERAGE(FILTER($G$2:G539, $C$2:C539 = C539, $A$2:A539 &gt;= A539 - 30)))
"),"#DIV/0!")</f>
        <v>#DIV/0!</v>
      </c>
      <c r="I539" s="20" t="e">
        <f t="shared" ca="1" si="11"/>
        <v>#DIV/0!</v>
      </c>
      <c r="J539" s="20" t="str">
        <f ca="1">IFERROR(__xludf.DUMMYFUNCTION("IF(OR($I539=2, $I539=3), 0, IFERROR(COUNTIFS($C$2:C539, $C539, $A$2:A540, ""&gt;""&amp;IFERROR(MAX(FILTER($A$2:A540, $C$2:C539=$C539, $I$2:I539&lt;&gt;1)), 0), $I$2:I539, 1),1))
"),"#DIV/0!")</f>
        <v>#DIV/0!</v>
      </c>
      <c r="K539" s="7" t="e">
        <f t="shared" ca="1" si="12"/>
        <v>#DIV/0!</v>
      </c>
      <c r="L539" s="20" t="e">
        <f t="shared" ca="1" si="13"/>
        <v>#DIV/0!</v>
      </c>
      <c r="M539" s="21" t="e">
        <f t="shared" ca="1" si="14"/>
        <v>#DIV/0!</v>
      </c>
      <c r="N539" s="20" t="str">
        <f ca="1">IFERROR(__xludf.DUMMYFUNCTION("IF(COUNTIFS($C$2:C539, C539, $A$2:A539, ""&lt;="" &amp; A539) &lt; 30, STDEV.P(FILTER($G$2:G539, $C$2:C539 = C539)), STDEV.P(FILTER($G$2:G539, $C$2:C539 = C539, $A$2:A539 &gt;= A539 - 30)))
"),"#DIV/0!")</f>
        <v>#DIV/0!</v>
      </c>
    </row>
    <row r="540" spans="1:14" x14ac:dyDescent="0.2">
      <c r="A540" s="35"/>
      <c r="B540" s="32"/>
      <c r="C540" s="32"/>
      <c r="D540" s="33"/>
      <c r="E540" s="33"/>
      <c r="F540" s="33"/>
      <c r="G540" s="19" t="e">
        <f t="shared" si="10"/>
        <v>#DIV/0!</v>
      </c>
      <c r="H540" s="20" t="str">
        <f ca="1">IFERROR(__xludf.DUMMYFUNCTION("IF(COUNTIFS($C$2:C540, C540, $A$2:A540, ""&lt;="" &amp; A540) &lt; 30, AVERAGEIF($C$2:C540, C540, $G$2:G540), AVERAGE(FILTER($G$2:G540, $C$2:C540 = C540, $A$2:A540 &gt;= A540 - 30)))
"),"#DIV/0!")</f>
        <v>#DIV/0!</v>
      </c>
      <c r="I540" s="20" t="e">
        <f t="shared" ca="1" si="11"/>
        <v>#DIV/0!</v>
      </c>
      <c r="J540" s="20" t="str">
        <f ca="1">IFERROR(__xludf.DUMMYFUNCTION("IF(OR($I540=2, $I540=3), 0, IFERROR(COUNTIFS($C$2:C540, $C540, $A$2:A541, ""&gt;""&amp;IFERROR(MAX(FILTER($A$2:A541, $C$2:C540=$C540, $I$2:I540&lt;&gt;1)), 0), $I$2:I540, 1),1))
"),"#DIV/0!")</f>
        <v>#DIV/0!</v>
      </c>
      <c r="K540" s="7" t="e">
        <f t="shared" ca="1" si="12"/>
        <v>#DIV/0!</v>
      </c>
      <c r="L540" s="20" t="e">
        <f t="shared" ca="1" si="13"/>
        <v>#DIV/0!</v>
      </c>
      <c r="M540" s="21" t="e">
        <f t="shared" ca="1" si="14"/>
        <v>#DIV/0!</v>
      </c>
      <c r="N540" s="20" t="str">
        <f ca="1">IFERROR(__xludf.DUMMYFUNCTION("IF(COUNTIFS($C$2:C540, C540, $A$2:A540, ""&lt;="" &amp; A540) &lt; 30, STDEV.P(FILTER($G$2:G540, $C$2:C540 = C540)), STDEV.P(FILTER($G$2:G540, $C$2:C540 = C540, $A$2:A540 &gt;= A540 - 30)))
"),"#DIV/0!")</f>
        <v>#DIV/0!</v>
      </c>
    </row>
    <row r="541" spans="1:14" x14ac:dyDescent="0.2">
      <c r="A541" s="35"/>
      <c r="B541" s="32"/>
      <c r="C541" s="32"/>
      <c r="D541" s="33"/>
      <c r="E541" s="33"/>
      <c r="F541" s="33"/>
      <c r="G541" s="19" t="e">
        <f t="shared" si="10"/>
        <v>#DIV/0!</v>
      </c>
      <c r="H541" s="20" t="str">
        <f ca="1">IFERROR(__xludf.DUMMYFUNCTION("IF(COUNTIFS($C$2:C541, C541, $A$2:A541, ""&lt;="" &amp; A541) &lt; 30, AVERAGEIF($C$2:C541, C541, $G$2:G541), AVERAGE(FILTER($G$2:G541, $C$2:C541 = C541, $A$2:A541 &gt;= A541 - 30)))
"),"#DIV/0!")</f>
        <v>#DIV/0!</v>
      </c>
      <c r="I541" s="20" t="e">
        <f t="shared" ca="1" si="11"/>
        <v>#DIV/0!</v>
      </c>
      <c r="J541" s="20" t="str">
        <f ca="1">IFERROR(__xludf.DUMMYFUNCTION("IF(OR($I541=2, $I541=3), 0, IFERROR(COUNTIFS($C$2:C541, $C541, $A$2:A542, ""&gt;""&amp;IFERROR(MAX(FILTER($A$2:A542, $C$2:C541=$C541, $I$2:I541&lt;&gt;1)), 0), $I$2:I541, 1),1))
"),"#DIV/0!")</f>
        <v>#DIV/0!</v>
      </c>
      <c r="K541" s="7" t="e">
        <f t="shared" ca="1" si="12"/>
        <v>#DIV/0!</v>
      </c>
      <c r="L541" s="20" t="e">
        <f t="shared" ca="1" si="13"/>
        <v>#DIV/0!</v>
      </c>
      <c r="M541" s="21" t="e">
        <f t="shared" ca="1" si="14"/>
        <v>#DIV/0!</v>
      </c>
      <c r="N541" s="20" t="str">
        <f ca="1">IFERROR(__xludf.DUMMYFUNCTION("IF(COUNTIFS($C$2:C541, C541, $A$2:A541, ""&lt;="" &amp; A541) &lt; 30, STDEV.P(FILTER($G$2:G541, $C$2:C541 = C541)), STDEV.P(FILTER($G$2:G541, $C$2:C541 = C541, $A$2:A541 &gt;= A541 - 30)))
"),"#DIV/0!")</f>
        <v>#DIV/0!</v>
      </c>
    </row>
    <row r="542" spans="1:14" x14ac:dyDescent="0.2">
      <c r="A542" s="35"/>
      <c r="B542" s="32"/>
      <c r="C542" s="32"/>
      <c r="D542" s="33"/>
      <c r="E542" s="33"/>
      <c r="F542" s="33"/>
      <c r="G542" s="19" t="e">
        <f t="shared" si="10"/>
        <v>#DIV/0!</v>
      </c>
      <c r="H542" s="20" t="str">
        <f ca="1">IFERROR(__xludf.DUMMYFUNCTION("IF(COUNTIFS($C$2:C542, C542, $A$2:A542, ""&lt;="" &amp; A542) &lt; 30, AVERAGEIF($C$2:C542, C542, $G$2:G542), AVERAGE(FILTER($G$2:G542, $C$2:C542 = C542, $A$2:A542 &gt;= A542 - 30)))
"),"#DIV/0!")</f>
        <v>#DIV/0!</v>
      </c>
      <c r="I542" s="20" t="e">
        <f t="shared" ca="1" si="11"/>
        <v>#DIV/0!</v>
      </c>
      <c r="J542" s="20" t="str">
        <f ca="1">IFERROR(__xludf.DUMMYFUNCTION("IF(OR($I542=2, $I542=3), 0, IFERROR(COUNTIFS($C$2:C542, $C542, $A$2:A543, ""&gt;""&amp;IFERROR(MAX(FILTER($A$2:A543, $C$2:C542=$C542, $I$2:I542&lt;&gt;1)), 0), $I$2:I542, 1),1))
"),"#DIV/0!")</f>
        <v>#DIV/0!</v>
      </c>
      <c r="K542" s="7" t="e">
        <f t="shared" ca="1" si="12"/>
        <v>#DIV/0!</v>
      </c>
      <c r="L542" s="20" t="e">
        <f t="shared" ca="1" si="13"/>
        <v>#DIV/0!</v>
      </c>
      <c r="M542" s="21" t="e">
        <f t="shared" ca="1" si="14"/>
        <v>#DIV/0!</v>
      </c>
      <c r="N542" s="20" t="str">
        <f ca="1">IFERROR(__xludf.DUMMYFUNCTION("IF(COUNTIFS($C$2:C542, C542, $A$2:A542, ""&lt;="" &amp; A542) &lt; 30, STDEV.P(FILTER($G$2:G542, $C$2:C542 = C542)), STDEV.P(FILTER($G$2:G542, $C$2:C542 = C542, $A$2:A542 &gt;= A542 - 30)))
"),"#DIV/0!")</f>
        <v>#DIV/0!</v>
      </c>
    </row>
    <row r="543" spans="1:14" x14ac:dyDescent="0.2">
      <c r="A543" s="35"/>
      <c r="B543" s="40"/>
      <c r="C543" s="40"/>
      <c r="D543" s="31"/>
      <c r="E543" s="31"/>
      <c r="F543" s="31"/>
      <c r="G543" s="19" t="e">
        <f t="shared" si="10"/>
        <v>#DIV/0!</v>
      </c>
      <c r="H543" s="20" t="str">
        <f ca="1">IFERROR(__xludf.DUMMYFUNCTION("IF(COUNTIFS($C$2:C543, C543, $A$2:A543, ""&lt;="" &amp; A543) &lt; 30, AVERAGEIF($C$2:C543, C543, $G$2:G543), AVERAGE(FILTER($G$2:G543, $C$2:C543 = C543, $A$2:A543 &gt;= A543 - 30)))
"),"#DIV/0!")</f>
        <v>#DIV/0!</v>
      </c>
      <c r="I543" s="20" t="e">
        <f t="shared" ca="1" si="11"/>
        <v>#DIV/0!</v>
      </c>
      <c r="J543" s="20" t="str">
        <f ca="1">IFERROR(__xludf.DUMMYFUNCTION("IF(OR($I543=2, $I543=3), 0, IFERROR(COUNTIFS($C$2:C543, $C543, $A$2:A544, ""&gt;""&amp;IFERROR(MAX(FILTER($A$2:A544, $C$2:C543=$C543, $I$2:I543&lt;&gt;1)), 0), $I$2:I543, 1),1))
"),"#DIV/0!")</f>
        <v>#DIV/0!</v>
      </c>
      <c r="K543" s="7" t="e">
        <f t="shared" ca="1" si="12"/>
        <v>#DIV/0!</v>
      </c>
      <c r="L543" s="20" t="e">
        <f t="shared" ca="1" si="13"/>
        <v>#DIV/0!</v>
      </c>
      <c r="M543" s="21" t="e">
        <f t="shared" ca="1" si="14"/>
        <v>#DIV/0!</v>
      </c>
      <c r="N543" s="20" t="str">
        <f ca="1">IFERROR(__xludf.DUMMYFUNCTION("IF(COUNTIFS($C$2:C543, C543, $A$2:A543, ""&lt;="" &amp; A543) &lt; 30, STDEV.P(FILTER($G$2:G543, $C$2:C543 = C543)), STDEV.P(FILTER($G$2:G543, $C$2:C543 = C543, $A$2:A543 &gt;= A543 - 30)))
"),"#DIV/0!")</f>
        <v>#DIV/0!</v>
      </c>
    </row>
    <row r="544" spans="1:14" x14ac:dyDescent="0.2">
      <c r="A544" s="35"/>
      <c r="B544" s="40"/>
      <c r="C544" s="40"/>
      <c r="D544" s="31"/>
      <c r="E544" s="31"/>
      <c r="F544" s="31"/>
      <c r="G544" s="19" t="e">
        <f t="shared" si="10"/>
        <v>#DIV/0!</v>
      </c>
      <c r="H544" s="20" t="str">
        <f ca="1">IFERROR(__xludf.DUMMYFUNCTION("IF(COUNTIFS($C$2:C544, C544, $A$2:A544, ""&lt;="" &amp; A544) &lt; 30, AVERAGEIF($C$2:C544, C544, $G$2:G544), AVERAGE(FILTER($G$2:G544, $C$2:C544 = C544, $A$2:A544 &gt;= A544 - 30)))
"),"#DIV/0!")</f>
        <v>#DIV/0!</v>
      </c>
      <c r="I544" s="20" t="e">
        <f t="shared" ca="1" si="11"/>
        <v>#DIV/0!</v>
      </c>
      <c r="J544" s="20" t="str">
        <f ca="1">IFERROR(__xludf.DUMMYFUNCTION("IF(OR($I544=2, $I544=3), 0, IFERROR(COUNTIFS($C$2:C544, $C544, $A$2:A545, ""&gt;""&amp;IFERROR(MAX(FILTER($A$2:A545, $C$2:C544=$C544, $I$2:I544&lt;&gt;1)), 0), $I$2:I544, 1),1))
"),"#DIV/0!")</f>
        <v>#DIV/0!</v>
      </c>
      <c r="K544" s="7" t="e">
        <f t="shared" ca="1" si="12"/>
        <v>#DIV/0!</v>
      </c>
      <c r="L544" s="20" t="e">
        <f t="shared" ca="1" si="13"/>
        <v>#DIV/0!</v>
      </c>
      <c r="M544" s="21" t="e">
        <f t="shared" ca="1" si="14"/>
        <v>#DIV/0!</v>
      </c>
      <c r="N544" s="20" t="str">
        <f ca="1">IFERROR(__xludf.DUMMYFUNCTION("IF(COUNTIFS($C$2:C544, C544, $A$2:A544, ""&lt;="" &amp; A544) &lt; 30, STDEV.P(FILTER($G$2:G544, $C$2:C544 = C544)), STDEV.P(FILTER($G$2:G544, $C$2:C544 = C544, $A$2:A544 &gt;= A544 - 30)))
"),"#DIV/0!")</f>
        <v>#DIV/0!</v>
      </c>
    </row>
    <row r="545" spans="1:14" x14ac:dyDescent="0.2">
      <c r="A545" s="35"/>
      <c r="B545" s="40"/>
      <c r="C545" s="40"/>
      <c r="D545" s="31"/>
      <c r="E545" s="31"/>
      <c r="F545" s="31"/>
      <c r="G545" s="19" t="e">
        <f t="shared" si="10"/>
        <v>#DIV/0!</v>
      </c>
      <c r="H545" s="20" t="str">
        <f ca="1">IFERROR(__xludf.DUMMYFUNCTION("IF(COUNTIFS($C$2:C545, C545, $A$2:A545, ""&lt;="" &amp; A545) &lt; 30, AVERAGEIF($C$2:C545, C545, $G$2:G545), AVERAGE(FILTER($G$2:G545, $C$2:C545 = C545, $A$2:A545 &gt;= A545 - 30)))
"),"#DIV/0!")</f>
        <v>#DIV/0!</v>
      </c>
      <c r="I545" s="20" t="e">
        <f t="shared" ca="1" si="11"/>
        <v>#DIV/0!</v>
      </c>
      <c r="J545" s="20" t="str">
        <f ca="1">IFERROR(__xludf.DUMMYFUNCTION("IF(OR($I545=2, $I545=3), 0, IFERROR(COUNTIFS($C$2:C545, $C545, $A$2:A546, ""&gt;""&amp;IFERROR(MAX(FILTER($A$2:A546, $C$2:C545=$C545, $I$2:I545&lt;&gt;1)), 0), $I$2:I545, 1),1))
"),"#DIV/0!")</f>
        <v>#DIV/0!</v>
      </c>
      <c r="K545" s="7" t="e">
        <f t="shared" ca="1" si="12"/>
        <v>#DIV/0!</v>
      </c>
      <c r="L545" s="20" t="e">
        <f t="shared" ca="1" si="13"/>
        <v>#DIV/0!</v>
      </c>
      <c r="M545" s="21" t="e">
        <f t="shared" ca="1" si="14"/>
        <v>#DIV/0!</v>
      </c>
      <c r="N545" s="20" t="str">
        <f ca="1">IFERROR(__xludf.DUMMYFUNCTION("IF(COUNTIFS($C$2:C545, C545, $A$2:A545, ""&lt;="" &amp; A545) &lt; 30, STDEV.P(FILTER($G$2:G545, $C$2:C545 = C545)), STDEV.P(FILTER($G$2:G545, $C$2:C545 = C545, $A$2:A545 &gt;= A545 - 30)))
"),"#DIV/0!")</f>
        <v>#DIV/0!</v>
      </c>
    </row>
    <row r="546" spans="1:14" x14ac:dyDescent="0.2">
      <c r="A546" s="35"/>
      <c r="B546" s="40"/>
      <c r="C546" s="40"/>
      <c r="D546" s="31"/>
      <c r="E546" s="31"/>
      <c r="F546" s="31"/>
      <c r="G546" s="19" t="e">
        <f t="shared" si="10"/>
        <v>#DIV/0!</v>
      </c>
      <c r="H546" s="20" t="str">
        <f ca="1">IFERROR(__xludf.DUMMYFUNCTION("IF(COUNTIFS($C$2:C546, C546, $A$2:A546, ""&lt;="" &amp; A546) &lt; 30, AVERAGEIF($C$2:C546, C546, $G$2:G546), AVERAGE(FILTER($G$2:G546, $C$2:C546 = C546, $A$2:A546 &gt;= A546 - 30)))
"),"#DIV/0!")</f>
        <v>#DIV/0!</v>
      </c>
      <c r="I546" s="20" t="e">
        <f t="shared" ca="1" si="11"/>
        <v>#DIV/0!</v>
      </c>
      <c r="J546" s="20" t="str">
        <f ca="1">IFERROR(__xludf.DUMMYFUNCTION("IF(OR($I546=2, $I546=3), 0, IFERROR(COUNTIFS($C$2:C546, $C546, $A$2:A547, ""&gt;""&amp;IFERROR(MAX(FILTER($A$2:A547, $C$2:C546=$C546, $I$2:I546&lt;&gt;1)), 0), $I$2:I546, 1),1))
"),"#DIV/0!")</f>
        <v>#DIV/0!</v>
      </c>
      <c r="K546" s="7" t="e">
        <f t="shared" ca="1" si="12"/>
        <v>#DIV/0!</v>
      </c>
      <c r="L546" s="20" t="e">
        <f t="shared" ca="1" si="13"/>
        <v>#DIV/0!</v>
      </c>
      <c r="M546" s="21" t="e">
        <f t="shared" ca="1" si="14"/>
        <v>#DIV/0!</v>
      </c>
      <c r="N546" s="20" t="str">
        <f ca="1">IFERROR(__xludf.DUMMYFUNCTION("IF(COUNTIFS($C$2:C546, C546, $A$2:A546, ""&lt;="" &amp; A546) &lt; 30, STDEV.P(FILTER($G$2:G546, $C$2:C546 = C546)), STDEV.P(FILTER($G$2:G546, $C$2:C546 = C546, $A$2:A546 &gt;= A546 - 30)))
"),"#DIV/0!")</f>
        <v>#DIV/0!</v>
      </c>
    </row>
    <row r="547" spans="1:14" x14ac:dyDescent="0.2">
      <c r="A547" s="35"/>
      <c r="B547" s="40"/>
      <c r="C547" s="40"/>
      <c r="D547" s="31"/>
      <c r="E547" s="31"/>
      <c r="F547" s="31"/>
      <c r="G547" s="19" t="e">
        <f t="shared" si="10"/>
        <v>#DIV/0!</v>
      </c>
      <c r="H547" s="20" t="str">
        <f ca="1">IFERROR(__xludf.DUMMYFUNCTION("IF(COUNTIFS($C$2:C547, C547, $A$2:A547, ""&lt;="" &amp; A547) &lt; 30, AVERAGEIF($C$2:C547, C547, $G$2:G547), AVERAGE(FILTER($G$2:G547, $C$2:C547 = C547, $A$2:A547 &gt;= A547 - 30)))
"),"#DIV/0!")</f>
        <v>#DIV/0!</v>
      </c>
      <c r="I547" s="20" t="e">
        <f t="shared" ca="1" si="11"/>
        <v>#DIV/0!</v>
      </c>
      <c r="J547" s="20" t="str">
        <f ca="1">IFERROR(__xludf.DUMMYFUNCTION("IF(OR($I547=2, $I547=3), 0, IFERROR(COUNTIFS($C$2:C547, $C547, $A$2:A548, ""&gt;""&amp;IFERROR(MAX(FILTER($A$2:A548, $C$2:C547=$C547, $I$2:I547&lt;&gt;1)), 0), $I$2:I547, 1),1))
"),"#DIV/0!")</f>
        <v>#DIV/0!</v>
      </c>
      <c r="K547" s="7" t="e">
        <f t="shared" ca="1" si="12"/>
        <v>#DIV/0!</v>
      </c>
      <c r="L547" s="20" t="e">
        <f t="shared" ca="1" si="13"/>
        <v>#DIV/0!</v>
      </c>
      <c r="M547" s="21" t="e">
        <f t="shared" ca="1" si="14"/>
        <v>#DIV/0!</v>
      </c>
      <c r="N547" s="20" t="str">
        <f ca="1">IFERROR(__xludf.DUMMYFUNCTION("IF(COUNTIFS($C$2:C547, C547, $A$2:A547, ""&lt;="" &amp; A547) &lt; 30, STDEV.P(FILTER($G$2:G547, $C$2:C547 = C547)), STDEV.P(FILTER($G$2:G547, $C$2:C547 = C547, $A$2:A547 &gt;= A547 - 30)))
"),"#DIV/0!")</f>
        <v>#DIV/0!</v>
      </c>
    </row>
    <row r="548" spans="1:14" x14ac:dyDescent="0.2">
      <c r="A548" s="35"/>
      <c r="B548" s="40"/>
      <c r="C548" s="40"/>
      <c r="D548" s="31"/>
      <c r="E548" s="31"/>
      <c r="F548" s="31"/>
      <c r="G548" s="19" t="e">
        <f t="shared" si="10"/>
        <v>#DIV/0!</v>
      </c>
      <c r="H548" s="20" t="str">
        <f ca="1">IFERROR(__xludf.DUMMYFUNCTION("IF(COUNTIFS($C$2:C548, C548, $A$2:A548, ""&lt;="" &amp; A548) &lt; 30, AVERAGEIF($C$2:C548, C548, $G$2:G548), AVERAGE(FILTER($G$2:G548, $C$2:C548 = C548, $A$2:A548 &gt;= A548 - 30)))
"),"#DIV/0!")</f>
        <v>#DIV/0!</v>
      </c>
      <c r="I548" s="20" t="e">
        <f t="shared" ca="1" si="11"/>
        <v>#DIV/0!</v>
      </c>
      <c r="J548" s="20" t="str">
        <f ca="1">IFERROR(__xludf.DUMMYFUNCTION("IF(OR($I548=2, $I548=3), 0, IFERROR(COUNTIFS($C$2:C548, $C548, $A$2:A549, ""&gt;""&amp;IFERROR(MAX(FILTER($A$2:A549, $C$2:C548=$C548, $I$2:I548&lt;&gt;1)), 0), $I$2:I548, 1),1))
"),"#DIV/0!")</f>
        <v>#DIV/0!</v>
      </c>
      <c r="K548" s="7" t="e">
        <f t="shared" ca="1" si="12"/>
        <v>#DIV/0!</v>
      </c>
      <c r="L548" s="20" t="e">
        <f t="shared" ca="1" si="13"/>
        <v>#DIV/0!</v>
      </c>
      <c r="M548" s="21" t="e">
        <f t="shared" ca="1" si="14"/>
        <v>#DIV/0!</v>
      </c>
      <c r="N548" s="20" t="str">
        <f ca="1">IFERROR(__xludf.DUMMYFUNCTION("IF(COUNTIFS($C$2:C548, C548, $A$2:A548, ""&lt;="" &amp; A548) &lt; 30, STDEV.P(FILTER($G$2:G548, $C$2:C548 = C548)), STDEV.P(FILTER($G$2:G548, $C$2:C548 = C548, $A$2:A548 &gt;= A548 - 30)))
"),"#DIV/0!")</f>
        <v>#DIV/0!</v>
      </c>
    </row>
    <row r="549" spans="1:14" x14ac:dyDescent="0.2">
      <c r="A549" s="35"/>
      <c r="B549" s="40"/>
      <c r="C549" s="40"/>
      <c r="D549" s="31"/>
      <c r="E549" s="31"/>
      <c r="F549" s="31"/>
      <c r="G549" s="19" t="e">
        <f t="shared" si="10"/>
        <v>#DIV/0!</v>
      </c>
      <c r="H549" s="20" t="str">
        <f ca="1">IFERROR(__xludf.DUMMYFUNCTION("IF(COUNTIFS($C$2:C549, C549, $A$2:A549, ""&lt;="" &amp; A549) &lt; 30, AVERAGEIF($C$2:C549, C549, $G$2:G549), AVERAGE(FILTER($G$2:G549, $C$2:C549 = C549, $A$2:A549 &gt;= A549 - 30)))
"),"#DIV/0!")</f>
        <v>#DIV/0!</v>
      </c>
      <c r="I549" s="20" t="e">
        <f t="shared" ca="1" si="11"/>
        <v>#DIV/0!</v>
      </c>
      <c r="J549" s="20" t="str">
        <f ca="1">IFERROR(__xludf.DUMMYFUNCTION("IF(OR($I549=2, $I549=3), 0, IFERROR(COUNTIFS($C$2:C549, $C549, $A$2:A550, ""&gt;""&amp;IFERROR(MAX(FILTER($A$2:A550, $C$2:C549=$C549, $I$2:I549&lt;&gt;1)), 0), $I$2:I549, 1),1))
"),"#DIV/0!")</f>
        <v>#DIV/0!</v>
      </c>
      <c r="K549" s="7" t="e">
        <f t="shared" ca="1" si="12"/>
        <v>#DIV/0!</v>
      </c>
      <c r="L549" s="20" t="e">
        <f t="shared" ca="1" si="13"/>
        <v>#DIV/0!</v>
      </c>
      <c r="M549" s="21" t="e">
        <f t="shared" ca="1" si="14"/>
        <v>#DIV/0!</v>
      </c>
      <c r="N549" s="20" t="str">
        <f ca="1">IFERROR(__xludf.DUMMYFUNCTION("IF(COUNTIFS($C$2:C549, C549, $A$2:A549, ""&lt;="" &amp; A549) &lt; 30, STDEV.P(FILTER($G$2:G549, $C$2:C549 = C549)), STDEV.P(FILTER($G$2:G549, $C$2:C549 = C549, $A$2:A549 &gt;= A549 - 30)))
"),"#DIV/0!")</f>
        <v>#DIV/0!</v>
      </c>
    </row>
    <row r="550" spans="1:14" x14ac:dyDescent="0.2">
      <c r="A550" s="35"/>
      <c r="B550" s="40"/>
      <c r="C550" s="40"/>
      <c r="D550" s="31"/>
      <c r="E550" s="31"/>
      <c r="F550" s="31"/>
      <c r="G550" s="19" t="e">
        <f t="shared" si="10"/>
        <v>#DIV/0!</v>
      </c>
      <c r="H550" s="20" t="str">
        <f ca="1">IFERROR(__xludf.DUMMYFUNCTION("IF(COUNTIFS($C$2:C550, C550, $A$2:A550, ""&lt;="" &amp; A550) &lt; 30, AVERAGEIF($C$2:C550, C550, $G$2:G550), AVERAGE(FILTER($G$2:G550, $C$2:C550 = C550, $A$2:A550 &gt;= A550 - 30)))
"),"#DIV/0!")</f>
        <v>#DIV/0!</v>
      </c>
      <c r="I550" s="20" t="e">
        <f t="shared" ca="1" si="11"/>
        <v>#DIV/0!</v>
      </c>
      <c r="J550" s="20" t="str">
        <f ca="1">IFERROR(__xludf.DUMMYFUNCTION("IF(OR($I550=2, $I550=3), 0, IFERROR(COUNTIFS($C$2:C550, $C550, $A$2:A551, ""&gt;""&amp;IFERROR(MAX(FILTER($A$2:A551, $C$2:C550=$C550, $I$2:I550&lt;&gt;1)), 0), $I$2:I550, 1),1))
"),"#DIV/0!")</f>
        <v>#DIV/0!</v>
      </c>
      <c r="K550" s="7" t="e">
        <f t="shared" ca="1" si="12"/>
        <v>#DIV/0!</v>
      </c>
      <c r="L550" s="20" t="e">
        <f t="shared" ca="1" si="13"/>
        <v>#DIV/0!</v>
      </c>
      <c r="M550" s="21" t="e">
        <f t="shared" ca="1" si="14"/>
        <v>#DIV/0!</v>
      </c>
      <c r="N550" s="20" t="str">
        <f ca="1">IFERROR(__xludf.DUMMYFUNCTION("IF(COUNTIFS($C$2:C550, C550, $A$2:A550, ""&lt;="" &amp; A550) &lt; 30, STDEV.P(FILTER($G$2:G550, $C$2:C550 = C550)), STDEV.P(FILTER($G$2:G550, $C$2:C550 = C550, $A$2:A550 &gt;= A550 - 30)))
"),"#DIV/0!")</f>
        <v>#DIV/0!</v>
      </c>
    </row>
    <row r="551" spans="1:14" x14ac:dyDescent="0.2">
      <c r="A551" s="35"/>
      <c r="B551" s="40"/>
      <c r="C551" s="40"/>
      <c r="D551" s="31"/>
      <c r="E551" s="31"/>
      <c r="F551" s="31"/>
      <c r="G551" s="19" t="e">
        <f t="shared" si="10"/>
        <v>#DIV/0!</v>
      </c>
      <c r="H551" s="20" t="str">
        <f ca="1">IFERROR(__xludf.DUMMYFUNCTION("IF(COUNTIFS($C$2:C551, C551, $A$2:A551, ""&lt;="" &amp; A551) &lt; 30, AVERAGEIF($C$2:C551, C551, $G$2:G551), AVERAGE(FILTER($G$2:G551, $C$2:C551 = C551, $A$2:A551 &gt;= A551 - 30)))
"),"#DIV/0!")</f>
        <v>#DIV/0!</v>
      </c>
      <c r="I551" s="20" t="e">
        <f t="shared" ca="1" si="11"/>
        <v>#DIV/0!</v>
      </c>
      <c r="J551" s="20" t="str">
        <f ca="1">IFERROR(__xludf.DUMMYFUNCTION("IF(OR($I551=2, $I551=3), 0, IFERROR(COUNTIFS($C$2:C551, $C551, $A$2:A552, ""&gt;""&amp;IFERROR(MAX(FILTER($A$2:A552, $C$2:C551=$C551, $I$2:I551&lt;&gt;1)), 0), $I$2:I551, 1),1))
"),"#DIV/0!")</f>
        <v>#DIV/0!</v>
      </c>
      <c r="K551" s="7" t="e">
        <f t="shared" ca="1" si="12"/>
        <v>#DIV/0!</v>
      </c>
      <c r="L551" s="20" t="e">
        <f t="shared" ca="1" si="13"/>
        <v>#DIV/0!</v>
      </c>
      <c r="M551" s="21" t="e">
        <f t="shared" ca="1" si="14"/>
        <v>#DIV/0!</v>
      </c>
      <c r="N551" s="20" t="str">
        <f ca="1">IFERROR(__xludf.DUMMYFUNCTION("IF(COUNTIFS($C$2:C551, C551, $A$2:A551, ""&lt;="" &amp; A551) &lt; 30, STDEV.P(FILTER($G$2:G551, $C$2:C551 = C551)), STDEV.P(FILTER($G$2:G551, $C$2:C551 = C551, $A$2:A551 &gt;= A551 - 30)))
"),"#DIV/0!")</f>
        <v>#DIV/0!</v>
      </c>
    </row>
    <row r="552" spans="1:14" x14ac:dyDescent="0.2">
      <c r="A552" s="35"/>
      <c r="B552" s="32"/>
      <c r="C552" s="32"/>
      <c r="D552" s="33"/>
      <c r="E552" s="33"/>
      <c r="F552" s="33"/>
      <c r="G552" s="19" t="e">
        <f t="shared" si="10"/>
        <v>#DIV/0!</v>
      </c>
      <c r="H552" s="20" t="str">
        <f ca="1">IFERROR(__xludf.DUMMYFUNCTION("IF(COUNTIFS($C$2:C552, C552, $A$2:A552, ""&lt;="" &amp; A552) &lt; 30, AVERAGEIF($C$2:C552, C552, $G$2:G552), AVERAGE(FILTER($G$2:G552, $C$2:C552 = C552, $A$2:A552 &gt;= A552 - 30)))
"),"#DIV/0!")</f>
        <v>#DIV/0!</v>
      </c>
      <c r="I552" s="20" t="e">
        <f t="shared" ca="1" si="11"/>
        <v>#DIV/0!</v>
      </c>
      <c r="J552" s="20" t="str">
        <f ca="1">IFERROR(__xludf.DUMMYFUNCTION("IF(OR($I552=2, $I552=3), 0, IFERROR(COUNTIFS($C$2:C552, $C552, $A$2:A553, ""&gt;""&amp;IFERROR(MAX(FILTER($A$2:A553, $C$2:C552=$C552, $I$2:I552&lt;&gt;1)), 0), $I$2:I552, 1),1))
"),"#DIV/0!")</f>
        <v>#DIV/0!</v>
      </c>
      <c r="K552" s="7" t="e">
        <f t="shared" ca="1" si="12"/>
        <v>#DIV/0!</v>
      </c>
      <c r="L552" s="20" t="e">
        <f t="shared" ca="1" si="13"/>
        <v>#DIV/0!</v>
      </c>
      <c r="M552" s="21" t="e">
        <f t="shared" ca="1" si="14"/>
        <v>#DIV/0!</v>
      </c>
      <c r="N552" s="20" t="str">
        <f ca="1">IFERROR(__xludf.DUMMYFUNCTION("IF(COUNTIFS($C$2:C552, C552, $A$2:A552, ""&lt;="" &amp; A552) &lt; 30, STDEV.P(FILTER($G$2:G552, $C$2:C552 = C552)), STDEV.P(FILTER($G$2:G552, $C$2:C552 = C552, $A$2:A552 &gt;= A552 - 30)))
"),"#DIV/0!")</f>
        <v>#DIV/0!</v>
      </c>
    </row>
    <row r="553" spans="1:14" x14ac:dyDescent="0.2">
      <c r="A553" s="35"/>
      <c r="B553" s="32"/>
      <c r="C553" s="32"/>
      <c r="D553" s="33"/>
      <c r="E553" s="33"/>
      <c r="F553" s="33"/>
      <c r="G553" s="19" t="e">
        <f t="shared" si="10"/>
        <v>#DIV/0!</v>
      </c>
      <c r="H553" s="20" t="str">
        <f ca="1">IFERROR(__xludf.DUMMYFUNCTION("IF(COUNTIFS($C$2:C553, C553, $A$2:A553, ""&lt;="" &amp; A553) &lt; 30, AVERAGEIF($C$2:C553, C553, $G$2:G553), AVERAGE(FILTER($G$2:G553, $C$2:C553 = C553, $A$2:A553 &gt;= A553 - 30)))
"),"#DIV/0!")</f>
        <v>#DIV/0!</v>
      </c>
      <c r="I553" s="20" t="e">
        <f t="shared" ca="1" si="11"/>
        <v>#DIV/0!</v>
      </c>
      <c r="J553" s="20" t="str">
        <f ca="1">IFERROR(__xludf.DUMMYFUNCTION("IF(OR($I553=2, $I553=3), 0, IFERROR(COUNTIFS($C$2:C553, $C553, $A$2:A554, ""&gt;""&amp;IFERROR(MAX(FILTER($A$2:A554, $C$2:C553=$C553, $I$2:I553&lt;&gt;1)), 0), $I$2:I553, 1),1))
"),"#DIV/0!")</f>
        <v>#DIV/0!</v>
      </c>
      <c r="K553" s="7" t="e">
        <f t="shared" ca="1" si="12"/>
        <v>#DIV/0!</v>
      </c>
      <c r="L553" s="20" t="e">
        <f t="shared" ca="1" si="13"/>
        <v>#DIV/0!</v>
      </c>
      <c r="M553" s="21" t="e">
        <f t="shared" ca="1" si="14"/>
        <v>#DIV/0!</v>
      </c>
      <c r="N553" s="20" t="str">
        <f ca="1">IFERROR(__xludf.DUMMYFUNCTION("IF(COUNTIFS($C$2:C553, C553, $A$2:A553, ""&lt;="" &amp; A553) &lt; 30, STDEV.P(FILTER($G$2:G553, $C$2:C553 = C553)), STDEV.P(FILTER($G$2:G553, $C$2:C553 = C553, $A$2:A553 &gt;= A553 - 30)))
"),"#DIV/0!")</f>
        <v>#DIV/0!</v>
      </c>
    </row>
    <row r="554" spans="1:14" x14ac:dyDescent="0.2">
      <c r="A554" s="35"/>
      <c r="B554" s="32"/>
      <c r="C554" s="32"/>
      <c r="D554" s="33"/>
      <c r="E554" s="33"/>
      <c r="F554" s="33"/>
      <c r="G554" s="19" t="e">
        <f t="shared" si="10"/>
        <v>#DIV/0!</v>
      </c>
      <c r="H554" s="20" t="str">
        <f ca="1">IFERROR(__xludf.DUMMYFUNCTION("IF(COUNTIFS($C$2:C554, C554, $A$2:A554, ""&lt;="" &amp; A554) &lt; 30, AVERAGEIF($C$2:C554, C554, $G$2:G554), AVERAGE(FILTER($G$2:G554, $C$2:C554 = C554, $A$2:A554 &gt;= A554 - 30)))
"),"#DIV/0!")</f>
        <v>#DIV/0!</v>
      </c>
      <c r="I554" s="20" t="e">
        <f t="shared" ca="1" si="11"/>
        <v>#DIV/0!</v>
      </c>
      <c r="J554" s="20" t="str">
        <f ca="1">IFERROR(__xludf.DUMMYFUNCTION("IF(OR($I554=2, $I554=3), 0, IFERROR(COUNTIFS($C$2:C554, $C554, $A$2:A555, ""&gt;""&amp;IFERROR(MAX(FILTER($A$2:A555, $C$2:C554=$C554, $I$2:I554&lt;&gt;1)), 0), $I$2:I554, 1),1))
"),"#DIV/0!")</f>
        <v>#DIV/0!</v>
      </c>
      <c r="K554" s="7" t="e">
        <f t="shared" ca="1" si="12"/>
        <v>#DIV/0!</v>
      </c>
      <c r="L554" s="20" t="e">
        <f t="shared" ca="1" si="13"/>
        <v>#DIV/0!</v>
      </c>
      <c r="M554" s="21" t="e">
        <f t="shared" ca="1" si="14"/>
        <v>#DIV/0!</v>
      </c>
      <c r="N554" s="20" t="str">
        <f ca="1">IFERROR(__xludf.DUMMYFUNCTION("IF(COUNTIFS($C$2:C554, C554, $A$2:A554, ""&lt;="" &amp; A554) &lt; 30, STDEV.P(FILTER($G$2:G554, $C$2:C554 = C554)), STDEV.P(FILTER($G$2:G554, $C$2:C554 = C554, $A$2:A554 &gt;= A554 - 30)))
"),"#DIV/0!")</f>
        <v>#DIV/0!</v>
      </c>
    </row>
    <row r="555" spans="1:14" x14ac:dyDescent="0.2">
      <c r="A555" s="35"/>
      <c r="B555" s="32"/>
      <c r="C555" s="32"/>
      <c r="D555" s="33"/>
      <c r="E555" s="33"/>
      <c r="F555" s="33"/>
      <c r="G555" s="19" t="e">
        <f t="shared" si="10"/>
        <v>#DIV/0!</v>
      </c>
      <c r="H555" s="20" t="str">
        <f ca="1">IFERROR(__xludf.DUMMYFUNCTION("IF(COUNTIFS($C$2:C555, C555, $A$2:A555, ""&lt;="" &amp; A555) &lt; 30, AVERAGEIF($C$2:C555, C555, $G$2:G555), AVERAGE(FILTER($G$2:G555, $C$2:C555 = C555, $A$2:A555 &gt;= A555 - 30)))
"),"#DIV/0!")</f>
        <v>#DIV/0!</v>
      </c>
      <c r="I555" s="20" t="e">
        <f t="shared" ca="1" si="11"/>
        <v>#DIV/0!</v>
      </c>
      <c r="J555" s="20" t="str">
        <f ca="1">IFERROR(__xludf.DUMMYFUNCTION("IF(OR($I555=2, $I555=3), 0, IFERROR(COUNTIFS($C$2:C555, $C555, $A$2:A556, ""&gt;""&amp;IFERROR(MAX(FILTER($A$2:A556, $C$2:C555=$C555, $I$2:I555&lt;&gt;1)), 0), $I$2:I555, 1),1))
"),"#DIV/0!")</f>
        <v>#DIV/0!</v>
      </c>
      <c r="K555" s="7" t="e">
        <f t="shared" ca="1" si="12"/>
        <v>#DIV/0!</v>
      </c>
      <c r="L555" s="20" t="e">
        <f t="shared" ca="1" si="13"/>
        <v>#DIV/0!</v>
      </c>
      <c r="M555" s="21" t="e">
        <f t="shared" ca="1" si="14"/>
        <v>#DIV/0!</v>
      </c>
      <c r="N555" s="20" t="str">
        <f ca="1">IFERROR(__xludf.DUMMYFUNCTION("IF(COUNTIFS($C$2:C555, C555, $A$2:A555, ""&lt;="" &amp; A555) &lt; 30, STDEV.P(FILTER($G$2:G555, $C$2:C555 = C555)), STDEV.P(FILTER($G$2:G555, $C$2:C555 = C555, $A$2:A555 &gt;= A555 - 30)))
"),"#DIV/0!")</f>
        <v>#DIV/0!</v>
      </c>
    </row>
    <row r="556" spans="1:14" x14ac:dyDescent="0.2">
      <c r="A556" s="35"/>
      <c r="B556" s="32"/>
      <c r="C556" s="32"/>
      <c r="D556" s="33"/>
      <c r="E556" s="33"/>
      <c r="F556" s="33"/>
      <c r="G556" s="19" t="e">
        <f t="shared" si="10"/>
        <v>#DIV/0!</v>
      </c>
      <c r="H556" s="20" t="str">
        <f ca="1">IFERROR(__xludf.DUMMYFUNCTION("IF(COUNTIFS($C$2:C556, C556, $A$2:A556, ""&lt;="" &amp; A556) &lt; 30, AVERAGEIF($C$2:C556, C556, $G$2:G556), AVERAGE(FILTER($G$2:G556, $C$2:C556 = C556, $A$2:A556 &gt;= A556 - 30)))
"),"#DIV/0!")</f>
        <v>#DIV/0!</v>
      </c>
      <c r="I556" s="20" t="e">
        <f t="shared" ca="1" si="11"/>
        <v>#DIV/0!</v>
      </c>
      <c r="J556" s="20" t="str">
        <f ca="1">IFERROR(__xludf.DUMMYFUNCTION("IF(OR($I556=2, $I556=3), 0, IFERROR(COUNTIFS($C$2:C556, $C556, $A$2:A557, ""&gt;""&amp;IFERROR(MAX(FILTER($A$2:A557, $C$2:C556=$C556, $I$2:I556&lt;&gt;1)), 0), $I$2:I556, 1),1))
"),"#DIV/0!")</f>
        <v>#DIV/0!</v>
      </c>
      <c r="K556" s="7" t="e">
        <f t="shared" ca="1" si="12"/>
        <v>#DIV/0!</v>
      </c>
      <c r="L556" s="20" t="e">
        <f t="shared" ca="1" si="13"/>
        <v>#DIV/0!</v>
      </c>
      <c r="M556" s="21" t="e">
        <f t="shared" ca="1" si="14"/>
        <v>#DIV/0!</v>
      </c>
      <c r="N556" s="20" t="str">
        <f ca="1">IFERROR(__xludf.DUMMYFUNCTION("IF(COUNTIFS($C$2:C556, C556, $A$2:A556, ""&lt;="" &amp; A556) &lt; 30, STDEV.P(FILTER($G$2:G556, $C$2:C556 = C556)), STDEV.P(FILTER($G$2:G556, $C$2:C556 = C556, $A$2:A556 &gt;= A556 - 30)))
"),"#DIV/0!")</f>
        <v>#DIV/0!</v>
      </c>
    </row>
    <row r="557" spans="1:14" x14ac:dyDescent="0.2">
      <c r="A557" s="35"/>
      <c r="B557" s="32"/>
      <c r="C557" s="32"/>
      <c r="D557" s="33"/>
      <c r="E557" s="33"/>
      <c r="F557" s="33"/>
      <c r="G557" s="19" t="e">
        <f t="shared" si="10"/>
        <v>#DIV/0!</v>
      </c>
      <c r="H557" s="20" t="str">
        <f ca="1">IFERROR(__xludf.DUMMYFUNCTION("IF(COUNTIFS($C$2:C557, C557, $A$2:A557, ""&lt;="" &amp; A557) &lt; 30, AVERAGEIF($C$2:C557, C557, $G$2:G557), AVERAGE(FILTER($G$2:G557, $C$2:C557 = C557, $A$2:A557 &gt;= A557 - 30)))
"),"#DIV/0!")</f>
        <v>#DIV/0!</v>
      </c>
      <c r="I557" s="20" t="e">
        <f t="shared" ca="1" si="11"/>
        <v>#DIV/0!</v>
      </c>
      <c r="J557" s="20" t="str">
        <f ca="1">IFERROR(__xludf.DUMMYFUNCTION("IF(OR($I557=2, $I557=3), 0, IFERROR(COUNTIFS($C$2:C557, $C557, $A$2:A558, ""&gt;""&amp;IFERROR(MAX(FILTER($A$2:A558, $C$2:C557=$C557, $I$2:I557&lt;&gt;1)), 0), $I$2:I557, 1),1))
"),"#DIV/0!")</f>
        <v>#DIV/0!</v>
      </c>
      <c r="K557" s="7" t="e">
        <f t="shared" ca="1" si="12"/>
        <v>#DIV/0!</v>
      </c>
      <c r="L557" s="20" t="e">
        <f t="shared" ca="1" si="13"/>
        <v>#DIV/0!</v>
      </c>
      <c r="M557" s="21" t="e">
        <f t="shared" ca="1" si="14"/>
        <v>#DIV/0!</v>
      </c>
      <c r="N557" s="20" t="str">
        <f ca="1">IFERROR(__xludf.DUMMYFUNCTION("IF(COUNTIFS($C$2:C557, C557, $A$2:A557, ""&lt;="" &amp; A557) &lt; 30, STDEV.P(FILTER($G$2:G557, $C$2:C557 = C557)), STDEV.P(FILTER($G$2:G557, $C$2:C557 = C557, $A$2:A557 &gt;= A557 - 30)))
"),"#DIV/0!")</f>
        <v>#DIV/0!</v>
      </c>
    </row>
    <row r="558" spans="1:14" x14ac:dyDescent="0.2">
      <c r="A558" s="35"/>
      <c r="B558" s="32"/>
      <c r="C558" s="32"/>
      <c r="D558" s="33"/>
      <c r="E558" s="33"/>
      <c r="F558" s="33"/>
      <c r="G558" s="19" t="e">
        <f t="shared" si="10"/>
        <v>#DIV/0!</v>
      </c>
      <c r="H558" s="20" t="str">
        <f ca="1">IFERROR(__xludf.DUMMYFUNCTION("IF(COUNTIFS($C$2:C558, C558, $A$2:A558, ""&lt;="" &amp; A558) &lt; 30, AVERAGEIF($C$2:C558, C558, $G$2:G558), AVERAGE(FILTER($G$2:G558, $C$2:C558 = C558, $A$2:A558 &gt;= A558 - 30)))
"),"#DIV/0!")</f>
        <v>#DIV/0!</v>
      </c>
      <c r="I558" s="20" t="e">
        <f t="shared" ca="1" si="11"/>
        <v>#DIV/0!</v>
      </c>
      <c r="J558" s="20" t="str">
        <f ca="1">IFERROR(__xludf.DUMMYFUNCTION("IF(OR($I558=2, $I558=3), 0, IFERROR(COUNTIFS($C$2:C558, $C558, $A$2:A559, ""&gt;""&amp;IFERROR(MAX(FILTER($A$2:A559, $C$2:C558=$C558, $I$2:I558&lt;&gt;1)), 0), $I$2:I558, 1),1))
"),"#DIV/0!")</f>
        <v>#DIV/0!</v>
      </c>
      <c r="K558" s="7" t="e">
        <f t="shared" ca="1" si="12"/>
        <v>#DIV/0!</v>
      </c>
      <c r="L558" s="20" t="e">
        <f t="shared" ca="1" si="13"/>
        <v>#DIV/0!</v>
      </c>
      <c r="M558" s="21" t="e">
        <f t="shared" ca="1" si="14"/>
        <v>#DIV/0!</v>
      </c>
      <c r="N558" s="20" t="str">
        <f ca="1">IFERROR(__xludf.DUMMYFUNCTION("IF(COUNTIFS($C$2:C558, C558, $A$2:A558, ""&lt;="" &amp; A558) &lt; 30, STDEV.P(FILTER($G$2:G558, $C$2:C558 = C558)), STDEV.P(FILTER($G$2:G558, $C$2:C558 = C558, $A$2:A558 &gt;= A558 - 30)))
"),"#DIV/0!")</f>
        <v>#DIV/0!</v>
      </c>
    </row>
    <row r="559" spans="1:14" x14ac:dyDescent="0.2">
      <c r="A559" s="35"/>
      <c r="B559" s="32"/>
      <c r="C559" s="32"/>
      <c r="D559" s="33"/>
      <c r="E559" s="33"/>
      <c r="F559" s="33"/>
      <c r="G559" s="19" t="e">
        <f t="shared" si="10"/>
        <v>#DIV/0!</v>
      </c>
      <c r="H559" s="20" t="str">
        <f ca="1">IFERROR(__xludf.DUMMYFUNCTION("IF(COUNTIFS($C$2:C559, C559, $A$2:A559, ""&lt;="" &amp; A559) &lt; 30, AVERAGEIF($C$2:C559, C559, $G$2:G559), AVERAGE(FILTER($G$2:G559, $C$2:C559 = C559, $A$2:A559 &gt;= A559 - 30)))
"),"#DIV/0!")</f>
        <v>#DIV/0!</v>
      </c>
      <c r="I559" s="20" t="e">
        <f t="shared" ca="1" si="11"/>
        <v>#DIV/0!</v>
      </c>
      <c r="J559" s="20" t="str">
        <f ca="1">IFERROR(__xludf.DUMMYFUNCTION("IF(OR($I559=2, $I559=3), 0, IFERROR(COUNTIFS($C$2:C559, $C559, $A$2:A560, ""&gt;""&amp;IFERROR(MAX(FILTER($A$2:A560, $C$2:C559=$C559, $I$2:I559&lt;&gt;1)), 0), $I$2:I559, 1),1))
"),"#DIV/0!")</f>
        <v>#DIV/0!</v>
      </c>
      <c r="K559" s="7" t="e">
        <f t="shared" ca="1" si="12"/>
        <v>#DIV/0!</v>
      </c>
      <c r="L559" s="20" t="e">
        <f t="shared" ca="1" si="13"/>
        <v>#DIV/0!</v>
      </c>
      <c r="M559" s="21" t="e">
        <f t="shared" ca="1" si="14"/>
        <v>#DIV/0!</v>
      </c>
      <c r="N559" s="20" t="str">
        <f ca="1">IFERROR(__xludf.DUMMYFUNCTION("IF(COUNTIFS($C$2:C559, C559, $A$2:A559, ""&lt;="" &amp; A559) &lt; 30, STDEV.P(FILTER($G$2:G559, $C$2:C559 = C559)), STDEV.P(FILTER($G$2:G559, $C$2:C559 = C559, $A$2:A559 &gt;= A559 - 30)))
"),"#DIV/0!")</f>
        <v>#DIV/0!</v>
      </c>
    </row>
    <row r="560" spans="1:14" x14ac:dyDescent="0.2">
      <c r="A560" s="35"/>
      <c r="B560" s="32"/>
      <c r="C560" s="32"/>
      <c r="D560" s="33"/>
      <c r="E560" s="33"/>
      <c r="F560" s="33"/>
      <c r="G560" s="19" t="e">
        <f t="shared" si="10"/>
        <v>#DIV/0!</v>
      </c>
      <c r="H560" s="20" t="str">
        <f ca="1">IFERROR(__xludf.DUMMYFUNCTION("IF(COUNTIFS($C$2:C560, C560, $A$2:A560, ""&lt;="" &amp; A560) &lt; 30, AVERAGEIF($C$2:C560, C560, $G$2:G560), AVERAGE(FILTER($G$2:G560, $C$2:C560 = C560, $A$2:A560 &gt;= A560 - 30)))
"),"#DIV/0!")</f>
        <v>#DIV/0!</v>
      </c>
      <c r="I560" s="20" t="e">
        <f t="shared" ca="1" si="11"/>
        <v>#DIV/0!</v>
      </c>
      <c r="J560" s="20" t="str">
        <f ca="1">IFERROR(__xludf.DUMMYFUNCTION("IF(OR($I560=2, $I560=3), 0, IFERROR(COUNTIFS($C$2:C560, $C560, $A$2:A561, ""&gt;""&amp;IFERROR(MAX(FILTER($A$2:A561, $C$2:C560=$C560, $I$2:I560&lt;&gt;1)), 0), $I$2:I560, 1),1))
"),"#DIV/0!")</f>
        <v>#DIV/0!</v>
      </c>
      <c r="K560" s="7" t="e">
        <f t="shared" ca="1" si="12"/>
        <v>#DIV/0!</v>
      </c>
      <c r="L560" s="20" t="e">
        <f t="shared" ca="1" si="13"/>
        <v>#DIV/0!</v>
      </c>
      <c r="M560" s="21" t="e">
        <f t="shared" ca="1" si="14"/>
        <v>#DIV/0!</v>
      </c>
      <c r="N560" s="20" t="str">
        <f ca="1">IFERROR(__xludf.DUMMYFUNCTION("IF(COUNTIFS($C$2:C560, C560, $A$2:A560, ""&lt;="" &amp; A560) &lt; 30, STDEV.P(FILTER($G$2:G560, $C$2:C560 = C560)), STDEV.P(FILTER($G$2:G560, $C$2:C560 = C560, $A$2:A560 &gt;= A560 - 30)))
"),"#DIV/0!")</f>
        <v>#DIV/0!</v>
      </c>
    </row>
    <row r="561" spans="1:14" x14ac:dyDescent="0.2">
      <c r="A561" s="35"/>
      <c r="B561" s="32"/>
      <c r="C561" s="32"/>
      <c r="D561" s="33"/>
      <c r="E561" s="33"/>
      <c r="F561" s="33"/>
      <c r="G561" s="19" t="e">
        <f t="shared" si="10"/>
        <v>#DIV/0!</v>
      </c>
      <c r="H561" s="20" t="str">
        <f ca="1">IFERROR(__xludf.DUMMYFUNCTION("IF(COUNTIFS($C$2:C561, C561, $A$2:A561, ""&lt;="" &amp; A561) &lt; 30, AVERAGEIF($C$2:C561, C561, $G$2:G561), AVERAGE(FILTER($G$2:G561, $C$2:C561 = C561, $A$2:A561 &gt;= A561 - 30)))
"),"#DIV/0!")</f>
        <v>#DIV/0!</v>
      </c>
      <c r="I561" s="20" t="e">
        <f t="shared" ca="1" si="11"/>
        <v>#DIV/0!</v>
      </c>
      <c r="J561" s="20" t="str">
        <f ca="1">IFERROR(__xludf.DUMMYFUNCTION("IF(OR($I561=2, $I561=3), 0, IFERROR(COUNTIFS($C$2:C561, $C561, $A$2:A562, ""&gt;""&amp;IFERROR(MAX(FILTER($A$2:A562, $C$2:C561=$C561, $I$2:I561&lt;&gt;1)), 0), $I$2:I561, 1),1))
"),"#DIV/0!")</f>
        <v>#DIV/0!</v>
      </c>
      <c r="K561" s="7" t="e">
        <f t="shared" ca="1" si="12"/>
        <v>#DIV/0!</v>
      </c>
      <c r="L561" s="20" t="e">
        <f t="shared" ca="1" si="13"/>
        <v>#DIV/0!</v>
      </c>
      <c r="M561" s="21" t="e">
        <f t="shared" ca="1" si="14"/>
        <v>#DIV/0!</v>
      </c>
      <c r="N561" s="20" t="str">
        <f ca="1">IFERROR(__xludf.DUMMYFUNCTION("IF(COUNTIFS($C$2:C561, C561, $A$2:A561, ""&lt;="" &amp; A561) &lt; 30, STDEV.P(FILTER($G$2:G561, $C$2:C561 = C561)), STDEV.P(FILTER($G$2:G561, $C$2:C561 = C561, $A$2:A561 &gt;= A561 - 30)))
"),"#DIV/0!")</f>
        <v>#DIV/0!</v>
      </c>
    </row>
    <row r="562" spans="1:14" x14ac:dyDescent="0.2">
      <c r="A562" s="35"/>
      <c r="B562" s="32"/>
      <c r="C562" s="32"/>
      <c r="D562" s="33"/>
      <c r="E562" s="33"/>
      <c r="F562" s="33"/>
      <c r="G562" s="19" t="e">
        <f t="shared" si="10"/>
        <v>#DIV/0!</v>
      </c>
      <c r="H562" s="20" t="str">
        <f ca="1">IFERROR(__xludf.DUMMYFUNCTION("IF(COUNTIFS($C$2:C562, C562, $A$2:A562, ""&lt;="" &amp; A562) &lt; 30, AVERAGEIF($C$2:C562, C562, $G$2:G562), AVERAGE(FILTER($G$2:G562, $C$2:C562 = C562, $A$2:A562 &gt;= A562 - 30)))
"),"#DIV/0!")</f>
        <v>#DIV/0!</v>
      </c>
      <c r="I562" s="20" t="e">
        <f t="shared" ca="1" si="11"/>
        <v>#DIV/0!</v>
      </c>
      <c r="J562" s="20" t="str">
        <f ca="1">IFERROR(__xludf.DUMMYFUNCTION("IF(OR($I562=2, $I562=3), 0, IFERROR(COUNTIFS($C$2:C562, $C562, $A$2:A563, ""&gt;""&amp;IFERROR(MAX(FILTER($A$2:A563, $C$2:C562=$C562, $I$2:I562&lt;&gt;1)), 0), $I$2:I562, 1),1))
"),"#DIV/0!")</f>
        <v>#DIV/0!</v>
      </c>
      <c r="K562" s="7" t="e">
        <f t="shared" ca="1" si="12"/>
        <v>#DIV/0!</v>
      </c>
      <c r="L562" s="20" t="e">
        <f t="shared" ca="1" si="13"/>
        <v>#DIV/0!</v>
      </c>
      <c r="M562" s="21" t="e">
        <f t="shared" ca="1" si="14"/>
        <v>#DIV/0!</v>
      </c>
      <c r="N562" s="20" t="str">
        <f ca="1">IFERROR(__xludf.DUMMYFUNCTION("IF(COUNTIFS($C$2:C562, C562, $A$2:A562, ""&lt;="" &amp; A562) &lt; 30, STDEV.P(FILTER($G$2:G562, $C$2:C562 = C562)), STDEV.P(FILTER($G$2:G562, $C$2:C562 = C562, $A$2:A562 &gt;= A562 - 30)))
"),"#DIV/0!")</f>
        <v>#DIV/0!</v>
      </c>
    </row>
    <row r="563" spans="1:14" x14ac:dyDescent="0.2">
      <c r="A563" s="35"/>
      <c r="B563" s="32"/>
      <c r="C563" s="32"/>
      <c r="D563" s="33"/>
      <c r="E563" s="33"/>
      <c r="F563" s="33"/>
      <c r="G563" s="19" t="e">
        <f t="shared" si="10"/>
        <v>#DIV/0!</v>
      </c>
      <c r="H563" s="20" t="str">
        <f ca="1">IFERROR(__xludf.DUMMYFUNCTION("IF(COUNTIFS($C$2:C563, C563, $A$2:A563, ""&lt;="" &amp; A563) &lt; 30, AVERAGEIF($C$2:C563, C563, $G$2:G563), AVERAGE(FILTER($G$2:G563, $C$2:C563 = C563, $A$2:A563 &gt;= A563 - 30)))
"),"#DIV/0!")</f>
        <v>#DIV/0!</v>
      </c>
      <c r="I563" s="20" t="e">
        <f t="shared" ca="1" si="11"/>
        <v>#DIV/0!</v>
      </c>
      <c r="J563" s="20" t="str">
        <f ca="1">IFERROR(__xludf.DUMMYFUNCTION("IF(OR($I563=2, $I563=3), 0, IFERROR(COUNTIFS($C$2:C563, $C563, $A$2:A564, ""&gt;""&amp;IFERROR(MAX(FILTER($A$2:A564, $C$2:C563=$C563, $I$2:I563&lt;&gt;1)), 0), $I$2:I563, 1),1))
"),"#DIV/0!")</f>
        <v>#DIV/0!</v>
      </c>
      <c r="K563" s="7" t="e">
        <f t="shared" ca="1" si="12"/>
        <v>#DIV/0!</v>
      </c>
      <c r="L563" s="20" t="e">
        <f t="shared" ca="1" si="13"/>
        <v>#DIV/0!</v>
      </c>
      <c r="M563" s="21" t="e">
        <f t="shared" ca="1" si="14"/>
        <v>#DIV/0!</v>
      </c>
      <c r="N563" s="20" t="str">
        <f ca="1">IFERROR(__xludf.DUMMYFUNCTION("IF(COUNTIFS($C$2:C563, C563, $A$2:A563, ""&lt;="" &amp; A563) &lt; 30, STDEV.P(FILTER($G$2:G563, $C$2:C563 = C563)), STDEV.P(FILTER($G$2:G563, $C$2:C563 = C563, $A$2:A563 &gt;= A563 - 30)))
"),"#DIV/0!")</f>
        <v>#DIV/0!</v>
      </c>
    </row>
    <row r="564" spans="1:14" x14ac:dyDescent="0.2">
      <c r="A564" s="35"/>
      <c r="B564" s="32"/>
      <c r="C564" s="32"/>
      <c r="D564" s="33"/>
      <c r="E564" s="33"/>
      <c r="F564" s="33"/>
      <c r="G564" s="19" t="e">
        <f t="shared" si="10"/>
        <v>#DIV/0!</v>
      </c>
      <c r="H564" s="20" t="str">
        <f ca="1">IFERROR(__xludf.DUMMYFUNCTION("IF(COUNTIFS($C$2:C564, C564, $A$2:A564, ""&lt;="" &amp; A564) &lt; 30, AVERAGEIF($C$2:C564, C564, $G$2:G564), AVERAGE(FILTER($G$2:G564, $C$2:C564 = C564, $A$2:A564 &gt;= A564 - 30)))
"),"#DIV/0!")</f>
        <v>#DIV/0!</v>
      </c>
      <c r="I564" s="20" t="e">
        <f t="shared" ca="1" si="11"/>
        <v>#DIV/0!</v>
      </c>
      <c r="J564" s="20" t="str">
        <f ca="1">IFERROR(__xludf.DUMMYFUNCTION("IF(OR($I564=2, $I564=3), 0, IFERROR(COUNTIFS($C$2:C564, $C564, $A$2:A565, ""&gt;""&amp;IFERROR(MAX(FILTER($A$2:A565, $C$2:C564=$C564, $I$2:I564&lt;&gt;1)), 0), $I$2:I564, 1),1))
"),"#DIV/0!")</f>
        <v>#DIV/0!</v>
      </c>
      <c r="K564" s="7" t="e">
        <f t="shared" ca="1" si="12"/>
        <v>#DIV/0!</v>
      </c>
      <c r="L564" s="20" t="e">
        <f t="shared" ca="1" si="13"/>
        <v>#DIV/0!</v>
      </c>
      <c r="M564" s="21" t="e">
        <f t="shared" ca="1" si="14"/>
        <v>#DIV/0!</v>
      </c>
      <c r="N564" s="20" t="str">
        <f ca="1">IFERROR(__xludf.DUMMYFUNCTION("IF(COUNTIFS($C$2:C564, C564, $A$2:A564, ""&lt;="" &amp; A564) &lt; 30, STDEV.P(FILTER($G$2:G564, $C$2:C564 = C564)), STDEV.P(FILTER($G$2:G564, $C$2:C564 = C564, $A$2:A564 &gt;= A564 - 30)))
"),"#DIV/0!")</f>
        <v>#DIV/0!</v>
      </c>
    </row>
    <row r="565" spans="1:14" x14ac:dyDescent="0.2">
      <c r="A565" s="35"/>
      <c r="B565" s="32"/>
      <c r="C565" s="32"/>
      <c r="D565" s="33"/>
      <c r="E565" s="33"/>
      <c r="F565" s="33"/>
      <c r="G565" s="19" t="e">
        <f t="shared" si="10"/>
        <v>#DIV/0!</v>
      </c>
      <c r="H565" s="20" t="str">
        <f ca="1">IFERROR(__xludf.DUMMYFUNCTION("IF(COUNTIFS($C$2:C565, C565, $A$2:A565, ""&lt;="" &amp; A565) &lt; 30, AVERAGEIF($C$2:C565, C565, $G$2:G565), AVERAGE(FILTER($G$2:G565, $C$2:C565 = C565, $A$2:A565 &gt;= A565 - 30)))
"),"#DIV/0!")</f>
        <v>#DIV/0!</v>
      </c>
      <c r="I565" s="20" t="e">
        <f t="shared" ca="1" si="11"/>
        <v>#DIV/0!</v>
      </c>
      <c r="J565" s="20" t="str">
        <f ca="1">IFERROR(__xludf.DUMMYFUNCTION("IF(OR($I565=2, $I565=3), 0, IFERROR(COUNTIFS($C$2:C565, $C565, $A$2:A566, ""&gt;""&amp;IFERROR(MAX(FILTER($A$2:A566, $C$2:C565=$C565, $I$2:I565&lt;&gt;1)), 0), $I$2:I565, 1),1))
"),"#DIV/0!")</f>
        <v>#DIV/0!</v>
      </c>
      <c r="K565" s="7" t="e">
        <f t="shared" ca="1" si="12"/>
        <v>#DIV/0!</v>
      </c>
      <c r="L565" s="20" t="e">
        <f t="shared" ca="1" si="13"/>
        <v>#DIV/0!</v>
      </c>
      <c r="M565" s="21" t="e">
        <f t="shared" ca="1" si="14"/>
        <v>#DIV/0!</v>
      </c>
      <c r="N565" s="20" t="str">
        <f ca="1">IFERROR(__xludf.DUMMYFUNCTION("IF(COUNTIFS($C$2:C565, C565, $A$2:A565, ""&lt;="" &amp; A565) &lt; 30, STDEV.P(FILTER($G$2:G565, $C$2:C565 = C565)), STDEV.P(FILTER($G$2:G565, $C$2:C565 = C565, $A$2:A565 &gt;= A565 - 30)))
"),"#DIV/0!")</f>
        <v>#DIV/0!</v>
      </c>
    </row>
    <row r="566" spans="1:14" x14ac:dyDescent="0.2">
      <c r="A566" s="35"/>
      <c r="B566" s="32"/>
      <c r="C566" s="32"/>
      <c r="D566" s="33"/>
      <c r="E566" s="33"/>
      <c r="F566" s="33"/>
      <c r="G566" s="19" t="e">
        <f t="shared" si="10"/>
        <v>#DIV/0!</v>
      </c>
      <c r="H566" s="20" t="str">
        <f ca="1">IFERROR(__xludf.DUMMYFUNCTION("IF(COUNTIFS($C$2:C566, C566, $A$2:A566, ""&lt;="" &amp; A566) &lt; 30, AVERAGEIF($C$2:C566, C566, $G$2:G566), AVERAGE(FILTER($G$2:G566, $C$2:C566 = C566, $A$2:A566 &gt;= A566 - 30)))
"),"#DIV/0!")</f>
        <v>#DIV/0!</v>
      </c>
      <c r="I566" s="20" t="e">
        <f t="shared" ca="1" si="11"/>
        <v>#DIV/0!</v>
      </c>
      <c r="J566" s="20" t="str">
        <f ca="1">IFERROR(__xludf.DUMMYFUNCTION("IF(OR($I566=2, $I566=3), 0, IFERROR(COUNTIFS($C$2:C566, $C566, $A$2:A567, ""&gt;""&amp;IFERROR(MAX(FILTER($A$2:A567, $C$2:C566=$C566, $I$2:I566&lt;&gt;1)), 0), $I$2:I566, 1),1))
"),"#DIV/0!")</f>
        <v>#DIV/0!</v>
      </c>
      <c r="K566" s="7" t="e">
        <f t="shared" ca="1" si="12"/>
        <v>#DIV/0!</v>
      </c>
      <c r="L566" s="20" t="e">
        <f t="shared" ca="1" si="13"/>
        <v>#DIV/0!</v>
      </c>
      <c r="M566" s="21" t="e">
        <f t="shared" ca="1" si="14"/>
        <v>#DIV/0!</v>
      </c>
      <c r="N566" s="20" t="str">
        <f ca="1">IFERROR(__xludf.DUMMYFUNCTION("IF(COUNTIFS($C$2:C566, C566, $A$2:A566, ""&lt;="" &amp; A566) &lt; 30, STDEV.P(FILTER($G$2:G566, $C$2:C566 = C566)), STDEV.P(FILTER($G$2:G566, $C$2:C566 = C566, $A$2:A566 &gt;= A566 - 30)))
"),"#DIV/0!")</f>
        <v>#DIV/0!</v>
      </c>
    </row>
    <row r="567" spans="1:14" x14ac:dyDescent="0.2">
      <c r="A567" s="35"/>
      <c r="B567" s="40"/>
      <c r="C567" s="40"/>
      <c r="D567" s="31"/>
      <c r="E567" s="31"/>
      <c r="F567" s="31"/>
      <c r="G567" s="19" t="e">
        <f t="shared" si="10"/>
        <v>#DIV/0!</v>
      </c>
      <c r="H567" s="20" t="str">
        <f ca="1">IFERROR(__xludf.DUMMYFUNCTION("IF(COUNTIFS($C$2:C567, C567, $A$2:A567, ""&lt;="" &amp; A567) &lt; 30, AVERAGEIF($C$2:C567, C567, $G$2:G567), AVERAGE(FILTER($G$2:G567, $C$2:C567 = C567, $A$2:A567 &gt;= A567 - 30)))
"),"#DIV/0!")</f>
        <v>#DIV/0!</v>
      </c>
      <c r="I567" s="20" t="e">
        <f t="shared" ca="1" si="11"/>
        <v>#DIV/0!</v>
      </c>
      <c r="J567" s="20" t="str">
        <f ca="1">IFERROR(__xludf.DUMMYFUNCTION("IF(OR($I567=2, $I567=3), 0, IFERROR(COUNTIFS($C$2:C567, $C567, $A$2:A568, ""&gt;""&amp;IFERROR(MAX(FILTER($A$2:A568, $C$2:C567=$C567, $I$2:I567&lt;&gt;1)), 0), $I$2:I567, 1),1))
"),"#DIV/0!")</f>
        <v>#DIV/0!</v>
      </c>
      <c r="K567" s="7" t="e">
        <f t="shared" ca="1" si="12"/>
        <v>#DIV/0!</v>
      </c>
      <c r="L567" s="20" t="e">
        <f t="shared" ca="1" si="13"/>
        <v>#DIV/0!</v>
      </c>
      <c r="M567" s="21" t="e">
        <f t="shared" ca="1" si="14"/>
        <v>#DIV/0!</v>
      </c>
      <c r="N567" s="20" t="str">
        <f ca="1">IFERROR(__xludf.DUMMYFUNCTION("IF(COUNTIFS($C$2:C567, C567, $A$2:A567, ""&lt;="" &amp; A567) &lt; 30, STDEV.P(FILTER($G$2:G567, $C$2:C567 = C567)), STDEV.P(FILTER($G$2:G567, $C$2:C567 = C567, $A$2:A567 &gt;= A567 - 30)))
"),"#DIV/0!")</f>
        <v>#DIV/0!</v>
      </c>
    </row>
    <row r="568" spans="1:14" x14ac:dyDescent="0.2">
      <c r="A568" s="35"/>
      <c r="B568" s="40"/>
      <c r="C568" s="40"/>
      <c r="D568" s="31"/>
      <c r="E568" s="31"/>
      <c r="F568" s="31"/>
      <c r="G568" s="19" t="e">
        <f t="shared" si="10"/>
        <v>#DIV/0!</v>
      </c>
      <c r="H568" s="20" t="str">
        <f ca="1">IFERROR(__xludf.DUMMYFUNCTION("IF(COUNTIFS($C$2:C568, C568, $A$2:A568, ""&lt;="" &amp; A568) &lt; 30, AVERAGEIF($C$2:C568, C568, $G$2:G568), AVERAGE(FILTER($G$2:G568, $C$2:C568 = C568, $A$2:A568 &gt;= A568 - 30)))
"),"#DIV/0!")</f>
        <v>#DIV/0!</v>
      </c>
      <c r="I568" s="20" t="e">
        <f t="shared" ca="1" si="11"/>
        <v>#DIV/0!</v>
      </c>
      <c r="J568" s="20" t="str">
        <f ca="1">IFERROR(__xludf.DUMMYFUNCTION("IF(OR($I568=2, $I568=3), 0, IFERROR(COUNTIFS($C$2:C568, $C568, $A$2:A569, ""&gt;""&amp;IFERROR(MAX(FILTER($A$2:A569, $C$2:C568=$C568, $I$2:I568&lt;&gt;1)), 0), $I$2:I568, 1),1))
"),"#DIV/0!")</f>
        <v>#DIV/0!</v>
      </c>
      <c r="K568" s="7" t="e">
        <f t="shared" ca="1" si="12"/>
        <v>#DIV/0!</v>
      </c>
      <c r="L568" s="20" t="e">
        <f t="shared" ca="1" si="13"/>
        <v>#DIV/0!</v>
      </c>
      <c r="M568" s="21" t="e">
        <f t="shared" ca="1" si="14"/>
        <v>#DIV/0!</v>
      </c>
      <c r="N568" s="20" t="str">
        <f ca="1">IFERROR(__xludf.DUMMYFUNCTION("IF(COUNTIFS($C$2:C568, C568, $A$2:A568, ""&lt;="" &amp; A568) &lt; 30, STDEV.P(FILTER($G$2:G568, $C$2:C568 = C568)), STDEV.P(FILTER($G$2:G568, $C$2:C568 = C568, $A$2:A568 &gt;= A568 - 30)))
"),"#DIV/0!")</f>
        <v>#DIV/0!</v>
      </c>
    </row>
    <row r="569" spans="1:14" x14ac:dyDescent="0.2">
      <c r="A569" s="35"/>
      <c r="B569" s="40"/>
      <c r="C569" s="40"/>
      <c r="D569" s="31"/>
      <c r="E569" s="31"/>
      <c r="F569" s="31"/>
      <c r="G569" s="19" t="e">
        <f t="shared" si="10"/>
        <v>#DIV/0!</v>
      </c>
      <c r="H569" s="20" t="str">
        <f ca="1">IFERROR(__xludf.DUMMYFUNCTION("IF(COUNTIFS($C$2:C569, C569, $A$2:A569, ""&lt;="" &amp; A569) &lt; 30, AVERAGEIF($C$2:C569, C569, $G$2:G569), AVERAGE(FILTER($G$2:G569, $C$2:C569 = C569, $A$2:A569 &gt;= A569 - 30)))
"),"#DIV/0!")</f>
        <v>#DIV/0!</v>
      </c>
      <c r="I569" s="20" t="e">
        <f t="shared" ca="1" si="11"/>
        <v>#DIV/0!</v>
      </c>
      <c r="J569" s="20" t="str">
        <f ca="1">IFERROR(__xludf.DUMMYFUNCTION("IF(OR($I569=2, $I569=3), 0, IFERROR(COUNTIFS($C$2:C569, $C569, $A$2:A570, ""&gt;""&amp;IFERROR(MAX(FILTER($A$2:A570, $C$2:C569=$C569, $I$2:I569&lt;&gt;1)), 0), $I$2:I569, 1),1))
"),"#DIV/0!")</f>
        <v>#DIV/0!</v>
      </c>
      <c r="K569" s="7" t="e">
        <f t="shared" ca="1" si="12"/>
        <v>#DIV/0!</v>
      </c>
      <c r="L569" s="20" t="e">
        <f t="shared" ca="1" si="13"/>
        <v>#DIV/0!</v>
      </c>
      <c r="M569" s="21" t="e">
        <f t="shared" ca="1" si="14"/>
        <v>#DIV/0!</v>
      </c>
      <c r="N569" s="20" t="str">
        <f ca="1">IFERROR(__xludf.DUMMYFUNCTION("IF(COUNTIFS($C$2:C569, C569, $A$2:A569, ""&lt;="" &amp; A569) &lt; 30, STDEV.P(FILTER($G$2:G569, $C$2:C569 = C569)), STDEV.P(FILTER($G$2:G569, $C$2:C569 = C569, $A$2:A569 &gt;= A569 - 30)))
"),"#DIV/0!")</f>
        <v>#DIV/0!</v>
      </c>
    </row>
    <row r="570" spans="1:14" x14ac:dyDescent="0.2">
      <c r="A570" s="35"/>
      <c r="B570" s="40"/>
      <c r="C570" s="40"/>
      <c r="D570" s="31"/>
      <c r="E570" s="31"/>
      <c r="F570" s="31"/>
      <c r="G570" s="19" t="e">
        <f t="shared" si="10"/>
        <v>#DIV/0!</v>
      </c>
      <c r="H570" s="20" t="str">
        <f ca="1">IFERROR(__xludf.DUMMYFUNCTION("IF(COUNTIFS($C$2:C570, C570, $A$2:A570, ""&lt;="" &amp; A570) &lt; 30, AVERAGEIF($C$2:C570, C570, $G$2:G570), AVERAGE(FILTER($G$2:G570, $C$2:C570 = C570, $A$2:A570 &gt;= A570 - 30)))
"),"#DIV/0!")</f>
        <v>#DIV/0!</v>
      </c>
      <c r="I570" s="20" t="e">
        <f t="shared" ca="1" si="11"/>
        <v>#DIV/0!</v>
      </c>
      <c r="J570" s="20" t="str">
        <f ca="1">IFERROR(__xludf.DUMMYFUNCTION("IF(OR($I570=2, $I570=3), 0, IFERROR(COUNTIFS($C$2:C570, $C570, $A$2:A571, ""&gt;""&amp;IFERROR(MAX(FILTER($A$2:A571, $C$2:C570=$C570, $I$2:I570&lt;&gt;1)), 0), $I$2:I570, 1),1))
"),"#DIV/0!")</f>
        <v>#DIV/0!</v>
      </c>
      <c r="K570" s="7" t="e">
        <f t="shared" ca="1" si="12"/>
        <v>#DIV/0!</v>
      </c>
      <c r="L570" s="20" t="e">
        <f t="shared" ca="1" si="13"/>
        <v>#DIV/0!</v>
      </c>
      <c r="M570" s="21" t="e">
        <f t="shared" ca="1" si="14"/>
        <v>#DIV/0!</v>
      </c>
      <c r="N570" s="20" t="str">
        <f ca="1">IFERROR(__xludf.DUMMYFUNCTION("IF(COUNTIFS($C$2:C570, C570, $A$2:A570, ""&lt;="" &amp; A570) &lt; 30, STDEV.P(FILTER($G$2:G570, $C$2:C570 = C570)), STDEV.P(FILTER($G$2:G570, $C$2:C570 = C570, $A$2:A570 &gt;= A570 - 30)))
"),"#DIV/0!")</f>
        <v>#DIV/0!</v>
      </c>
    </row>
    <row r="571" spans="1:14" x14ac:dyDescent="0.2">
      <c r="A571" s="35"/>
      <c r="B571" s="40"/>
      <c r="C571" s="40"/>
      <c r="D571" s="31"/>
      <c r="E571" s="31"/>
      <c r="F571" s="31"/>
      <c r="G571" s="19" t="e">
        <f t="shared" si="10"/>
        <v>#DIV/0!</v>
      </c>
      <c r="H571" s="20" t="str">
        <f ca="1">IFERROR(__xludf.DUMMYFUNCTION("IF(COUNTIFS($C$2:C571, C571, $A$2:A571, ""&lt;="" &amp; A571) &lt; 30, AVERAGEIF($C$2:C571, C571, $G$2:G571), AVERAGE(FILTER($G$2:G571, $C$2:C571 = C571, $A$2:A571 &gt;= A571 - 30)))
"),"#DIV/0!")</f>
        <v>#DIV/0!</v>
      </c>
      <c r="I571" s="20" t="e">
        <f t="shared" ca="1" si="11"/>
        <v>#DIV/0!</v>
      </c>
      <c r="J571" s="20" t="str">
        <f ca="1">IFERROR(__xludf.DUMMYFUNCTION("IF(OR($I571=2, $I571=3), 0, IFERROR(COUNTIFS($C$2:C571, $C571, $A$2:A572, ""&gt;""&amp;IFERROR(MAX(FILTER($A$2:A572, $C$2:C571=$C571, $I$2:I571&lt;&gt;1)), 0), $I$2:I571, 1),1))
"),"#DIV/0!")</f>
        <v>#DIV/0!</v>
      </c>
      <c r="K571" s="7" t="e">
        <f t="shared" ca="1" si="12"/>
        <v>#DIV/0!</v>
      </c>
      <c r="L571" s="20" t="e">
        <f t="shared" ca="1" si="13"/>
        <v>#DIV/0!</v>
      </c>
      <c r="M571" s="21" t="e">
        <f t="shared" ca="1" si="14"/>
        <v>#DIV/0!</v>
      </c>
      <c r="N571" s="20" t="str">
        <f ca="1">IFERROR(__xludf.DUMMYFUNCTION("IF(COUNTIFS($C$2:C571, C571, $A$2:A571, ""&lt;="" &amp; A571) &lt; 30, STDEV.P(FILTER($G$2:G571, $C$2:C571 = C571)), STDEV.P(FILTER($G$2:G571, $C$2:C571 = C571, $A$2:A571 &gt;= A571 - 30)))
"),"#DIV/0!")</f>
        <v>#DIV/0!</v>
      </c>
    </row>
    <row r="572" spans="1:14" x14ac:dyDescent="0.2">
      <c r="A572" s="35"/>
      <c r="B572" s="40"/>
      <c r="C572" s="40"/>
      <c r="D572" s="31"/>
      <c r="E572" s="31"/>
      <c r="F572" s="31"/>
      <c r="G572" s="19" t="e">
        <f t="shared" si="10"/>
        <v>#DIV/0!</v>
      </c>
      <c r="H572" s="20" t="str">
        <f ca="1">IFERROR(__xludf.DUMMYFUNCTION("IF(COUNTIFS($C$2:C572, C572, $A$2:A572, ""&lt;="" &amp; A572) &lt; 30, AVERAGEIF($C$2:C572, C572, $G$2:G572), AVERAGE(FILTER($G$2:G572, $C$2:C572 = C572, $A$2:A572 &gt;= A572 - 30)))
"),"#DIV/0!")</f>
        <v>#DIV/0!</v>
      </c>
      <c r="I572" s="20" t="e">
        <f t="shared" ca="1" si="11"/>
        <v>#DIV/0!</v>
      </c>
      <c r="J572" s="20" t="str">
        <f ca="1">IFERROR(__xludf.DUMMYFUNCTION("IF(OR($I572=2, $I572=3), 0, IFERROR(COUNTIFS($C$2:C572, $C572, $A$2:A573, ""&gt;""&amp;IFERROR(MAX(FILTER($A$2:A573, $C$2:C572=$C572, $I$2:I572&lt;&gt;1)), 0), $I$2:I572, 1),1))
"),"#DIV/0!")</f>
        <v>#DIV/0!</v>
      </c>
      <c r="K572" s="7" t="e">
        <f t="shared" ca="1" si="12"/>
        <v>#DIV/0!</v>
      </c>
      <c r="L572" s="20" t="e">
        <f t="shared" ca="1" si="13"/>
        <v>#DIV/0!</v>
      </c>
      <c r="M572" s="21" t="e">
        <f t="shared" ca="1" si="14"/>
        <v>#DIV/0!</v>
      </c>
      <c r="N572" s="20" t="str">
        <f ca="1">IFERROR(__xludf.DUMMYFUNCTION("IF(COUNTIFS($C$2:C572, C572, $A$2:A572, ""&lt;="" &amp; A572) &lt; 30, STDEV.P(FILTER($G$2:G572, $C$2:C572 = C572)), STDEV.P(FILTER($G$2:G572, $C$2:C572 = C572, $A$2:A572 &gt;= A572 - 30)))
"),"#DIV/0!")</f>
        <v>#DIV/0!</v>
      </c>
    </row>
    <row r="573" spans="1:14" x14ac:dyDescent="0.2">
      <c r="A573" s="35"/>
      <c r="B573" s="40"/>
      <c r="C573" s="40"/>
      <c r="D573" s="31"/>
      <c r="E573" s="31"/>
      <c r="F573" s="31"/>
      <c r="G573" s="19" t="e">
        <f t="shared" si="10"/>
        <v>#DIV/0!</v>
      </c>
      <c r="H573" s="20" t="str">
        <f ca="1">IFERROR(__xludf.DUMMYFUNCTION("IF(COUNTIFS($C$2:C573, C573, $A$2:A573, ""&lt;="" &amp; A573) &lt; 30, AVERAGEIF($C$2:C573, C573, $G$2:G573), AVERAGE(FILTER($G$2:G573, $C$2:C573 = C573, $A$2:A573 &gt;= A573 - 30)))
"),"#DIV/0!")</f>
        <v>#DIV/0!</v>
      </c>
      <c r="I573" s="20" t="e">
        <f t="shared" ca="1" si="11"/>
        <v>#DIV/0!</v>
      </c>
      <c r="J573" s="20" t="str">
        <f ca="1">IFERROR(__xludf.DUMMYFUNCTION("IF(OR($I573=2, $I573=3), 0, IFERROR(COUNTIFS($C$2:C573, $C573, $A$2:A574, ""&gt;""&amp;IFERROR(MAX(FILTER($A$2:A574, $C$2:C573=$C573, $I$2:I573&lt;&gt;1)), 0), $I$2:I573, 1),1))
"),"#DIV/0!")</f>
        <v>#DIV/0!</v>
      </c>
      <c r="K573" s="7" t="e">
        <f t="shared" ca="1" si="12"/>
        <v>#DIV/0!</v>
      </c>
      <c r="L573" s="20" t="e">
        <f t="shared" ca="1" si="13"/>
        <v>#DIV/0!</v>
      </c>
      <c r="M573" s="21" t="e">
        <f t="shared" ca="1" si="14"/>
        <v>#DIV/0!</v>
      </c>
      <c r="N573" s="20" t="str">
        <f ca="1">IFERROR(__xludf.DUMMYFUNCTION("IF(COUNTIFS($C$2:C573, C573, $A$2:A573, ""&lt;="" &amp; A573) &lt; 30, STDEV.P(FILTER($G$2:G573, $C$2:C573 = C573)), STDEV.P(FILTER($G$2:G573, $C$2:C573 = C573, $A$2:A573 &gt;= A573 - 30)))
"),"#DIV/0!")</f>
        <v>#DIV/0!</v>
      </c>
    </row>
    <row r="574" spans="1:14" x14ac:dyDescent="0.2">
      <c r="A574" s="35"/>
      <c r="B574" s="40"/>
      <c r="C574" s="40"/>
      <c r="D574" s="31"/>
      <c r="E574" s="31"/>
      <c r="F574" s="31"/>
      <c r="G574" s="19" t="e">
        <f t="shared" si="10"/>
        <v>#DIV/0!</v>
      </c>
      <c r="H574" s="20" t="str">
        <f ca="1">IFERROR(__xludf.DUMMYFUNCTION("IF(COUNTIFS($C$2:C574, C574, $A$2:A574, ""&lt;="" &amp; A574) &lt; 30, AVERAGEIF($C$2:C574, C574, $G$2:G574), AVERAGE(FILTER($G$2:G574, $C$2:C574 = C574, $A$2:A574 &gt;= A574 - 30)))
"),"#DIV/0!")</f>
        <v>#DIV/0!</v>
      </c>
      <c r="I574" s="20" t="e">
        <f t="shared" ca="1" si="11"/>
        <v>#DIV/0!</v>
      </c>
      <c r="J574" s="20" t="str">
        <f ca="1">IFERROR(__xludf.DUMMYFUNCTION("IF(OR($I574=2, $I574=3), 0, IFERROR(COUNTIFS($C$2:C574, $C574, $A$2:A575, ""&gt;""&amp;IFERROR(MAX(FILTER($A$2:A575, $C$2:C574=$C574, $I$2:I574&lt;&gt;1)), 0), $I$2:I574, 1),1))
"),"#DIV/0!")</f>
        <v>#DIV/0!</v>
      </c>
      <c r="K574" s="7" t="e">
        <f t="shared" ca="1" si="12"/>
        <v>#DIV/0!</v>
      </c>
      <c r="L574" s="20" t="e">
        <f t="shared" ca="1" si="13"/>
        <v>#DIV/0!</v>
      </c>
      <c r="M574" s="21" t="e">
        <f t="shared" ca="1" si="14"/>
        <v>#DIV/0!</v>
      </c>
      <c r="N574" s="20" t="str">
        <f ca="1">IFERROR(__xludf.DUMMYFUNCTION("IF(COUNTIFS($C$2:C574, C574, $A$2:A574, ""&lt;="" &amp; A574) &lt; 30, STDEV.P(FILTER($G$2:G574, $C$2:C574 = C574)), STDEV.P(FILTER($G$2:G574, $C$2:C574 = C574, $A$2:A574 &gt;= A574 - 30)))
"),"#DIV/0!")</f>
        <v>#DIV/0!</v>
      </c>
    </row>
    <row r="575" spans="1:14" x14ac:dyDescent="0.2">
      <c r="A575" s="35"/>
      <c r="B575" s="32"/>
      <c r="C575" s="32"/>
      <c r="D575" s="33"/>
      <c r="E575" s="33"/>
      <c r="F575" s="33"/>
      <c r="G575" s="19" t="e">
        <f t="shared" si="10"/>
        <v>#DIV/0!</v>
      </c>
      <c r="H575" s="20" t="str">
        <f ca="1">IFERROR(__xludf.DUMMYFUNCTION("IF(COUNTIFS($C$2:C575, C575, $A$2:A575, ""&lt;="" &amp; A575) &lt; 30, AVERAGEIF($C$2:C575, C575, $G$2:G575), AVERAGE(FILTER($G$2:G575, $C$2:C575 = C575, $A$2:A575 &gt;= A575 - 30)))
"),"#DIV/0!")</f>
        <v>#DIV/0!</v>
      </c>
      <c r="I575" s="20" t="e">
        <f t="shared" ca="1" si="11"/>
        <v>#DIV/0!</v>
      </c>
      <c r="J575" s="20" t="str">
        <f ca="1">IFERROR(__xludf.DUMMYFUNCTION("IF(OR($I575=2, $I575=3), 0, IFERROR(COUNTIFS($C$2:C575, $C575, $A$2:A576, ""&gt;""&amp;IFERROR(MAX(FILTER($A$2:A576, $C$2:C575=$C575, $I$2:I575&lt;&gt;1)), 0), $I$2:I575, 1),1))
"),"#DIV/0!")</f>
        <v>#DIV/0!</v>
      </c>
      <c r="K575" s="7" t="e">
        <f t="shared" ca="1" si="12"/>
        <v>#DIV/0!</v>
      </c>
      <c r="L575" s="20" t="e">
        <f t="shared" ca="1" si="13"/>
        <v>#DIV/0!</v>
      </c>
      <c r="M575" s="21" t="e">
        <f t="shared" ca="1" si="14"/>
        <v>#DIV/0!</v>
      </c>
      <c r="N575" s="20" t="str">
        <f ca="1">IFERROR(__xludf.DUMMYFUNCTION("IF(COUNTIFS($C$2:C575, C575, $A$2:A575, ""&lt;="" &amp; A575) &lt; 30, STDEV.P(FILTER($G$2:G575, $C$2:C575 = C575)), STDEV.P(FILTER($G$2:G575, $C$2:C575 = C575, $A$2:A575 &gt;= A575 - 30)))
"),"#DIV/0!")</f>
        <v>#DIV/0!</v>
      </c>
    </row>
    <row r="576" spans="1:14" x14ac:dyDescent="0.2">
      <c r="A576" s="35"/>
      <c r="B576" s="32"/>
      <c r="C576" s="32"/>
      <c r="D576" s="33"/>
      <c r="E576" s="33"/>
      <c r="F576" s="33"/>
      <c r="G576" s="19" t="e">
        <f t="shared" si="10"/>
        <v>#DIV/0!</v>
      </c>
      <c r="H576" s="20" t="str">
        <f ca="1">IFERROR(__xludf.DUMMYFUNCTION("IF(COUNTIFS($C$2:C576, C576, $A$2:A576, ""&lt;="" &amp; A576) &lt; 30, AVERAGEIF($C$2:C576, C576, $G$2:G576), AVERAGE(FILTER($G$2:G576, $C$2:C576 = C576, $A$2:A576 &gt;= A576 - 30)))
"),"#DIV/0!")</f>
        <v>#DIV/0!</v>
      </c>
      <c r="I576" s="20" t="e">
        <f t="shared" ca="1" si="11"/>
        <v>#DIV/0!</v>
      </c>
      <c r="J576" s="20" t="str">
        <f ca="1">IFERROR(__xludf.DUMMYFUNCTION("IF(OR($I576=2, $I576=3), 0, IFERROR(COUNTIFS($C$2:C576, $C576, $A$2:A577, ""&gt;""&amp;IFERROR(MAX(FILTER($A$2:A577, $C$2:C576=$C576, $I$2:I576&lt;&gt;1)), 0), $I$2:I576, 1),1))
"),"#DIV/0!")</f>
        <v>#DIV/0!</v>
      </c>
      <c r="K576" s="7" t="e">
        <f t="shared" ca="1" si="12"/>
        <v>#DIV/0!</v>
      </c>
      <c r="L576" s="20" t="e">
        <f t="shared" ca="1" si="13"/>
        <v>#DIV/0!</v>
      </c>
      <c r="M576" s="21" t="e">
        <f t="shared" ca="1" si="14"/>
        <v>#DIV/0!</v>
      </c>
      <c r="N576" s="20" t="str">
        <f ca="1">IFERROR(__xludf.DUMMYFUNCTION("IF(COUNTIFS($C$2:C576, C576, $A$2:A576, ""&lt;="" &amp; A576) &lt; 30, STDEV.P(FILTER($G$2:G576, $C$2:C576 = C576)), STDEV.P(FILTER($G$2:G576, $C$2:C576 = C576, $A$2:A576 &gt;= A576 - 30)))
"),"#DIV/0!")</f>
        <v>#DIV/0!</v>
      </c>
    </row>
    <row r="577" spans="1:14" x14ac:dyDescent="0.2">
      <c r="A577" s="35"/>
      <c r="B577" s="32"/>
      <c r="C577" s="32"/>
      <c r="D577" s="33"/>
      <c r="E577" s="33"/>
      <c r="F577" s="33"/>
      <c r="G577" s="19" t="e">
        <f t="shared" si="10"/>
        <v>#DIV/0!</v>
      </c>
      <c r="H577" s="20" t="str">
        <f ca="1">IFERROR(__xludf.DUMMYFUNCTION("IF(COUNTIFS($C$2:C577, C577, $A$2:A577, ""&lt;="" &amp; A577) &lt; 30, AVERAGEIF($C$2:C577, C577, $G$2:G577), AVERAGE(FILTER($G$2:G577, $C$2:C577 = C577, $A$2:A577 &gt;= A577 - 30)))
"),"#DIV/0!")</f>
        <v>#DIV/0!</v>
      </c>
      <c r="I577" s="20" t="e">
        <f t="shared" ca="1" si="11"/>
        <v>#DIV/0!</v>
      </c>
      <c r="J577" s="20" t="str">
        <f ca="1">IFERROR(__xludf.DUMMYFUNCTION("IF(OR($I577=2, $I577=3), 0, IFERROR(COUNTIFS($C$2:C577, $C577, $A$2:A578, ""&gt;""&amp;IFERROR(MAX(FILTER($A$2:A578, $C$2:C577=$C577, $I$2:I577&lt;&gt;1)), 0), $I$2:I577, 1),1))
"),"#DIV/0!")</f>
        <v>#DIV/0!</v>
      </c>
      <c r="K577" s="7" t="e">
        <f t="shared" ca="1" si="12"/>
        <v>#DIV/0!</v>
      </c>
      <c r="L577" s="20" t="e">
        <f t="shared" ca="1" si="13"/>
        <v>#DIV/0!</v>
      </c>
      <c r="M577" s="21" t="e">
        <f t="shared" ca="1" si="14"/>
        <v>#DIV/0!</v>
      </c>
      <c r="N577" s="20" t="str">
        <f ca="1">IFERROR(__xludf.DUMMYFUNCTION("IF(COUNTIFS($C$2:C577, C577, $A$2:A577, ""&lt;="" &amp; A577) &lt; 30, STDEV.P(FILTER($G$2:G577, $C$2:C577 = C577)), STDEV.P(FILTER($G$2:G577, $C$2:C577 = C577, $A$2:A577 &gt;= A577 - 30)))
"),"#DIV/0!")</f>
        <v>#DIV/0!</v>
      </c>
    </row>
    <row r="578" spans="1:14" x14ac:dyDescent="0.2">
      <c r="A578" s="35"/>
      <c r="B578" s="32"/>
      <c r="C578" s="32"/>
      <c r="D578" s="33"/>
      <c r="E578" s="33"/>
      <c r="F578" s="33"/>
      <c r="G578" s="19" t="e">
        <f t="shared" si="10"/>
        <v>#DIV/0!</v>
      </c>
      <c r="H578" s="20" t="str">
        <f ca="1">IFERROR(__xludf.DUMMYFUNCTION("IF(COUNTIFS($C$2:C578, C578, $A$2:A578, ""&lt;="" &amp; A578) &lt; 30, AVERAGEIF($C$2:C578, C578, $G$2:G578), AVERAGE(FILTER($G$2:G578, $C$2:C578 = C578, $A$2:A578 &gt;= A578 - 30)))
"),"#DIV/0!")</f>
        <v>#DIV/0!</v>
      </c>
      <c r="I578" s="20" t="e">
        <f t="shared" ca="1" si="11"/>
        <v>#DIV/0!</v>
      </c>
      <c r="J578" s="20" t="str">
        <f ca="1">IFERROR(__xludf.DUMMYFUNCTION("IF(OR($I578=2, $I578=3), 0, IFERROR(COUNTIFS($C$2:C578, $C578, $A$2:A579, ""&gt;""&amp;IFERROR(MAX(FILTER($A$2:A579, $C$2:C578=$C578, $I$2:I578&lt;&gt;1)), 0), $I$2:I578, 1),1))
"),"#DIV/0!")</f>
        <v>#DIV/0!</v>
      </c>
      <c r="K578" s="7" t="e">
        <f t="shared" ca="1" si="12"/>
        <v>#DIV/0!</v>
      </c>
      <c r="L578" s="20" t="e">
        <f t="shared" ca="1" si="13"/>
        <v>#DIV/0!</v>
      </c>
      <c r="M578" s="21" t="e">
        <f t="shared" ca="1" si="14"/>
        <v>#DIV/0!</v>
      </c>
      <c r="N578" s="20" t="str">
        <f ca="1">IFERROR(__xludf.DUMMYFUNCTION("IF(COUNTIFS($C$2:C578, C578, $A$2:A578, ""&lt;="" &amp; A578) &lt; 30, STDEV.P(FILTER($G$2:G578, $C$2:C578 = C578)), STDEV.P(FILTER($G$2:G578, $C$2:C578 = C578, $A$2:A578 &gt;= A578 - 30)))
"),"#DIV/0!")</f>
        <v>#DIV/0!</v>
      </c>
    </row>
    <row r="579" spans="1:14" x14ac:dyDescent="0.2">
      <c r="A579" s="35"/>
      <c r="B579" s="32"/>
      <c r="C579" s="32"/>
      <c r="D579" s="33"/>
      <c r="E579" s="33"/>
      <c r="F579" s="33"/>
      <c r="G579" s="19" t="e">
        <f t="shared" si="10"/>
        <v>#DIV/0!</v>
      </c>
      <c r="H579" s="20" t="str">
        <f ca="1">IFERROR(__xludf.DUMMYFUNCTION("IF(COUNTIFS($C$2:C579, C579, $A$2:A579, ""&lt;="" &amp; A579) &lt; 30, AVERAGEIF($C$2:C579, C579, $G$2:G579), AVERAGE(FILTER($G$2:G579, $C$2:C579 = C579, $A$2:A579 &gt;= A579 - 30)))
"),"#DIV/0!")</f>
        <v>#DIV/0!</v>
      </c>
      <c r="I579" s="20" t="e">
        <f t="shared" ca="1" si="11"/>
        <v>#DIV/0!</v>
      </c>
      <c r="J579" s="20" t="str">
        <f ca="1">IFERROR(__xludf.DUMMYFUNCTION("IF(OR($I579=2, $I579=3), 0, IFERROR(COUNTIFS($C$2:C579, $C579, $A$2:A580, ""&gt;""&amp;IFERROR(MAX(FILTER($A$2:A580, $C$2:C579=$C579, $I$2:I579&lt;&gt;1)), 0), $I$2:I579, 1),1))
"),"#DIV/0!")</f>
        <v>#DIV/0!</v>
      </c>
      <c r="K579" s="7" t="e">
        <f t="shared" ca="1" si="12"/>
        <v>#DIV/0!</v>
      </c>
      <c r="L579" s="20" t="e">
        <f t="shared" ca="1" si="13"/>
        <v>#DIV/0!</v>
      </c>
      <c r="M579" s="21" t="e">
        <f t="shared" ca="1" si="14"/>
        <v>#DIV/0!</v>
      </c>
      <c r="N579" s="20" t="str">
        <f ca="1">IFERROR(__xludf.DUMMYFUNCTION("IF(COUNTIFS($C$2:C579, C579, $A$2:A579, ""&lt;="" &amp; A579) &lt; 30, STDEV.P(FILTER($G$2:G579, $C$2:C579 = C579)), STDEV.P(FILTER($G$2:G579, $C$2:C579 = C579, $A$2:A579 &gt;= A579 - 30)))
"),"#DIV/0!")</f>
        <v>#DIV/0!</v>
      </c>
    </row>
    <row r="580" spans="1:14" x14ac:dyDescent="0.2">
      <c r="A580" s="35"/>
      <c r="B580" s="32"/>
      <c r="C580" s="32"/>
      <c r="D580" s="33"/>
      <c r="E580" s="33"/>
      <c r="F580" s="33"/>
      <c r="G580" s="19" t="e">
        <f t="shared" si="10"/>
        <v>#DIV/0!</v>
      </c>
      <c r="H580" s="20" t="str">
        <f ca="1">IFERROR(__xludf.DUMMYFUNCTION("IF(COUNTIFS($C$2:C580, C580, $A$2:A580, ""&lt;="" &amp; A580) &lt; 30, AVERAGEIF($C$2:C580, C580, $G$2:G580), AVERAGE(FILTER($G$2:G580, $C$2:C580 = C580, $A$2:A580 &gt;= A580 - 30)))
"),"#DIV/0!")</f>
        <v>#DIV/0!</v>
      </c>
      <c r="I580" s="20" t="e">
        <f t="shared" ca="1" si="11"/>
        <v>#DIV/0!</v>
      </c>
      <c r="J580" s="20" t="str">
        <f ca="1">IFERROR(__xludf.DUMMYFUNCTION("IF(OR($I580=2, $I580=3), 0, IFERROR(COUNTIFS($C$2:C580, $C580, $A$2:A581, ""&gt;""&amp;IFERROR(MAX(FILTER($A$2:A581, $C$2:C580=$C580, $I$2:I580&lt;&gt;1)), 0), $I$2:I580, 1),1))
"),"#DIV/0!")</f>
        <v>#DIV/0!</v>
      </c>
      <c r="K580" s="7" t="e">
        <f t="shared" ca="1" si="12"/>
        <v>#DIV/0!</v>
      </c>
      <c r="L580" s="20" t="e">
        <f t="shared" ca="1" si="13"/>
        <v>#DIV/0!</v>
      </c>
      <c r="M580" s="21" t="e">
        <f t="shared" ca="1" si="14"/>
        <v>#DIV/0!</v>
      </c>
      <c r="N580" s="20" t="str">
        <f ca="1">IFERROR(__xludf.DUMMYFUNCTION("IF(COUNTIFS($C$2:C580, C580, $A$2:A580, ""&lt;="" &amp; A580) &lt; 30, STDEV.P(FILTER($G$2:G580, $C$2:C580 = C580)), STDEV.P(FILTER($G$2:G580, $C$2:C580 = C580, $A$2:A580 &gt;= A580 - 30)))
"),"#DIV/0!")</f>
        <v>#DIV/0!</v>
      </c>
    </row>
    <row r="581" spans="1:14" x14ac:dyDescent="0.2">
      <c r="A581" s="35"/>
      <c r="B581" s="32"/>
      <c r="C581" s="32"/>
      <c r="D581" s="33"/>
      <c r="E581" s="33"/>
      <c r="F581" s="33"/>
      <c r="G581" s="19" t="e">
        <f t="shared" si="10"/>
        <v>#DIV/0!</v>
      </c>
      <c r="H581" s="20" t="str">
        <f ca="1">IFERROR(__xludf.DUMMYFUNCTION("IF(COUNTIFS($C$2:C581, C581, $A$2:A581, ""&lt;="" &amp; A581) &lt; 30, AVERAGEIF($C$2:C581, C581, $G$2:G581), AVERAGE(FILTER($G$2:G581, $C$2:C581 = C581, $A$2:A581 &gt;= A581 - 30)))
"),"#DIV/0!")</f>
        <v>#DIV/0!</v>
      </c>
      <c r="I581" s="20" t="e">
        <f t="shared" ca="1" si="11"/>
        <v>#DIV/0!</v>
      </c>
      <c r="J581" s="20" t="str">
        <f ca="1">IFERROR(__xludf.DUMMYFUNCTION("IF(OR($I581=2, $I581=3), 0, IFERROR(COUNTIFS($C$2:C581, $C581, $A$2:A582, ""&gt;""&amp;IFERROR(MAX(FILTER($A$2:A582, $C$2:C581=$C581, $I$2:I581&lt;&gt;1)), 0), $I$2:I581, 1),1))
"),"#DIV/0!")</f>
        <v>#DIV/0!</v>
      </c>
      <c r="K581" s="7" t="e">
        <f t="shared" ca="1" si="12"/>
        <v>#DIV/0!</v>
      </c>
      <c r="L581" s="20" t="e">
        <f t="shared" ca="1" si="13"/>
        <v>#DIV/0!</v>
      </c>
      <c r="M581" s="21" t="e">
        <f t="shared" ca="1" si="14"/>
        <v>#DIV/0!</v>
      </c>
      <c r="N581" s="20" t="str">
        <f ca="1">IFERROR(__xludf.DUMMYFUNCTION("IF(COUNTIFS($C$2:C581, C581, $A$2:A581, ""&lt;="" &amp; A581) &lt; 30, STDEV.P(FILTER($G$2:G581, $C$2:C581 = C581)), STDEV.P(FILTER($G$2:G581, $C$2:C581 = C581, $A$2:A581 &gt;= A581 - 30)))
"),"#DIV/0!")</f>
        <v>#DIV/0!</v>
      </c>
    </row>
    <row r="582" spans="1:14" x14ac:dyDescent="0.2">
      <c r="A582" s="35"/>
      <c r="B582" s="32"/>
      <c r="C582" s="32"/>
      <c r="D582" s="33"/>
      <c r="E582" s="33"/>
      <c r="F582" s="33"/>
      <c r="G582" s="19" t="e">
        <f t="shared" si="10"/>
        <v>#DIV/0!</v>
      </c>
      <c r="H582" s="20" t="str">
        <f ca="1">IFERROR(__xludf.DUMMYFUNCTION("IF(COUNTIFS($C$2:C582, C582, $A$2:A582, ""&lt;="" &amp; A582) &lt; 30, AVERAGEIF($C$2:C582, C582, $G$2:G582), AVERAGE(FILTER($G$2:G582, $C$2:C582 = C582, $A$2:A582 &gt;= A582 - 30)))
"),"#DIV/0!")</f>
        <v>#DIV/0!</v>
      </c>
      <c r="I582" s="20" t="e">
        <f t="shared" ca="1" si="11"/>
        <v>#DIV/0!</v>
      </c>
      <c r="J582" s="20" t="str">
        <f ca="1">IFERROR(__xludf.DUMMYFUNCTION("IF(OR($I582=2, $I582=3), 0, IFERROR(COUNTIFS($C$2:C582, $C582, $A$2:A583, ""&gt;""&amp;IFERROR(MAX(FILTER($A$2:A583, $C$2:C582=$C582, $I$2:I582&lt;&gt;1)), 0), $I$2:I582, 1),1))
"),"#DIV/0!")</f>
        <v>#DIV/0!</v>
      </c>
      <c r="K582" s="7" t="e">
        <f t="shared" ca="1" si="12"/>
        <v>#DIV/0!</v>
      </c>
      <c r="L582" s="20" t="e">
        <f t="shared" ca="1" si="13"/>
        <v>#DIV/0!</v>
      </c>
      <c r="M582" s="21" t="e">
        <f t="shared" ca="1" si="14"/>
        <v>#DIV/0!</v>
      </c>
      <c r="N582" s="20" t="str">
        <f ca="1">IFERROR(__xludf.DUMMYFUNCTION("IF(COUNTIFS($C$2:C582, C582, $A$2:A582, ""&lt;="" &amp; A582) &lt; 30, STDEV.P(FILTER($G$2:G582, $C$2:C582 = C582)), STDEV.P(FILTER($G$2:G582, $C$2:C582 = C582, $A$2:A582 &gt;= A582 - 30)))
"),"#DIV/0!")</f>
        <v>#DIV/0!</v>
      </c>
    </row>
    <row r="583" spans="1:14" x14ac:dyDescent="0.2">
      <c r="A583" s="35"/>
      <c r="B583" s="32"/>
      <c r="C583" s="32"/>
      <c r="D583" s="33"/>
      <c r="E583" s="33"/>
      <c r="F583" s="33"/>
      <c r="G583" s="19" t="e">
        <f t="shared" si="10"/>
        <v>#DIV/0!</v>
      </c>
      <c r="H583" s="20" t="str">
        <f ca="1">IFERROR(__xludf.DUMMYFUNCTION("IF(COUNTIFS($C$2:C583, C583, $A$2:A583, ""&lt;="" &amp; A583) &lt; 30, AVERAGEIF($C$2:C583, C583, $G$2:G583), AVERAGE(FILTER($G$2:G583, $C$2:C583 = C583, $A$2:A583 &gt;= A583 - 30)))
"),"#DIV/0!")</f>
        <v>#DIV/0!</v>
      </c>
      <c r="I583" s="20" t="e">
        <f t="shared" ca="1" si="11"/>
        <v>#DIV/0!</v>
      </c>
      <c r="J583" s="20" t="str">
        <f ca="1">IFERROR(__xludf.DUMMYFUNCTION("IF(OR($I583=2, $I583=3), 0, IFERROR(COUNTIFS($C$2:C583, $C583, $A$2:A584, ""&gt;""&amp;IFERROR(MAX(FILTER($A$2:A584, $C$2:C583=$C583, $I$2:I583&lt;&gt;1)), 0), $I$2:I583, 1),1))
"),"#DIV/0!")</f>
        <v>#DIV/0!</v>
      </c>
      <c r="K583" s="7" t="e">
        <f t="shared" ca="1" si="12"/>
        <v>#DIV/0!</v>
      </c>
      <c r="L583" s="20" t="e">
        <f t="shared" ca="1" si="13"/>
        <v>#DIV/0!</v>
      </c>
      <c r="M583" s="21" t="e">
        <f t="shared" ca="1" si="14"/>
        <v>#DIV/0!</v>
      </c>
      <c r="N583" s="20" t="str">
        <f ca="1">IFERROR(__xludf.DUMMYFUNCTION("IF(COUNTIFS($C$2:C583, C583, $A$2:A583, ""&lt;="" &amp; A583) &lt; 30, STDEV.P(FILTER($G$2:G583, $C$2:C583 = C583)), STDEV.P(FILTER($G$2:G583, $C$2:C583 = C583, $A$2:A583 &gt;= A583 - 30)))
"),"#DIV/0!")</f>
        <v>#DIV/0!</v>
      </c>
    </row>
    <row r="584" spans="1:14" x14ac:dyDescent="0.2">
      <c r="A584" s="35"/>
      <c r="B584" s="32"/>
      <c r="C584" s="32"/>
      <c r="D584" s="33"/>
      <c r="E584" s="33"/>
      <c r="F584" s="33"/>
      <c r="G584" s="19" t="e">
        <f t="shared" si="10"/>
        <v>#DIV/0!</v>
      </c>
      <c r="H584" s="20" t="str">
        <f ca="1">IFERROR(__xludf.DUMMYFUNCTION("IF(COUNTIFS($C$2:C584, C584, $A$2:A584, ""&lt;="" &amp; A584) &lt; 30, AVERAGEIF($C$2:C584, C584, $G$2:G584), AVERAGE(FILTER($G$2:G584, $C$2:C584 = C584, $A$2:A584 &gt;= A584 - 30)))
"),"#DIV/0!")</f>
        <v>#DIV/0!</v>
      </c>
      <c r="I584" s="20" t="e">
        <f t="shared" ca="1" si="11"/>
        <v>#DIV/0!</v>
      </c>
      <c r="J584" s="20" t="str">
        <f ca="1">IFERROR(__xludf.DUMMYFUNCTION("IF(OR($I584=2, $I584=3), 0, IFERROR(COUNTIFS($C$2:C584, $C584, $A$2:A585, ""&gt;""&amp;IFERROR(MAX(FILTER($A$2:A585, $C$2:C584=$C584, $I$2:I584&lt;&gt;1)), 0), $I$2:I584, 1),1))
"),"#DIV/0!")</f>
        <v>#DIV/0!</v>
      </c>
      <c r="K584" s="7" t="e">
        <f t="shared" ca="1" si="12"/>
        <v>#DIV/0!</v>
      </c>
      <c r="L584" s="20" t="e">
        <f t="shared" ca="1" si="13"/>
        <v>#DIV/0!</v>
      </c>
      <c r="M584" s="21" t="e">
        <f t="shared" ca="1" si="14"/>
        <v>#DIV/0!</v>
      </c>
      <c r="N584" s="20" t="str">
        <f ca="1">IFERROR(__xludf.DUMMYFUNCTION("IF(COUNTIFS($C$2:C584, C584, $A$2:A584, ""&lt;="" &amp; A584) &lt; 30, STDEV.P(FILTER($G$2:G584, $C$2:C584 = C584)), STDEV.P(FILTER($G$2:G584, $C$2:C584 = C584, $A$2:A584 &gt;= A584 - 30)))
"),"#DIV/0!")</f>
        <v>#DIV/0!</v>
      </c>
    </row>
    <row r="585" spans="1:14" x14ac:dyDescent="0.2">
      <c r="A585" s="35"/>
      <c r="B585" s="32"/>
      <c r="C585" s="32"/>
      <c r="D585" s="33"/>
      <c r="E585" s="33"/>
      <c r="F585" s="33"/>
      <c r="G585" s="19" t="e">
        <f t="shared" si="10"/>
        <v>#DIV/0!</v>
      </c>
      <c r="H585" s="20" t="str">
        <f ca="1">IFERROR(__xludf.DUMMYFUNCTION("IF(COUNTIFS($C$2:C585, C585, $A$2:A585, ""&lt;="" &amp; A585) &lt; 30, AVERAGEIF($C$2:C585, C585, $G$2:G585), AVERAGE(FILTER($G$2:G585, $C$2:C585 = C585, $A$2:A585 &gt;= A585 - 30)))
"),"#DIV/0!")</f>
        <v>#DIV/0!</v>
      </c>
      <c r="I585" s="20" t="e">
        <f t="shared" ca="1" si="11"/>
        <v>#DIV/0!</v>
      </c>
      <c r="J585" s="20" t="str">
        <f ca="1">IFERROR(__xludf.DUMMYFUNCTION("IF(OR($I585=2, $I585=3), 0, IFERROR(COUNTIFS($C$2:C585, $C585, $A$2:A586, ""&gt;""&amp;IFERROR(MAX(FILTER($A$2:A586, $C$2:C585=$C585, $I$2:I585&lt;&gt;1)), 0), $I$2:I585, 1),1))
"),"#DIV/0!")</f>
        <v>#DIV/0!</v>
      </c>
      <c r="K585" s="7" t="e">
        <f t="shared" ca="1" si="12"/>
        <v>#DIV/0!</v>
      </c>
      <c r="L585" s="20" t="e">
        <f t="shared" ca="1" si="13"/>
        <v>#DIV/0!</v>
      </c>
      <c r="M585" s="21" t="e">
        <f t="shared" ca="1" si="14"/>
        <v>#DIV/0!</v>
      </c>
      <c r="N585" s="20" t="str">
        <f ca="1">IFERROR(__xludf.DUMMYFUNCTION("IF(COUNTIFS($C$2:C585, C585, $A$2:A585, ""&lt;="" &amp; A585) &lt; 30, STDEV.P(FILTER($G$2:G585, $C$2:C585 = C585)), STDEV.P(FILTER($G$2:G585, $C$2:C585 = C585, $A$2:A585 &gt;= A585 - 30)))
"),"#DIV/0!")</f>
        <v>#DIV/0!</v>
      </c>
    </row>
    <row r="586" spans="1:14" x14ac:dyDescent="0.2">
      <c r="A586" s="35"/>
      <c r="B586" s="32"/>
      <c r="C586" s="32"/>
      <c r="D586" s="33"/>
      <c r="E586" s="33"/>
      <c r="F586" s="33"/>
      <c r="G586" s="19" t="e">
        <f t="shared" si="10"/>
        <v>#DIV/0!</v>
      </c>
      <c r="H586" s="20" t="str">
        <f ca="1">IFERROR(__xludf.DUMMYFUNCTION("IF(COUNTIFS($C$2:C586, C586, $A$2:A586, ""&lt;="" &amp; A586) &lt; 30, AVERAGEIF($C$2:C586, C586, $G$2:G586), AVERAGE(FILTER($G$2:G586, $C$2:C586 = C586, $A$2:A586 &gt;= A586 - 30)))
"),"#DIV/0!")</f>
        <v>#DIV/0!</v>
      </c>
      <c r="I586" s="20" t="e">
        <f t="shared" ca="1" si="11"/>
        <v>#DIV/0!</v>
      </c>
      <c r="J586" s="20" t="str">
        <f ca="1">IFERROR(__xludf.DUMMYFUNCTION("IF(OR($I586=2, $I586=3), 0, IFERROR(COUNTIFS($C$2:C586, $C586, $A$2:A587, ""&gt;""&amp;IFERROR(MAX(FILTER($A$2:A587, $C$2:C586=$C586, $I$2:I586&lt;&gt;1)), 0), $I$2:I586, 1),1))
"),"#DIV/0!")</f>
        <v>#DIV/0!</v>
      </c>
      <c r="K586" s="7" t="e">
        <f t="shared" ca="1" si="12"/>
        <v>#DIV/0!</v>
      </c>
      <c r="L586" s="20" t="e">
        <f t="shared" ca="1" si="13"/>
        <v>#DIV/0!</v>
      </c>
      <c r="M586" s="21" t="e">
        <f t="shared" ca="1" si="14"/>
        <v>#DIV/0!</v>
      </c>
      <c r="N586" s="20" t="str">
        <f ca="1">IFERROR(__xludf.DUMMYFUNCTION("IF(COUNTIFS($C$2:C586, C586, $A$2:A586, ""&lt;="" &amp; A586) &lt; 30, STDEV.P(FILTER($G$2:G586, $C$2:C586 = C586)), STDEV.P(FILTER($G$2:G586, $C$2:C586 = C586, $A$2:A586 &gt;= A586 - 30)))
"),"#DIV/0!")</f>
        <v>#DIV/0!</v>
      </c>
    </row>
    <row r="587" spans="1:14" x14ac:dyDescent="0.2">
      <c r="A587" s="35"/>
      <c r="B587" s="32"/>
      <c r="C587" s="32"/>
      <c r="D587" s="33"/>
      <c r="E587" s="33"/>
      <c r="F587" s="33"/>
      <c r="G587" s="19" t="e">
        <f t="shared" si="10"/>
        <v>#DIV/0!</v>
      </c>
      <c r="H587" s="20" t="str">
        <f ca="1">IFERROR(__xludf.DUMMYFUNCTION("IF(COUNTIFS($C$2:C587, C587, $A$2:A587, ""&lt;="" &amp; A587) &lt; 30, AVERAGEIF($C$2:C587, C587, $G$2:G587), AVERAGE(FILTER($G$2:G587, $C$2:C587 = C587, $A$2:A587 &gt;= A587 - 30)))
"),"#DIV/0!")</f>
        <v>#DIV/0!</v>
      </c>
      <c r="I587" s="20" t="e">
        <f t="shared" ca="1" si="11"/>
        <v>#DIV/0!</v>
      </c>
      <c r="J587" s="20" t="str">
        <f ca="1">IFERROR(__xludf.DUMMYFUNCTION("IF(OR($I587=2, $I587=3), 0, IFERROR(COUNTIFS($C$2:C587, $C587, $A$2:A588, ""&gt;""&amp;IFERROR(MAX(FILTER($A$2:A588, $C$2:C587=$C587, $I$2:I587&lt;&gt;1)), 0), $I$2:I587, 1),1))
"),"#DIV/0!")</f>
        <v>#DIV/0!</v>
      </c>
      <c r="K587" s="7" t="e">
        <f t="shared" ca="1" si="12"/>
        <v>#DIV/0!</v>
      </c>
      <c r="L587" s="20" t="e">
        <f t="shared" ca="1" si="13"/>
        <v>#DIV/0!</v>
      </c>
      <c r="M587" s="21" t="e">
        <f t="shared" ca="1" si="14"/>
        <v>#DIV/0!</v>
      </c>
      <c r="N587" s="20" t="str">
        <f ca="1">IFERROR(__xludf.DUMMYFUNCTION("IF(COUNTIFS($C$2:C587, C587, $A$2:A587, ""&lt;="" &amp; A587) &lt; 30, STDEV.P(FILTER($G$2:G587, $C$2:C587 = C587)), STDEV.P(FILTER($G$2:G587, $C$2:C587 = C587, $A$2:A587 &gt;= A587 - 30)))
"),"#DIV/0!")</f>
        <v>#DIV/0!</v>
      </c>
    </row>
    <row r="588" spans="1:14" x14ac:dyDescent="0.2">
      <c r="A588" s="35"/>
      <c r="B588" s="32"/>
      <c r="C588" s="32"/>
      <c r="D588" s="33"/>
      <c r="E588" s="33"/>
      <c r="F588" s="33"/>
      <c r="G588" s="19" t="e">
        <f t="shared" si="10"/>
        <v>#DIV/0!</v>
      </c>
      <c r="H588" s="20" t="str">
        <f ca="1">IFERROR(__xludf.DUMMYFUNCTION("IF(COUNTIFS($C$2:C588, C588, $A$2:A588, ""&lt;="" &amp; A588) &lt; 30, AVERAGEIF($C$2:C588, C588, $G$2:G588), AVERAGE(FILTER($G$2:G588, $C$2:C588 = C588, $A$2:A588 &gt;= A588 - 30)))
"),"#DIV/0!")</f>
        <v>#DIV/0!</v>
      </c>
      <c r="I588" s="20" t="e">
        <f t="shared" ca="1" si="11"/>
        <v>#DIV/0!</v>
      </c>
      <c r="J588" s="20" t="str">
        <f ca="1">IFERROR(__xludf.DUMMYFUNCTION("IF(OR($I588=2, $I588=3), 0, IFERROR(COUNTIFS($C$2:C588, $C588, $A$2:A589, ""&gt;""&amp;IFERROR(MAX(FILTER($A$2:A589, $C$2:C588=$C588, $I$2:I588&lt;&gt;1)), 0), $I$2:I588, 1),1))
"),"#DIV/0!")</f>
        <v>#DIV/0!</v>
      </c>
      <c r="K588" s="7" t="e">
        <f t="shared" ca="1" si="12"/>
        <v>#DIV/0!</v>
      </c>
      <c r="L588" s="20" t="e">
        <f t="shared" ca="1" si="13"/>
        <v>#DIV/0!</v>
      </c>
      <c r="M588" s="21" t="e">
        <f t="shared" ca="1" si="14"/>
        <v>#DIV/0!</v>
      </c>
      <c r="N588" s="20" t="str">
        <f ca="1">IFERROR(__xludf.DUMMYFUNCTION("IF(COUNTIFS($C$2:C588, C588, $A$2:A588, ""&lt;="" &amp; A588) &lt; 30, STDEV.P(FILTER($G$2:G588, $C$2:C588 = C588)), STDEV.P(FILTER($G$2:G588, $C$2:C588 = C588, $A$2:A588 &gt;= A588 - 30)))
"),"#DIV/0!")</f>
        <v>#DIV/0!</v>
      </c>
    </row>
    <row r="589" spans="1:14" x14ac:dyDescent="0.2">
      <c r="A589" s="35"/>
      <c r="B589" s="32"/>
      <c r="C589" s="32"/>
      <c r="D589" s="33"/>
      <c r="E589" s="33"/>
      <c r="F589" s="33"/>
      <c r="G589" s="19" t="e">
        <f t="shared" si="10"/>
        <v>#DIV/0!</v>
      </c>
      <c r="H589" s="20" t="str">
        <f ca="1">IFERROR(__xludf.DUMMYFUNCTION("IF(COUNTIFS($C$2:C589, C589, $A$2:A589, ""&lt;="" &amp; A589) &lt; 30, AVERAGEIF($C$2:C589, C589, $G$2:G589), AVERAGE(FILTER($G$2:G589, $C$2:C589 = C589, $A$2:A589 &gt;= A589 - 30)))
"),"#DIV/0!")</f>
        <v>#DIV/0!</v>
      </c>
      <c r="I589" s="20" t="e">
        <f t="shared" ca="1" si="11"/>
        <v>#DIV/0!</v>
      </c>
      <c r="J589" s="20" t="str">
        <f ca="1">IFERROR(__xludf.DUMMYFUNCTION("IF(OR($I589=2, $I589=3), 0, IFERROR(COUNTIFS($C$2:C589, $C589, $A$2:A590, ""&gt;""&amp;IFERROR(MAX(FILTER($A$2:A590, $C$2:C589=$C589, $I$2:I589&lt;&gt;1)), 0), $I$2:I589, 1),1))
"),"#DIV/0!")</f>
        <v>#DIV/0!</v>
      </c>
      <c r="K589" s="7" t="e">
        <f t="shared" ca="1" si="12"/>
        <v>#DIV/0!</v>
      </c>
      <c r="L589" s="20" t="e">
        <f t="shared" ca="1" si="13"/>
        <v>#DIV/0!</v>
      </c>
      <c r="M589" s="21" t="e">
        <f t="shared" ca="1" si="14"/>
        <v>#DIV/0!</v>
      </c>
      <c r="N589" s="20" t="str">
        <f ca="1">IFERROR(__xludf.DUMMYFUNCTION("IF(COUNTIFS($C$2:C589, C589, $A$2:A589, ""&lt;="" &amp; A589) &lt; 30, STDEV.P(FILTER($G$2:G589, $C$2:C589 = C589)), STDEV.P(FILTER($G$2:G589, $C$2:C589 = C589, $A$2:A589 &gt;= A589 - 30)))
"),"#DIV/0!")</f>
        <v>#DIV/0!</v>
      </c>
    </row>
    <row r="590" spans="1:14" x14ac:dyDescent="0.2">
      <c r="A590" s="35"/>
      <c r="B590" s="40"/>
      <c r="C590" s="40"/>
      <c r="D590" s="31"/>
      <c r="E590" s="31"/>
      <c r="F590" s="31"/>
      <c r="G590" s="19" t="e">
        <f t="shared" si="10"/>
        <v>#DIV/0!</v>
      </c>
      <c r="H590" s="20" t="str">
        <f ca="1">IFERROR(__xludf.DUMMYFUNCTION("IF(COUNTIFS($C$2:C590, C590, $A$2:A590, ""&lt;="" &amp; A590) &lt; 30, AVERAGEIF($C$2:C590, C590, $G$2:G590), AVERAGE(FILTER($G$2:G590, $C$2:C590 = C590, $A$2:A590 &gt;= A590 - 30)))
"),"#DIV/0!")</f>
        <v>#DIV/0!</v>
      </c>
      <c r="I590" s="20" t="e">
        <f t="shared" ca="1" si="11"/>
        <v>#DIV/0!</v>
      </c>
      <c r="J590" s="20" t="str">
        <f ca="1">IFERROR(__xludf.DUMMYFUNCTION("IF(OR($I590=2, $I590=3), 0, IFERROR(COUNTIFS($C$2:C590, $C590, $A$2:A591, ""&gt;""&amp;IFERROR(MAX(FILTER($A$2:A591, $C$2:C590=$C590, $I$2:I590&lt;&gt;1)), 0), $I$2:I590, 1),1))
"),"#DIV/0!")</f>
        <v>#DIV/0!</v>
      </c>
      <c r="K590" s="7" t="e">
        <f t="shared" ca="1" si="12"/>
        <v>#DIV/0!</v>
      </c>
      <c r="L590" s="20" t="e">
        <f t="shared" ca="1" si="13"/>
        <v>#DIV/0!</v>
      </c>
      <c r="M590" s="21" t="e">
        <f t="shared" ca="1" si="14"/>
        <v>#DIV/0!</v>
      </c>
      <c r="N590" s="20" t="str">
        <f ca="1">IFERROR(__xludf.DUMMYFUNCTION("IF(COUNTIFS($C$2:C590, C590, $A$2:A590, ""&lt;="" &amp; A590) &lt; 30, STDEV.P(FILTER($G$2:G590, $C$2:C590 = C590)), STDEV.P(FILTER($G$2:G590, $C$2:C590 = C590, $A$2:A590 &gt;= A590 - 30)))
"),"#DIV/0!")</f>
        <v>#DIV/0!</v>
      </c>
    </row>
    <row r="591" spans="1:14" x14ac:dyDescent="0.2">
      <c r="A591" s="35"/>
      <c r="B591" s="40"/>
      <c r="C591" s="40"/>
      <c r="D591" s="31"/>
      <c r="E591" s="31"/>
      <c r="F591" s="31"/>
      <c r="G591" s="19" t="e">
        <f t="shared" si="10"/>
        <v>#DIV/0!</v>
      </c>
      <c r="H591" s="20" t="str">
        <f ca="1">IFERROR(__xludf.DUMMYFUNCTION("IF(COUNTIFS($C$2:C591, C591, $A$2:A591, ""&lt;="" &amp; A591) &lt; 30, AVERAGEIF($C$2:C591, C591, $G$2:G591), AVERAGE(FILTER($G$2:G591, $C$2:C591 = C591, $A$2:A591 &gt;= A591 - 30)))
"),"#DIV/0!")</f>
        <v>#DIV/0!</v>
      </c>
      <c r="I591" s="20" t="e">
        <f t="shared" ca="1" si="11"/>
        <v>#DIV/0!</v>
      </c>
      <c r="J591" s="20" t="str">
        <f ca="1">IFERROR(__xludf.DUMMYFUNCTION("IF(OR($I591=2, $I591=3), 0, IFERROR(COUNTIFS($C$2:C591, $C591, $A$2:A592, ""&gt;""&amp;IFERROR(MAX(FILTER($A$2:A592, $C$2:C591=$C591, $I$2:I591&lt;&gt;1)), 0), $I$2:I591, 1),1))
"),"#DIV/0!")</f>
        <v>#DIV/0!</v>
      </c>
      <c r="K591" s="7" t="e">
        <f t="shared" ca="1" si="12"/>
        <v>#DIV/0!</v>
      </c>
      <c r="L591" s="20" t="e">
        <f t="shared" ca="1" si="13"/>
        <v>#DIV/0!</v>
      </c>
      <c r="M591" s="21" t="e">
        <f t="shared" ca="1" si="14"/>
        <v>#DIV/0!</v>
      </c>
      <c r="N591" s="20" t="str">
        <f ca="1">IFERROR(__xludf.DUMMYFUNCTION("IF(COUNTIFS($C$2:C591, C591, $A$2:A591, ""&lt;="" &amp; A591) &lt; 30, STDEV.P(FILTER($G$2:G591, $C$2:C591 = C591)), STDEV.P(FILTER($G$2:G591, $C$2:C591 = C591, $A$2:A591 &gt;= A591 - 30)))
"),"#DIV/0!")</f>
        <v>#DIV/0!</v>
      </c>
    </row>
    <row r="592" spans="1:14" x14ac:dyDescent="0.2">
      <c r="A592" s="35"/>
      <c r="B592" s="40"/>
      <c r="C592" s="40"/>
      <c r="D592" s="31"/>
      <c r="E592" s="31"/>
      <c r="F592" s="31"/>
      <c r="G592" s="19" t="e">
        <f t="shared" si="10"/>
        <v>#DIV/0!</v>
      </c>
      <c r="H592" s="20" t="str">
        <f ca="1">IFERROR(__xludf.DUMMYFUNCTION("IF(COUNTIFS($C$2:C592, C592, $A$2:A592, ""&lt;="" &amp; A592) &lt; 30, AVERAGEIF($C$2:C592, C592, $G$2:G592), AVERAGE(FILTER($G$2:G592, $C$2:C592 = C592, $A$2:A592 &gt;= A592 - 30)))
"),"#DIV/0!")</f>
        <v>#DIV/0!</v>
      </c>
      <c r="I592" s="20" t="e">
        <f t="shared" ca="1" si="11"/>
        <v>#DIV/0!</v>
      </c>
      <c r="J592" s="20" t="str">
        <f ca="1">IFERROR(__xludf.DUMMYFUNCTION("IF(OR($I592=2, $I592=3), 0, IFERROR(COUNTIFS($C$2:C592, $C592, $A$2:A593, ""&gt;""&amp;IFERROR(MAX(FILTER($A$2:A593, $C$2:C592=$C592, $I$2:I592&lt;&gt;1)), 0), $I$2:I592, 1),1))
"),"#DIV/0!")</f>
        <v>#DIV/0!</v>
      </c>
      <c r="K592" s="7" t="e">
        <f t="shared" ca="1" si="12"/>
        <v>#DIV/0!</v>
      </c>
      <c r="L592" s="20" t="e">
        <f t="shared" ca="1" si="13"/>
        <v>#DIV/0!</v>
      </c>
      <c r="M592" s="21" t="e">
        <f t="shared" ca="1" si="14"/>
        <v>#DIV/0!</v>
      </c>
      <c r="N592" s="20" t="str">
        <f ca="1">IFERROR(__xludf.DUMMYFUNCTION("IF(COUNTIFS($C$2:C592, C592, $A$2:A592, ""&lt;="" &amp; A592) &lt; 30, STDEV.P(FILTER($G$2:G592, $C$2:C592 = C592)), STDEV.P(FILTER($G$2:G592, $C$2:C592 = C592, $A$2:A592 &gt;= A592 - 30)))
"),"#DIV/0!")</f>
        <v>#DIV/0!</v>
      </c>
    </row>
    <row r="593" spans="1:14" x14ac:dyDescent="0.2">
      <c r="A593" s="35"/>
      <c r="B593" s="40"/>
      <c r="C593" s="40"/>
      <c r="D593" s="31"/>
      <c r="E593" s="31"/>
      <c r="F593" s="31"/>
      <c r="G593" s="19" t="e">
        <f t="shared" si="10"/>
        <v>#DIV/0!</v>
      </c>
      <c r="H593" s="20" t="str">
        <f ca="1">IFERROR(__xludf.DUMMYFUNCTION("IF(COUNTIFS($C$2:C593, C593, $A$2:A593, ""&lt;="" &amp; A593) &lt; 30, AVERAGEIF($C$2:C593, C593, $G$2:G593), AVERAGE(FILTER($G$2:G593, $C$2:C593 = C593, $A$2:A593 &gt;= A593 - 30)))
"),"#DIV/0!")</f>
        <v>#DIV/0!</v>
      </c>
      <c r="I593" s="20" t="e">
        <f t="shared" ca="1" si="11"/>
        <v>#DIV/0!</v>
      </c>
      <c r="J593" s="20" t="str">
        <f ca="1">IFERROR(__xludf.DUMMYFUNCTION("IF(OR($I593=2, $I593=3), 0, IFERROR(COUNTIFS($C$2:C593, $C593, $A$2:A594, ""&gt;""&amp;IFERROR(MAX(FILTER($A$2:A594, $C$2:C593=$C593, $I$2:I593&lt;&gt;1)), 0), $I$2:I593, 1),1))
"),"#DIV/0!")</f>
        <v>#DIV/0!</v>
      </c>
      <c r="K593" s="7" t="e">
        <f t="shared" ca="1" si="12"/>
        <v>#DIV/0!</v>
      </c>
      <c r="L593" s="20" t="e">
        <f t="shared" ca="1" si="13"/>
        <v>#DIV/0!</v>
      </c>
      <c r="M593" s="21" t="e">
        <f t="shared" ca="1" si="14"/>
        <v>#DIV/0!</v>
      </c>
      <c r="N593" s="20" t="str">
        <f ca="1">IFERROR(__xludf.DUMMYFUNCTION("IF(COUNTIFS($C$2:C593, C593, $A$2:A593, ""&lt;="" &amp; A593) &lt; 30, STDEV.P(FILTER($G$2:G593, $C$2:C593 = C593)), STDEV.P(FILTER($G$2:G593, $C$2:C593 = C593, $A$2:A593 &gt;= A593 - 30)))
"),"#DIV/0!")</f>
        <v>#DIV/0!</v>
      </c>
    </row>
    <row r="594" spans="1:14" x14ac:dyDescent="0.2">
      <c r="A594" s="35"/>
      <c r="B594" s="40"/>
      <c r="C594" s="40"/>
      <c r="D594" s="31"/>
      <c r="E594" s="31"/>
      <c r="F594" s="31"/>
      <c r="G594" s="19" t="e">
        <f t="shared" si="10"/>
        <v>#DIV/0!</v>
      </c>
      <c r="H594" s="20" t="str">
        <f ca="1">IFERROR(__xludf.DUMMYFUNCTION("IF(COUNTIFS($C$2:C594, C594, $A$2:A594, ""&lt;="" &amp; A594) &lt; 30, AVERAGEIF($C$2:C594, C594, $G$2:G594), AVERAGE(FILTER($G$2:G594, $C$2:C594 = C594, $A$2:A594 &gt;= A594 - 30)))
"),"#DIV/0!")</f>
        <v>#DIV/0!</v>
      </c>
      <c r="I594" s="20" t="e">
        <f t="shared" ca="1" si="11"/>
        <v>#DIV/0!</v>
      </c>
      <c r="J594" s="20" t="str">
        <f ca="1">IFERROR(__xludf.DUMMYFUNCTION("IF(OR($I594=2, $I594=3), 0, IFERROR(COUNTIFS($C$2:C594, $C594, $A$2:A595, ""&gt;""&amp;IFERROR(MAX(FILTER($A$2:A595, $C$2:C594=$C594, $I$2:I594&lt;&gt;1)), 0), $I$2:I594, 1),1))
"),"#DIV/0!")</f>
        <v>#DIV/0!</v>
      </c>
      <c r="K594" s="7" t="e">
        <f t="shared" ca="1" si="12"/>
        <v>#DIV/0!</v>
      </c>
      <c r="L594" s="20" t="e">
        <f t="shared" ca="1" si="13"/>
        <v>#DIV/0!</v>
      </c>
      <c r="M594" s="21" t="e">
        <f t="shared" ca="1" si="14"/>
        <v>#DIV/0!</v>
      </c>
      <c r="N594" s="20" t="str">
        <f ca="1">IFERROR(__xludf.DUMMYFUNCTION("IF(COUNTIFS($C$2:C594, C594, $A$2:A594, ""&lt;="" &amp; A594) &lt; 30, STDEV.P(FILTER($G$2:G594, $C$2:C594 = C594)), STDEV.P(FILTER($G$2:G594, $C$2:C594 = C594, $A$2:A594 &gt;= A594 - 30)))
"),"#DIV/0!")</f>
        <v>#DIV/0!</v>
      </c>
    </row>
    <row r="595" spans="1:14" x14ac:dyDescent="0.2">
      <c r="A595" s="35"/>
      <c r="B595" s="40"/>
      <c r="C595" s="40"/>
      <c r="D595" s="31"/>
      <c r="E595" s="31"/>
      <c r="F595" s="31"/>
      <c r="G595" s="19" t="e">
        <f t="shared" si="10"/>
        <v>#DIV/0!</v>
      </c>
      <c r="H595" s="20" t="str">
        <f ca="1">IFERROR(__xludf.DUMMYFUNCTION("IF(COUNTIFS($C$2:C595, C595, $A$2:A595, ""&lt;="" &amp; A595) &lt; 30, AVERAGEIF($C$2:C595, C595, $G$2:G595), AVERAGE(FILTER($G$2:G595, $C$2:C595 = C595, $A$2:A595 &gt;= A595 - 30)))
"),"#DIV/0!")</f>
        <v>#DIV/0!</v>
      </c>
      <c r="I595" s="20" t="e">
        <f t="shared" ca="1" si="11"/>
        <v>#DIV/0!</v>
      </c>
      <c r="J595" s="20" t="str">
        <f ca="1">IFERROR(__xludf.DUMMYFUNCTION("IF(OR($I595=2, $I595=3), 0, IFERROR(COUNTIFS($C$2:C595, $C595, $A$2:A596, ""&gt;""&amp;IFERROR(MAX(FILTER($A$2:A596, $C$2:C595=$C595, $I$2:I595&lt;&gt;1)), 0), $I$2:I595, 1),1))
"),"#DIV/0!")</f>
        <v>#DIV/0!</v>
      </c>
      <c r="K595" s="7" t="e">
        <f t="shared" ca="1" si="12"/>
        <v>#DIV/0!</v>
      </c>
      <c r="L595" s="20" t="e">
        <f t="shared" ca="1" si="13"/>
        <v>#DIV/0!</v>
      </c>
      <c r="M595" s="21" t="e">
        <f t="shared" ca="1" si="14"/>
        <v>#DIV/0!</v>
      </c>
      <c r="N595" s="20" t="str">
        <f ca="1">IFERROR(__xludf.DUMMYFUNCTION("IF(COUNTIFS($C$2:C595, C595, $A$2:A595, ""&lt;="" &amp; A595) &lt; 30, STDEV.P(FILTER($G$2:G595, $C$2:C595 = C595)), STDEV.P(FILTER($G$2:G595, $C$2:C595 = C595, $A$2:A595 &gt;= A595 - 30)))
"),"#DIV/0!")</f>
        <v>#DIV/0!</v>
      </c>
    </row>
    <row r="596" spans="1:14" x14ac:dyDescent="0.2">
      <c r="A596" s="35"/>
      <c r="B596" s="40"/>
      <c r="C596" s="40"/>
      <c r="D596" s="31"/>
      <c r="E596" s="31"/>
      <c r="F596" s="31"/>
      <c r="G596" s="19" t="e">
        <f t="shared" si="10"/>
        <v>#DIV/0!</v>
      </c>
      <c r="H596" s="20" t="str">
        <f ca="1">IFERROR(__xludf.DUMMYFUNCTION("IF(COUNTIFS($C$2:C596, C596, $A$2:A596, ""&lt;="" &amp; A596) &lt; 30, AVERAGEIF($C$2:C596, C596, $G$2:G596), AVERAGE(FILTER($G$2:G596, $C$2:C596 = C596, $A$2:A596 &gt;= A596 - 30)))
"),"#DIV/0!")</f>
        <v>#DIV/0!</v>
      </c>
      <c r="I596" s="20" t="e">
        <f t="shared" ca="1" si="11"/>
        <v>#DIV/0!</v>
      </c>
      <c r="J596" s="20" t="str">
        <f ca="1">IFERROR(__xludf.DUMMYFUNCTION("IF(OR($I596=2, $I596=3), 0, IFERROR(COUNTIFS($C$2:C596, $C596, $A$2:A597, ""&gt;""&amp;IFERROR(MAX(FILTER($A$2:A597, $C$2:C596=$C596, $I$2:I596&lt;&gt;1)), 0), $I$2:I596, 1),1))
"),"#DIV/0!")</f>
        <v>#DIV/0!</v>
      </c>
      <c r="K596" s="7" t="e">
        <f t="shared" ca="1" si="12"/>
        <v>#DIV/0!</v>
      </c>
      <c r="L596" s="20" t="e">
        <f t="shared" ca="1" si="13"/>
        <v>#DIV/0!</v>
      </c>
      <c r="M596" s="21" t="e">
        <f t="shared" ca="1" si="14"/>
        <v>#DIV/0!</v>
      </c>
      <c r="N596" s="20" t="str">
        <f ca="1">IFERROR(__xludf.DUMMYFUNCTION("IF(COUNTIFS($C$2:C596, C596, $A$2:A596, ""&lt;="" &amp; A596) &lt; 30, STDEV.P(FILTER($G$2:G596, $C$2:C596 = C596)), STDEV.P(FILTER($G$2:G596, $C$2:C596 = C596, $A$2:A596 &gt;= A596 - 30)))
"),"#DIV/0!")</f>
        <v>#DIV/0!</v>
      </c>
    </row>
    <row r="597" spans="1:14" x14ac:dyDescent="0.2">
      <c r="A597" s="35"/>
      <c r="B597" s="40"/>
      <c r="C597" s="40"/>
      <c r="D597" s="31"/>
      <c r="E597" s="31"/>
      <c r="F597" s="31"/>
      <c r="G597" s="19" t="e">
        <f t="shared" si="10"/>
        <v>#DIV/0!</v>
      </c>
      <c r="H597" s="20" t="str">
        <f ca="1">IFERROR(__xludf.DUMMYFUNCTION("IF(COUNTIFS($C$2:C597, C597, $A$2:A597, ""&lt;="" &amp; A597) &lt; 30, AVERAGEIF($C$2:C597, C597, $G$2:G597), AVERAGE(FILTER($G$2:G597, $C$2:C597 = C597, $A$2:A597 &gt;= A597 - 30)))
"),"#DIV/0!")</f>
        <v>#DIV/0!</v>
      </c>
      <c r="I597" s="20" t="e">
        <f t="shared" ca="1" si="11"/>
        <v>#DIV/0!</v>
      </c>
      <c r="J597" s="20" t="str">
        <f ca="1">IFERROR(__xludf.DUMMYFUNCTION("IF(OR($I597=2, $I597=3), 0, IFERROR(COUNTIFS($C$2:C597, $C597, $A$2:A598, ""&gt;""&amp;IFERROR(MAX(FILTER($A$2:A598, $C$2:C597=$C597, $I$2:I597&lt;&gt;1)), 0), $I$2:I597, 1),1))
"),"#DIV/0!")</f>
        <v>#DIV/0!</v>
      </c>
      <c r="K597" s="7" t="e">
        <f t="shared" ca="1" si="12"/>
        <v>#DIV/0!</v>
      </c>
      <c r="L597" s="20" t="e">
        <f t="shared" ca="1" si="13"/>
        <v>#DIV/0!</v>
      </c>
      <c r="M597" s="21" t="e">
        <f t="shared" ca="1" si="14"/>
        <v>#DIV/0!</v>
      </c>
      <c r="N597" s="20" t="str">
        <f ca="1">IFERROR(__xludf.DUMMYFUNCTION("IF(COUNTIFS($C$2:C597, C597, $A$2:A597, ""&lt;="" &amp; A597) &lt; 30, STDEV.P(FILTER($G$2:G597, $C$2:C597 = C597)), STDEV.P(FILTER($G$2:G597, $C$2:C597 = C597, $A$2:A597 &gt;= A597 - 30)))
"),"#DIV/0!")</f>
        <v>#DIV/0!</v>
      </c>
    </row>
    <row r="598" spans="1:14" x14ac:dyDescent="0.2">
      <c r="A598" s="35"/>
      <c r="B598" s="40"/>
      <c r="C598" s="40"/>
      <c r="D598" s="31"/>
      <c r="E598" s="31"/>
      <c r="F598" s="31"/>
      <c r="G598" s="19" t="e">
        <f t="shared" si="10"/>
        <v>#DIV/0!</v>
      </c>
      <c r="H598" s="20" t="str">
        <f ca="1">IFERROR(__xludf.DUMMYFUNCTION("IF(COUNTIFS($C$2:C598, C598, $A$2:A598, ""&lt;="" &amp; A598) &lt; 30, AVERAGEIF($C$2:C598, C598, $G$2:G598), AVERAGE(FILTER($G$2:G598, $C$2:C598 = C598, $A$2:A598 &gt;= A598 - 30)))
"),"#DIV/0!")</f>
        <v>#DIV/0!</v>
      </c>
      <c r="I598" s="20" t="e">
        <f t="shared" ca="1" si="11"/>
        <v>#DIV/0!</v>
      </c>
      <c r="J598" s="20" t="str">
        <f ca="1">IFERROR(__xludf.DUMMYFUNCTION("IF(OR($I598=2, $I598=3), 0, IFERROR(COUNTIFS($C$2:C598, $C598, $A$2:A599, ""&gt;""&amp;IFERROR(MAX(FILTER($A$2:A599, $C$2:C598=$C598, $I$2:I598&lt;&gt;1)), 0), $I$2:I598, 1),1))
"),"#DIV/0!")</f>
        <v>#DIV/0!</v>
      </c>
      <c r="K598" s="7" t="e">
        <f t="shared" ca="1" si="12"/>
        <v>#DIV/0!</v>
      </c>
      <c r="L598" s="20" t="e">
        <f t="shared" ca="1" si="13"/>
        <v>#DIV/0!</v>
      </c>
      <c r="M598" s="21" t="e">
        <f t="shared" ca="1" si="14"/>
        <v>#DIV/0!</v>
      </c>
      <c r="N598" s="20" t="str">
        <f ca="1">IFERROR(__xludf.DUMMYFUNCTION("IF(COUNTIFS($C$2:C598, C598, $A$2:A598, ""&lt;="" &amp; A598) &lt; 30, STDEV.P(FILTER($G$2:G598, $C$2:C598 = C598)), STDEV.P(FILTER($G$2:G598, $C$2:C598 = C598, $A$2:A598 &gt;= A598 - 30)))
"),"#DIV/0!")</f>
        <v>#DIV/0!</v>
      </c>
    </row>
    <row r="599" spans="1:14" x14ac:dyDescent="0.2">
      <c r="A599" s="35"/>
      <c r="B599" s="32"/>
      <c r="C599" s="32"/>
      <c r="D599" s="33"/>
      <c r="E599" s="33"/>
      <c r="F599" s="33"/>
      <c r="G599" s="19" t="e">
        <f t="shared" si="10"/>
        <v>#DIV/0!</v>
      </c>
      <c r="H599" s="20" t="str">
        <f ca="1">IFERROR(__xludf.DUMMYFUNCTION("IF(COUNTIFS($C$2:C599, C599, $A$2:A599, ""&lt;="" &amp; A599) &lt; 30, AVERAGEIF($C$2:C599, C599, $G$2:G599), AVERAGE(FILTER($G$2:G599, $C$2:C599 = C599, $A$2:A599 &gt;= A599 - 30)))
"),"#DIV/0!")</f>
        <v>#DIV/0!</v>
      </c>
      <c r="I599" s="20" t="e">
        <f t="shared" ca="1" si="11"/>
        <v>#DIV/0!</v>
      </c>
      <c r="J599" s="20" t="str">
        <f ca="1">IFERROR(__xludf.DUMMYFUNCTION("IF(OR($I599=2, $I599=3), 0, IFERROR(COUNTIFS($C$2:C599, $C599, $A$2:A600, ""&gt;""&amp;IFERROR(MAX(FILTER($A$2:A600, $C$2:C599=$C599, $I$2:I599&lt;&gt;1)), 0), $I$2:I599, 1),1))
"),"#DIV/0!")</f>
        <v>#DIV/0!</v>
      </c>
      <c r="K599" s="7" t="e">
        <f t="shared" ca="1" si="12"/>
        <v>#DIV/0!</v>
      </c>
      <c r="L599" s="20" t="e">
        <f t="shared" ca="1" si="13"/>
        <v>#DIV/0!</v>
      </c>
      <c r="M599" s="21" t="e">
        <f t="shared" ca="1" si="14"/>
        <v>#DIV/0!</v>
      </c>
      <c r="N599" s="20" t="str">
        <f ca="1">IFERROR(__xludf.DUMMYFUNCTION("IF(COUNTIFS($C$2:C599, C599, $A$2:A599, ""&lt;="" &amp; A599) &lt; 30, STDEV.P(FILTER($G$2:G599, $C$2:C599 = C599)), STDEV.P(FILTER($G$2:G599, $C$2:C599 = C599, $A$2:A599 &gt;= A599 - 30)))
"),"#DIV/0!")</f>
        <v>#DIV/0!</v>
      </c>
    </row>
    <row r="600" spans="1:14" x14ac:dyDescent="0.2">
      <c r="A600" s="35"/>
      <c r="B600" s="32"/>
      <c r="C600" s="32"/>
      <c r="D600" s="33"/>
      <c r="E600" s="33"/>
      <c r="F600" s="33"/>
      <c r="G600" s="19" t="e">
        <f t="shared" si="10"/>
        <v>#DIV/0!</v>
      </c>
      <c r="H600" s="20" t="str">
        <f ca="1">IFERROR(__xludf.DUMMYFUNCTION("IF(COUNTIFS($C$2:C600, C600, $A$2:A600, ""&lt;="" &amp; A600) &lt; 30, AVERAGEIF($C$2:C600, C600, $G$2:G600), AVERAGE(FILTER($G$2:G600, $C$2:C600 = C600, $A$2:A600 &gt;= A600 - 30)))
"),"#DIV/0!")</f>
        <v>#DIV/0!</v>
      </c>
      <c r="I600" s="20" t="e">
        <f t="shared" ca="1" si="11"/>
        <v>#DIV/0!</v>
      </c>
      <c r="J600" s="20" t="str">
        <f ca="1">IFERROR(__xludf.DUMMYFUNCTION("IF(OR($I600=2, $I600=3), 0, IFERROR(COUNTIFS($C$2:C600, $C600, $A$2:A601, ""&gt;""&amp;IFERROR(MAX(FILTER($A$2:A601, $C$2:C600=$C600, $I$2:I600&lt;&gt;1)), 0), $I$2:I600, 1),1))
"),"#DIV/0!")</f>
        <v>#DIV/0!</v>
      </c>
      <c r="K600" s="7" t="e">
        <f t="shared" ca="1" si="12"/>
        <v>#DIV/0!</v>
      </c>
      <c r="L600" s="20" t="e">
        <f t="shared" ca="1" si="13"/>
        <v>#DIV/0!</v>
      </c>
      <c r="M600" s="21" t="e">
        <f t="shared" ca="1" si="14"/>
        <v>#DIV/0!</v>
      </c>
      <c r="N600" s="20" t="str">
        <f ca="1">IFERROR(__xludf.DUMMYFUNCTION("IF(COUNTIFS($C$2:C600, C600, $A$2:A600, ""&lt;="" &amp; A600) &lt; 30, STDEV.P(FILTER($G$2:G600, $C$2:C600 = C600)), STDEV.P(FILTER($G$2:G600, $C$2:C600 = C600, $A$2:A600 &gt;= A600 - 30)))
"),"#DIV/0!")</f>
        <v>#DIV/0!</v>
      </c>
    </row>
    <row r="601" spans="1:14" x14ac:dyDescent="0.2">
      <c r="A601" s="35"/>
      <c r="B601" s="32"/>
      <c r="C601" s="32"/>
      <c r="D601" s="33"/>
      <c r="E601" s="33"/>
      <c r="F601" s="33"/>
      <c r="G601" s="19" t="e">
        <f t="shared" si="10"/>
        <v>#DIV/0!</v>
      </c>
      <c r="H601" s="20" t="str">
        <f ca="1">IFERROR(__xludf.DUMMYFUNCTION("IF(COUNTIFS($C$2:C601, C601, $A$2:A601, ""&lt;="" &amp; A601) &lt; 30, AVERAGEIF($C$2:C601, C601, $G$2:G601), AVERAGE(FILTER($G$2:G601, $C$2:C601 = C601, $A$2:A601 &gt;= A601 - 30)))
"),"#DIV/0!")</f>
        <v>#DIV/0!</v>
      </c>
      <c r="I601" s="20" t="e">
        <f t="shared" ca="1" si="11"/>
        <v>#DIV/0!</v>
      </c>
      <c r="J601" s="20" t="str">
        <f ca="1">IFERROR(__xludf.DUMMYFUNCTION("IF(OR($I601=2, $I601=3), 0, IFERROR(COUNTIFS($C$2:C601, $C601, $A$2:A602, ""&gt;""&amp;IFERROR(MAX(FILTER($A$2:A602, $C$2:C601=$C601, $I$2:I601&lt;&gt;1)), 0), $I$2:I601, 1),1))
"),"#DIV/0!")</f>
        <v>#DIV/0!</v>
      </c>
      <c r="K601" s="7" t="e">
        <f t="shared" ca="1" si="12"/>
        <v>#DIV/0!</v>
      </c>
      <c r="L601" s="20" t="e">
        <f t="shared" ca="1" si="13"/>
        <v>#DIV/0!</v>
      </c>
      <c r="M601" s="21" t="e">
        <f t="shared" ca="1" si="14"/>
        <v>#DIV/0!</v>
      </c>
      <c r="N601" s="20" t="str">
        <f ca="1">IFERROR(__xludf.DUMMYFUNCTION("IF(COUNTIFS($C$2:C601, C601, $A$2:A601, ""&lt;="" &amp; A601) &lt; 30, STDEV.P(FILTER($G$2:G601, $C$2:C601 = C601)), STDEV.P(FILTER($G$2:G601, $C$2:C601 = C601, $A$2:A601 &gt;= A601 - 30)))
"),"#DIV/0!")</f>
        <v>#DIV/0!</v>
      </c>
    </row>
    <row r="602" spans="1:14" x14ac:dyDescent="0.2">
      <c r="A602" s="35"/>
      <c r="B602" s="32"/>
      <c r="C602" s="32"/>
      <c r="D602" s="33"/>
      <c r="E602" s="33"/>
      <c r="F602" s="33"/>
      <c r="G602" s="19" t="e">
        <f t="shared" si="10"/>
        <v>#DIV/0!</v>
      </c>
      <c r="H602" s="20" t="str">
        <f ca="1">IFERROR(__xludf.DUMMYFUNCTION("IF(COUNTIFS($C$2:C602, C602, $A$2:A602, ""&lt;="" &amp; A602) &lt; 30, AVERAGEIF($C$2:C602, C602, $G$2:G602), AVERAGE(FILTER($G$2:G602, $C$2:C602 = C602, $A$2:A602 &gt;= A602 - 30)))
"),"#DIV/0!")</f>
        <v>#DIV/0!</v>
      </c>
      <c r="I602" s="20" t="e">
        <f t="shared" ca="1" si="11"/>
        <v>#DIV/0!</v>
      </c>
      <c r="J602" s="20" t="str">
        <f ca="1">IFERROR(__xludf.DUMMYFUNCTION("IF(OR($I602=2, $I602=3), 0, IFERROR(COUNTIFS($C$2:C602, $C602, $A$2:A603, ""&gt;""&amp;IFERROR(MAX(FILTER($A$2:A603, $C$2:C602=$C602, $I$2:I602&lt;&gt;1)), 0), $I$2:I602, 1),1))
"),"#DIV/0!")</f>
        <v>#DIV/0!</v>
      </c>
      <c r="K602" s="7" t="e">
        <f t="shared" ca="1" si="12"/>
        <v>#DIV/0!</v>
      </c>
      <c r="L602" s="20" t="e">
        <f t="shared" ca="1" si="13"/>
        <v>#DIV/0!</v>
      </c>
      <c r="M602" s="21" t="e">
        <f t="shared" ca="1" si="14"/>
        <v>#DIV/0!</v>
      </c>
      <c r="N602" s="20" t="str">
        <f ca="1">IFERROR(__xludf.DUMMYFUNCTION("IF(COUNTIFS($C$2:C602, C602, $A$2:A602, ""&lt;="" &amp; A602) &lt; 30, STDEV.P(FILTER($G$2:G602, $C$2:C602 = C602)), STDEV.P(FILTER($G$2:G602, $C$2:C602 = C602, $A$2:A602 &gt;= A602 - 30)))
"),"#DIV/0!")</f>
        <v>#DIV/0!</v>
      </c>
    </row>
    <row r="603" spans="1:14" x14ac:dyDescent="0.2">
      <c r="A603" s="35"/>
      <c r="B603" s="32"/>
      <c r="C603" s="32"/>
      <c r="D603" s="33"/>
      <c r="E603" s="33"/>
      <c r="F603" s="33"/>
      <c r="G603" s="19" t="e">
        <f t="shared" si="10"/>
        <v>#DIV/0!</v>
      </c>
      <c r="H603" s="20" t="str">
        <f ca="1">IFERROR(__xludf.DUMMYFUNCTION("IF(COUNTIFS($C$2:C603, C603, $A$2:A603, ""&lt;="" &amp; A603) &lt; 30, AVERAGEIF($C$2:C603, C603, $G$2:G603), AVERAGE(FILTER($G$2:G603, $C$2:C603 = C603, $A$2:A603 &gt;= A603 - 30)))
"),"#DIV/0!")</f>
        <v>#DIV/0!</v>
      </c>
      <c r="I603" s="20" t="e">
        <f t="shared" ca="1" si="11"/>
        <v>#DIV/0!</v>
      </c>
      <c r="J603" s="20" t="str">
        <f ca="1">IFERROR(__xludf.DUMMYFUNCTION("IF(OR($I603=2, $I603=3), 0, IFERROR(COUNTIFS($C$2:C603, $C603, $A$2:A604, ""&gt;""&amp;IFERROR(MAX(FILTER($A$2:A604, $C$2:C603=$C603, $I$2:I603&lt;&gt;1)), 0), $I$2:I603, 1),1))
"),"#DIV/0!")</f>
        <v>#DIV/0!</v>
      </c>
      <c r="K603" s="7" t="e">
        <f t="shared" ca="1" si="12"/>
        <v>#DIV/0!</v>
      </c>
      <c r="L603" s="20" t="e">
        <f t="shared" ca="1" si="13"/>
        <v>#DIV/0!</v>
      </c>
      <c r="M603" s="21" t="e">
        <f t="shared" ca="1" si="14"/>
        <v>#DIV/0!</v>
      </c>
      <c r="N603" s="20" t="str">
        <f ca="1">IFERROR(__xludf.DUMMYFUNCTION("IF(COUNTIFS($C$2:C603, C603, $A$2:A603, ""&lt;="" &amp; A603) &lt; 30, STDEV.P(FILTER($G$2:G603, $C$2:C603 = C603)), STDEV.P(FILTER($G$2:G603, $C$2:C603 = C603, $A$2:A603 &gt;= A603 - 30)))
"),"#DIV/0!")</f>
        <v>#DIV/0!</v>
      </c>
    </row>
    <row r="604" spans="1:14" x14ac:dyDescent="0.2">
      <c r="A604" s="35"/>
      <c r="B604" s="32"/>
      <c r="C604" s="32"/>
      <c r="D604" s="33"/>
      <c r="E604" s="33"/>
      <c r="F604" s="33"/>
      <c r="G604" s="19" t="e">
        <f t="shared" si="10"/>
        <v>#DIV/0!</v>
      </c>
      <c r="H604" s="20" t="str">
        <f ca="1">IFERROR(__xludf.DUMMYFUNCTION("IF(COUNTIFS($C$2:C604, C604, $A$2:A604, ""&lt;="" &amp; A604) &lt; 30, AVERAGEIF($C$2:C604, C604, $G$2:G604), AVERAGE(FILTER($G$2:G604, $C$2:C604 = C604, $A$2:A604 &gt;= A604 - 30)))
"),"#DIV/0!")</f>
        <v>#DIV/0!</v>
      </c>
      <c r="I604" s="20" t="e">
        <f t="shared" ca="1" si="11"/>
        <v>#DIV/0!</v>
      </c>
      <c r="J604" s="20" t="str">
        <f ca="1">IFERROR(__xludf.DUMMYFUNCTION("IF(OR($I604=2, $I604=3), 0, IFERROR(COUNTIFS($C$2:C604, $C604, $A$2:A605, ""&gt;""&amp;IFERROR(MAX(FILTER($A$2:A605, $C$2:C604=$C604, $I$2:I604&lt;&gt;1)), 0), $I$2:I604, 1),1))
"),"#DIV/0!")</f>
        <v>#DIV/0!</v>
      </c>
      <c r="K604" s="7" t="e">
        <f t="shared" ca="1" si="12"/>
        <v>#DIV/0!</v>
      </c>
      <c r="L604" s="20" t="e">
        <f t="shared" ca="1" si="13"/>
        <v>#DIV/0!</v>
      </c>
      <c r="M604" s="21" t="e">
        <f t="shared" ca="1" si="14"/>
        <v>#DIV/0!</v>
      </c>
      <c r="N604" s="20" t="str">
        <f ca="1">IFERROR(__xludf.DUMMYFUNCTION("IF(COUNTIFS($C$2:C604, C604, $A$2:A604, ""&lt;="" &amp; A604) &lt; 30, STDEV.P(FILTER($G$2:G604, $C$2:C604 = C604)), STDEV.P(FILTER($G$2:G604, $C$2:C604 = C604, $A$2:A604 &gt;= A604 - 30)))
"),"#DIV/0!")</f>
        <v>#DIV/0!</v>
      </c>
    </row>
    <row r="605" spans="1:14" x14ac:dyDescent="0.2">
      <c r="A605" s="35"/>
      <c r="B605" s="32"/>
      <c r="C605" s="32"/>
      <c r="D605" s="33"/>
      <c r="E605" s="33"/>
      <c r="F605" s="33"/>
      <c r="G605" s="19" t="e">
        <f t="shared" si="10"/>
        <v>#DIV/0!</v>
      </c>
      <c r="H605" s="20" t="str">
        <f ca="1">IFERROR(__xludf.DUMMYFUNCTION("IF(COUNTIFS($C$2:C605, C605, $A$2:A605, ""&lt;="" &amp; A605) &lt; 30, AVERAGEIF($C$2:C605, C605, $G$2:G605), AVERAGE(FILTER($G$2:G605, $C$2:C605 = C605, $A$2:A605 &gt;= A605 - 30)))
"),"#DIV/0!")</f>
        <v>#DIV/0!</v>
      </c>
      <c r="I605" s="20" t="e">
        <f t="shared" ca="1" si="11"/>
        <v>#DIV/0!</v>
      </c>
      <c r="J605" s="20" t="str">
        <f ca="1">IFERROR(__xludf.DUMMYFUNCTION("IF(OR($I605=2, $I605=3), 0, IFERROR(COUNTIFS($C$2:C605, $C605, $A$2:A606, ""&gt;""&amp;IFERROR(MAX(FILTER($A$2:A606, $C$2:C605=$C605, $I$2:I605&lt;&gt;1)), 0), $I$2:I605, 1),1))
"),"#DIV/0!")</f>
        <v>#DIV/0!</v>
      </c>
      <c r="K605" s="7" t="e">
        <f t="shared" ca="1" si="12"/>
        <v>#DIV/0!</v>
      </c>
      <c r="L605" s="20" t="e">
        <f t="shared" ca="1" si="13"/>
        <v>#DIV/0!</v>
      </c>
      <c r="M605" s="21" t="e">
        <f t="shared" ca="1" si="14"/>
        <v>#DIV/0!</v>
      </c>
      <c r="N605" s="20" t="str">
        <f ca="1">IFERROR(__xludf.DUMMYFUNCTION("IF(COUNTIFS($C$2:C605, C605, $A$2:A605, ""&lt;="" &amp; A605) &lt; 30, STDEV.P(FILTER($G$2:G605, $C$2:C605 = C605)), STDEV.P(FILTER($G$2:G605, $C$2:C605 = C605, $A$2:A605 &gt;= A605 - 30)))
"),"#DIV/0!")</f>
        <v>#DIV/0!</v>
      </c>
    </row>
    <row r="606" spans="1:14" x14ac:dyDescent="0.2">
      <c r="A606" s="35"/>
      <c r="B606" s="32"/>
      <c r="C606" s="32"/>
      <c r="D606" s="33"/>
      <c r="E606" s="33"/>
      <c r="F606" s="33"/>
      <c r="G606" s="19" t="e">
        <f t="shared" si="10"/>
        <v>#DIV/0!</v>
      </c>
      <c r="H606" s="20" t="str">
        <f ca="1">IFERROR(__xludf.DUMMYFUNCTION("IF(COUNTIFS($C$2:C606, C606, $A$2:A606, ""&lt;="" &amp; A606) &lt; 30, AVERAGEIF($C$2:C606, C606, $G$2:G606), AVERAGE(FILTER($G$2:G606, $C$2:C606 = C606, $A$2:A606 &gt;= A606 - 30)))
"),"#DIV/0!")</f>
        <v>#DIV/0!</v>
      </c>
      <c r="I606" s="20" t="e">
        <f t="shared" ca="1" si="11"/>
        <v>#DIV/0!</v>
      </c>
      <c r="J606" s="20" t="str">
        <f ca="1">IFERROR(__xludf.DUMMYFUNCTION("IF(OR($I606=2, $I606=3), 0, IFERROR(COUNTIFS($C$2:C606, $C606, $A$2:A607, ""&gt;""&amp;IFERROR(MAX(FILTER($A$2:A607, $C$2:C606=$C606, $I$2:I606&lt;&gt;1)), 0), $I$2:I606, 1),1))
"),"#DIV/0!")</f>
        <v>#DIV/0!</v>
      </c>
      <c r="K606" s="7" t="e">
        <f t="shared" ca="1" si="12"/>
        <v>#DIV/0!</v>
      </c>
      <c r="L606" s="20" t="e">
        <f t="shared" ca="1" si="13"/>
        <v>#DIV/0!</v>
      </c>
      <c r="M606" s="21" t="e">
        <f t="shared" ca="1" si="14"/>
        <v>#DIV/0!</v>
      </c>
      <c r="N606" s="20" t="str">
        <f ca="1">IFERROR(__xludf.DUMMYFUNCTION("IF(COUNTIFS($C$2:C606, C606, $A$2:A606, ""&lt;="" &amp; A606) &lt; 30, STDEV.P(FILTER($G$2:G606, $C$2:C606 = C606)), STDEV.P(FILTER($G$2:G606, $C$2:C606 = C606, $A$2:A606 &gt;= A606 - 30)))
"),"#DIV/0!")</f>
        <v>#DIV/0!</v>
      </c>
    </row>
    <row r="607" spans="1:14" x14ac:dyDescent="0.2">
      <c r="A607" s="35"/>
      <c r="B607" s="32"/>
      <c r="C607" s="32"/>
      <c r="D607" s="33"/>
      <c r="E607" s="33"/>
      <c r="F607" s="33"/>
      <c r="G607" s="19" t="e">
        <f t="shared" si="10"/>
        <v>#DIV/0!</v>
      </c>
      <c r="H607" s="20" t="str">
        <f ca="1">IFERROR(__xludf.DUMMYFUNCTION("IF(COUNTIFS($C$2:C607, C607, $A$2:A607, ""&lt;="" &amp; A607) &lt; 30, AVERAGEIF($C$2:C607, C607, $G$2:G607), AVERAGE(FILTER($G$2:G607, $C$2:C607 = C607, $A$2:A607 &gt;= A607 - 30)))
"),"#DIV/0!")</f>
        <v>#DIV/0!</v>
      </c>
      <c r="I607" s="20" t="e">
        <f t="shared" ca="1" si="11"/>
        <v>#DIV/0!</v>
      </c>
      <c r="J607" s="20" t="str">
        <f ca="1">IFERROR(__xludf.DUMMYFUNCTION("IF(OR($I607=2, $I607=3), 0, IFERROR(COUNTIFS($C$2:C607, $C607, $A$2:A608, ""&gt;""&amp;IFERROR(MAX(FILTER($A$2:A608, $C$2:C607=$C607, $I$2:I607&lt;&gt;1)), 0), $I$2:I607, 1),1))
"),"#DIV/0!")</f>
        <v>#DIV/0!</v>
      </c>
      <c r="K607" s="7" t="e">
        <f t="shared" ca="1" si="12"/>
        <v>#DIV/0!</v>
      </c>
      <c r="L607" s="20" t="e">
        <f t="shared" ca="1" si="13"/>
        <v>#DIV/0!</v>
      </c>
      <c r="M607" s="21" t="e">
        <f t="shared" ca="1" si="14"/>
        <v>#DIV/0!</v>
      </c>
      <c r="N607" s="20" t="str">
        <f ca="1">IFERROR(__xludf.DUMMYFUNCTION("IF(COUNTIFS($C$2:C607, C607, $A$2:A607, ""&lt;="" &amp; A607) &lt; 30, STDEV.P(FILTER($G$2:G607, $C$2:C607 = C607)), STDEV.P(FILTER($G$2:G607, $C$2:C607 = C607, $A$2:A607 &gt;= A607 - 30)))
"),"#DIV/0!")</f>
        <v>#DIV/0!</v>
      </c>
    </row>
    <row r="608" spans="1:14" x14ac:dyDescent="0.2">
      <c r="A608" s="35"/>
      <c r="B608" s="32"/>
      <c r="C608" s="32"/>
      <c r="D608" s="33"/>
      <c r="E608" s="33"/>
      <c r="F608" s="33"/>
      <c r="G608" s="19" t="e">
        <f t="shared" si="10"/>
        <v>#DIV/0!</v>
      </c>
      <c r="H608" s="20" t="str">
        <f ca="1">IFERROR(__xludf.DUMMYFUNCTION("IF(COUNTIFS($C$2:C608, C608, $A$2:A608, ""&lt;="" &amp; A608) &lt; 30, AVERAGEIF($C$2:C608, C608, $G$2:G608), AVERAGE(FILTER($G$2:G608, $C$2:C608 = C608, $A$2:A608 &gt;= A608 - 30)))
"),"#DIV/0!")</f>
        <v>#DIV/0!</v>
      </c>
      <c r="I608" s="20" t="e">
        <f t="shared" ca="1" si="11"/>
        <v>#DIV/0!</v>
      </c>
      <c r="J608" s="20" t="str">
        <f ca="1">IFERROR(__xludf.DUMMYFUNCTION("IF(OR($I608=2, $I608=3), 0, IFERROR(COUNTIFS($C$2:C608, $C608, $A$2:A609, ""&gt;""&amp;IFERROR(MAX(FILTER($A$2:A609, $C$2:C608=$C608, $I$2:I608&lt;&gt;1)), 0), $I$2:I608, 1),1))
"),"#DIV/0!")</f>
        <v>#DIV/0!</v>
      </c>
      <c r="K608" s="7" t="e">
        <f t="shared" ca="1" si="12"/>
        <v>#DIV/0!</v>
      </c>
      <c r="L608" s="20" t="e">
        <f t="shared" ca="1" si="13"/>
        <v>#DIV/0!</v>
      </c>
      <c r="M608" s="21" t="e">
        <f t="shared" ca="1" si="14"/>
        <v>#DIV/0!</v>
      </c>
      <c r="N608" s="20" t="str">
        <f ca="1">IFERROR(__xludf.DUMMYFUNCTION("IF(COUNTIFS($C$2:C608, C608, $A$2:A608, ""&lt;="" &amp; A608) &lt; 30, STDEV.P(FILTER($G$2:G608, $C$2:C608 = C608)), STDEV.P(FILTER($G$2:G608, $C$2:C608 = C608, $A$2:A608 &gt;= A608 - 30)))
"),"#DIV/0!")</f>
        <v>#DIV/0!</v>
      </c>
    </row>
    <row r="609" spans="1:14" x14ac:dyDescent="0.2">
      <c r="A609" s="35"/>
      <c r="B609" s="32"/>
      <c r="C609" s="32"/>
      <c r="D609" s="33"/>
      <c r="E609" s="33"/>
      <c r="F609" s="33"/>
      <c r="G609" s="19" t="e">
        <f t="shared" si="10"/>
        <v>#DIV/0!</v>
      </c>
      <c r="H609" s="20" t="str">
        <f ca="1">IFERROR(__xludf.DUMMYFUNCTION("IF(COUNTIFS($C$2:C609, C609, $A$2:A609, ""&lt;="" &amp; A609) &lt; 30, AVERAGEIF($C$2:C609, C609, $G$2:G609), AVERAGE(FILTER($G$2:G609, $C$2:C609 = C609, $A$2:A609 &gt;= A609 - 30)))
"),"#DIV/0!")</f>
        <v>#DIV/0!</v>
      </c>
      <c r="I609" s="20" t="e">
        <f t="shared" ca="1" si="11"/>
        <v>#DIV/0!</v>
      </c>
      <c r="J609" s="20" t="str">
        <f ca="1">IFERROR(__xludf.DUMMYFUNCTION("IF(OR($I609=2, $I609=3), 0, IFERROR(COUNTIFS($C$2:C609, $C609, $A$2:A610, ""&gt;""&amp;IFERROR(MAX(FILTER($A$2:A610, $C$2:C609=$C609, $I$2:I609&lt;&gt;1)), 0), $I$2:I609, 1),1))
"),"#DIV/0!")</f>
        <v>#DIV/0!</v>
      </c>
      <c r="K609" s="7" t="e">
        <f t="shared" ca="1" si="12"/>
        <v>#DIV/0!</v>
      </c>
      <c r="L609" s="20" t="e">
        <f t="shared" ca="1" si="13"/>
        <v>#DIV/0!</v>
      </c>
      <c r="M609" s="21" t="e">
        <f t="shared" ca="1" si="14"/>
        <v>#DIV/0!</v>
      </c>
      <c r="N609" s="20" t="str">
        <f ca="1">IFERROR(__xludf.DUMMYFUNCTION("IF(COUNTIFS($C$2:C609, C609, $A$2:A609, ""&lt;="" &amp; A609) &lt; 30, STDEV.P(FILTER($G$2:G609, $C$2:C609 = C609)), STDEV.P(FILTER($G$2:G609, $C$2:C609 = C609, $A$2:A609 &gt;= A609 - 30)))
"),"#DIV/0!")</f>
        <v>#DIV/0!</v>
      </c>
    </row>
    <row r="610" spans="1:14" x14ac:dyDescent="0.2">
      <c r="A610" s="35"/>
      <c r="B610" s="32"/>
      <c r="C610" s="32"/>
      <c r="D610" s="33"/>
      <c r="E610" s="33"/>
      <c r="F610" s="33"/>
      <c r="G610" s="19" t="e">
        <f t="shared" si="10"/>
        <v>#DIV/0!</v>
      </c>
      <c r="H610" s="20" t="str">
        <f ca="1">IFERROR(__xludf.DUMMYFUNCTION("IF(COUNTIFS($C$2:C610, C610, $A$2:A610, ""&lt;="" &amp; A610) &lt; 30, AVERAGEIF($C$2:C610, C610, $G$2:G610), AVERAGE(FILTER($G$2:G610, $C$2:C610 = C610, $A$2:A610 &gt;= A610 - 30)))
"),"#DIV/0!")</f>
        <v>#DIV/0!</v>
      </c>
      <c r="I610" s="20" t="e">
        <f t="shared" ca="1" si="11"/>
        <v>#DIV/0!</v>
      </c>
      <c r="J610" s="20" t="str">
        <f ca="1">IFERROR(__xludf.DUMMYFUNCTION("IF(OR($I610=2, $I610=3), 0, IFERROR(COUNTIFS($C$2:C610, $C610, $A$2:A611, ""&gt;""&amp;IFERROR(MAX(FILTER($A$2:A611, $C$2:C610=$C610, $I$2:I610&lt;&gt;1)), 0), $I$2:I610, 1),1))
"),"#DIV/0!")</f>
        <v>#DIV/0!</v>
      </c>
      <c r="K610" s="7" t="e">
        <f t="shared" ca="1" si="12"/>
        <v>#DIV/0!</v>
      </c>
      <c r="L610" s="20" t="e">
        <f t="shared" ca="1" si="13"/>
        <v>#DIV/0!</v>
      </c>
      <c r="M610" s="21" t="e">
        <f t="shared" ca="1" si="14"/>
        <v>#DIV/0!</v>
      </c>
      <c r="N610" s="20" t="str">
        <f ca="1">IFERROR(__xludf.DUMMYFUNCTION("IF(COUNTIFS($C$2:C610, C610, $A$2:A610, ""&lt;="" &amp; A610) &lt; 30, STDEV.P(FILTER($G$2:G610, $C$2:C610 = C610)), STDEV.P(FILTER($G$2:G610, $C$2:C610 = C610, $A$2:A610 &gt;= A610 - 30)))
"),"#DIV/0!")</f>
        <v>#DIV/0!</v>
      </c>
    </row>
    <row r="611" spans="1:14" x14ac:dyDescent="0.2">
      <c r="A611" s="35"/>
      <c r="B611" s="32"/>
      <c r="C611" s="32"/>
      <c r="D611" s="33"/>
      <c r="E611" s="33"/>
      <c r="F611" s="33"/>
      <c r="G611" s="19" t="e">
        <f t="shared" si="10"/>
        <v>#DIV/0!</v>
      </c>
      <c r="H611" s="20" t="str">
        <f ca="1">IFERROR(__xludf.DUMMYFUNCTION("IF(COUNTIFS($C$2:C611, C611, $A$2:A611, ""&lt;="" &amp; A611) &lt; 30, AVERAGEIF($C$2:C611, C611, $G$2:G611), AVERAGE(FILTER($G$2:G611, $C$2:C611 = C611, $A$2:A611 &gt;= A611 - 30)))
"),"#DIV/0!")</f>
        <v>#DIV/0!</v>
      </c>
      <c r="I611" s="20" t="e">
        <f t="shared" ca="1" si="11"/>
        <v>#DIV/0!</v>
      </c>
      <c r="J611" s="20" t="str">
        <f ca="1">IFERROR(__xludf.DUMMYFUNCTION("IF(OR($I611=2, $I611=3), 0, IFERROR(COUNTIFS($C$2:C611, $C611, $A$2:A612, ""&gt;""&amp;IFERROR(MAX(FILTER($A$2:A612, $C$2:C611=$C611, $I$2:I611&lt;&gt;1)), 0), $I$2:I611, 1),1))
"),"#DIV/0!")</f>
        <v>#DIV/0!</v>
      </c>
      <c r="K611" s="7" t="e">
        <f t="shared" ca="1" si="12"/>
        <v>#DIV/0!</v>
      </c>
      <c r="L611" s="20" t="e">
        <f t="shared" ca="1" si="13"/>
        <v>#DIV/0!</v>
      </c>
      <c r="M611" s="21" t="e">
        <f t="shared" ca="1" si="14"/>
        <v>#DIV/0!</v>
      </c>
      <c r="N611" s="20" t="str">
        <f ca="1">IFERROR(__xludf.DUMMYFUNCTION("IF(COUNTIFS($C$2:C611, C611, $A$2:A611, ""&lt;="" &amp; A611) &lt; 30, STDEV.P(FILTER($G$2:G611, $C$2:C611 = C611)), STDEV.P(FILTER($G$2:G611, $C$2:C611 = C611, $A$2:A611 &gt;= A611 - 30)))
"),"#DIV/0!")</f>
        <v>#DIV/0!</v>
      </c>
    </row>
    <row r="612" spans="1:14" x14ac:dyDescent="0.2">
      <c r="A612" s="35"/>
      <c r="B612" s="32"/>
      <c r="C612" s="32"/>
      <c r="D612" s="33"/>
      <c r="E612" s="33"/>
      <c r="F612" s="33"/>
      <c r="G612" s="19" t="e">
        <f t="shared" si="10"/>
        <v>#DIV/0!</v>
      </c>
      <c r="H612" s="20" t="str">
        <f ca="1">IFERROR(__xludf.DUMMYFUNCTION("IF(COUNTIFS($C$2:C612, C612, $A$2:A612, ""&lt;="" &amp; A612) &lt; 30, AVERAGEIF($C$2:C612, C612, $G$2:G612), AVERAGE(FILTER($G$2:G612, $C$2:C612 = C612, $A$2:A612 &gt;= A612 - 30)))
"),"#DIV/0!")</f>
        <v>#DIV/0!</v>
      </c>
      <c r="I612" s="20" t="e">
        <f t="shared" ca="1" si="11"/>
        <v>#DIV/0!</v>
      </c>
      <c r="J612" s="20" t="str">
        <f ca="1">IFERROR(__xludf.DUMMYFUNCTION("IF(OR($I612=2, $I612=3), 0, IFERROR(COUNTIFS($C$2:C612, $C612, $A$2:A613, ""&gt;""&amp;IFERROR(MAX(FILTER($A$2:A613, $C$2:C612=$C612, $I$2:I612&lt;&gt;1)), 0), $I$2:I612, 1),1))
"),"#DIV/0!")</f>
        <v>#DIV/0!</v>
      </c>
      <c r="K612" s="7" t="e">
        <f t="shared" ca="1" si="12"/>
        <v>#DIV/0!</v>
      </c>
      <c r="L612" s="20" t="e">
        <f t="shared" ca="1" si="13"/>
        <v>#DIV/0!</v>
      </c>
      <c r="M612" s="21" t="e">
        <f t="shared" ca="1" si="14"/>
        <v>#DIV/0!</v>
      </c>
      <c r="N612" s="20" t="str">
        <f ca="1">IFERROR(__xludf.DUMMYFUNCTION("IF(COUNTIFS($C$2:C612, C612, $A$2:A612, ""&lt;="" &amp; A612) &lt; 30, STDEV.P(FILTER($G$2:G612, $C$2:C612 = C612)), STDEV.P(FILTER($G$2:G612, $C$2:C612 = C612, $A$2:A612 &gt;= A612 - 30)))
"),"#DIV/0!")</f>
        <v>#DIV/0!</v>
      </c>
    </row>
    <row r="613" spans="1:14" x14ac:dyDescent="0.2">
      <c r="A613" s="35"/>
      <c r="B613" s="40"/>
      <c r="C613" s="40"/>
      <c r="D613" s="31"/>
      <c r="E613" s="31"/>
      <c r="F613" s="31"/>
      <c r="G613" s="19" t="e">
        <f t="shared" si="10"/>
        <v>#DIV/0!</v>
      </c>
      <c r="H613" s="20" t="str">
        <f ca="1">IFERROR(__xludf.DUMMYFUNCTION("IF(COUNTIFS($C$2:C613, C613, $A$2:A613, ""&lt;="" &amp; A613) &lt; 30, AVERAGEIF($C$2:C613, C613, $G$2:G613), AVERAGE(FILTER($G$2:G613, $C$2:C613 = C613, $A$2:A613 &gt;= A613 - 30)))
"),"#DIV/0!")</f>
        <v>#DIV/0!</v>
      </c>
      <c r="I613" s="20" t="e">
        <f t="shared" ca="1" si="11"/>
        <v>#DIV/0!</v>
      </c>
      <c r="J613" s="20" t="str">
        <f ca="1">IFERROR(__xludf.DUMMYFUNCTION("IF(OR($I613=2, $I613=3), 0, IFERROR(COUNTIFS($C$2:C613, $C613, $A$2:A614, ""&gt;""&amp;IFERROR(MAX(FILTER($A$2:A614, $C$2:C613=$C613, $I$2:I613&lt;&gt;1)), 0), $I$2:I613, 1),1))
"),"#DIV/0!")</f>
        <v>#DIV/0!</v>
      </c>
      <c r="K613" s="7" t="e">
        <f t="shared" ca="1" si="12"/>
        <v>#DIV/0!</v>
      </c>
      <c r="L613" s="20" t="e">
        <f t="shared" ca="1" si="13"/>
        <v>#DIV/0!</v>
      </c>
      <c r="M613" s="21" t="e">
        <f t="shared" ca="1" si="14"/>
        <v>#DIV/0!</v>
      </c>
      <c r="N613" s="20" t="str">
        <f ca="1">IFERROR(__xludf.DUMMYFUNCTION("IF(COUNTIFS($C$2:C613, C613, $A$2:A613, ""&lt;="" &amp; A613) &lt; 30, STDEV.P(FILTER($G$2:G613, $C$2:C613 = C613)), STDEV.P(FILTER($G$2:G613, $C$2:C613 = C613, $A$2:A613 &gt;= A613 - 30)))
"),"#DIV/0!")</f>
        <v>#DIV/0!</v>
      </c>
    </row>
    <row r="614" spans="1:14" x14ac:dyDescent="0.2">
      <c r="A614" s="35"/>
      <c r="B614" s="40"/>
      <c r="C614" s="40"/>
      <c r="D614" s="31"/>
      <c r="E614" s="31"/>
      <c r="F614" s="31"/>
      <c r="G614" s="19" t="e">
        <f t="shared" si="10"/>
        <v>#DIV/0!</v>
      </c>
      <c r="H614" s="20" t="str">
        <f ca="1">IFERROR(__xludf.DUMMYFUNCTION("IF(COUNTIFS($C$2:C614, C614, $A$2:A614, ""&lt;="" &amp; A614) &lt; 30, AVERAGEIF($C$2:C614, C614, $G$2:G614), AVERAGE(FILTER($G$2:G614, $C$2:C614 = C614, $A$2:A614 &gt;= A614 - 30)))
"),"#DIV/0!")</f>
        <v>#DIV/0!</v>
      </c>
      <c r="I614" s="20" t="e">
        <f t="shared" ca="1" si="11"/>
        <v>#DIV/0!</v>
      </c>
      <c r="J614" s="20" t="str">
        <f ca="1">IFERROR(__xludf.DUMMYFUNCTION("IF(OR($I614=2, $I614=3), 0, IFERROR(COUNTIFS($C$2:C614, $C614, $A$2:A615, ""&gt;""&amp;IFERROR(MAX(FILTER($A$2:A615, $C$2:C614=$C614, $I$2:I614&lt;&gt;1)), 0), $I$2:I614, 1),1))
"),"#DIV/0!")</f>
        <v>#DIV/0!</v>
      </c>
      <c r="K614" s="7" t="e">
        <f t="shared" ca="1" si="12"/>
        <v>#DIV/0!</v>
      </c>
      <c r="L614" s="20" t="e">
        <f t="shared" ca="1" si="13"/>
        <v>#DIV/0!</v>
      </c>
      <c r="M614" s="21" t="e">
        <f t="shared" ca="1" si="14"/>
        <v>#DIV/0!</v>
      </c>
      <c r="N614" s="20" t="str">
        <f ca="1">IFERROR(__xludf.DUMMYFUNCTION("IF(COUNTIFS($C$2:C614, C614, $A$2:A614, ""&lt;="" &amp; A614) &lt; 30, STDEV.P(FILTER($G$2:G614, $C$2:C614 = C614)), STDEV.P(FILTER($G$2:G614, $C$2:C614 = C614, $A$2:A614 &gt;= A614 - 30)))
"),"#DIV/0!")</f>
        <v>#DIV/0!</v>
      </c>
    </row>
    <row r="615" spans="1:14" x14ac:dyDescent="0.2">
      <c r="A615" s="35"/>
      <c r="B615" s="40"/>
      <c r="C615" s="40"/>
      <c r="D615" s="31"/>
      <c r="E615" s="31"/>
      <c r="F615" s="31"/>
      <c r="G615" s="19" t="e">
        <f t="shared" si="10"/>
        <v>#DIV/0!</v>
      </c>
      <c r="H615" s="20" t="str">
        <f ca="1">IFERROR(__xludf.DUMMYFUNCTION("IF(COUNTIFS($C$2:C615, C615, $A$2:A615, ""&lt;="" &amp; A615) &lt; 30, AVERAGEIF($C$2:C615, C615, $G$2:G615), AVERAGE(FILTER($G$2:G615, $C$2:C615 = C615, $A$2:A615 &gt;= A615 - 30)))
"),"#DIV/0!")</f>
        <v>#DIV/0!</v>
      </c>
      <c r="I615" s="20" t="e">
        <f t="shared" ca="1" si="11"/>
        <v>#DIV/0!</v>
      </c>
      <c r="J615" s="20" t="str">
        <f ca="1">IFERROR(__xludf.DUMMYFUNCTION("IF(OR($I615=2, $I615=3), 0, IFERROR(COUNTIFS($C$2:C615, $C615, $A$2:A616, ""&gt;""&amp;IFERROR(MAX(FILTER($A$2:A616, $C$2:C615=$C615, $I$2:I615&lt;&gt;1)), 0), $I$2:I615, 1),1))
"),"#DIV/0!")</f>
        <v>#DIV/0!</v>
      </c>
      <c r="K615" s="7" t="e">
        <f t="shared" ca="1" si="12"/>
        <v>#DIV/0!</v>
      </c>
      <c r="L615" s="20" t="e">
        <f t="shared" ca="1" si="13"/>
        <v>#DIV/0!</v>
      </c>
      <c r="M615" s="21" t="e">
        <f t="shared" ca="1" si="14"/>
        <v>#DIV/0!</v>
      </c>
      <c r="N615" s="20" t="str">
        <f ca="1">IFERROR(__xludf.DUMMYFUNCTION("IF(COUNTIFS($C$2:C615, C615, $A$2:A615, ""&lt;="" &amp; A615) &lt; 30, STDEV.P(FILTER($G$2:G615, $C$2:C615 = C615)), STDEV.P(FILTER($G$2:G615, $C$2:C615 = C615, $A$2:A615 &gt;= A615 - 30)))
"),"#DIV/0!")</f>
        <v>#DIV/0!</v>
      </c>
    </row>
    <row r="616" spans="1:14" x14ac:dyDescent="0.2">
      <c r="A616" s="35"/>
      <c r="B616" s="40"/>
      <c r="C616" s="40"/>
      <c r="D616" s="31"/>
      <c r="E616" s="31"/>
      <c r="F616" s="31"/>
      <c r="G616" s="19" t="e">
        <f t="shared" si="10"/>
        <v>#DIV/0!</v>
      </c>
      <c r="H616" s="20" t="str">
        <f ca="1">IFERROR(__xludf.DUMMYFUNCTION("IF(COUNTIFS($C$2:C616, C616, $A$2:A616, ""&lt;="" &amp; A616) &lt; 30, AVERAGEIF($C$2:C616, C616, $G$2:G616), AVERAGE(FILTER($G$2:G616, $C$2:C616 = C616, $A$2:A616 &gt;= A616 - 30)))
"),"#DIV/0!")</f>
        <v>#DIV/0!</v>
      </c>
      <c r="I616" s="20" t="e">
        <f t="shared" ca="1" si="11"/>
        <v>#DIV/0!</v>
      </c>
      <c r="J616" s="20" t="str">
        <f ca="1">IFERROR(__xludf.DUMMYFUNCTION("IF(OR($I616=2, $I616=3), 0, IFERROR(COUNTIFS($C$2:C616, $C616, $A$2:A617, ""&gt;""&amp;IFERROR(MAX(FILTER($A$2:A617, $C$2:C616=$C616, $I$2:I616&lt;&gt;1)), 0), $I$2:I616, 1),1))
"),"#DIV/0!")</f>
        <v>#DIV/0!</v>
      </c>
      <c r="K616" s="7" t="e">
        <f t="shared" ca="1" si="12"/>
        <v>#DIV/0!</v>
      </c>
      <c r="L616" s="20" t="e">
        <f t="shared" ca="1" si="13"/>
        <v>#DIV/0!</v>
      </c>
      <c r="M616" s="21" t="e">
        <f t="shared" ca="1" si="14"/>
        <v>#DIV/0!</v>
      </c>
      <c r="N616" s="20" t="str">
        <f ca="1">IFERROR(__xludf.DUMMYFUNCTION("IF(COUNTIFS($C$2:C616, C616, $A$2:A616, ""&lt;="" &amp; A616) &lt; 30, STDEV.P(FILTER($G$2:G616, $C$2:C616 = C616)), STDEV.P(FILTER($G$2:G616, $C$2:C616 = C616, $A$2:A616 &gt;= A616 - 30)))
"),"#DIV/0!")</f>
        <v>#DIV/0!</v>
      </c>
    </row>
    <row r="617" spans="1:14" x14ac:dyDescent="0.2">
      <c r="A617" s="35"/>
      <c r="B617" s="40"/>
      <c r="C617" s="40"/>
      <c r="D617" s="31"/>
      <c r="E617" s="31"/>
      <c r="F617" s="31"/>
      <c r="G617" s="19" t="e">
        <f t="shared" si="10"/>
        <v>#DIV/0!</v>
      </c>
      <c r="H617" s="20" t="str">
        <f ca="1">IFERROR(__xludf.DUMMYFUNCTION("IF(COUNTIFS($C$2:C617, C617, $A$2:A617, ""&lt;="" &amp; A617) &lt; 30, AVERAGEIF($C$2:C617, C617, $G$2:G617), AVERAGE(FILTER($G$2:G617, $C$2:C617 = C617, $A$2:A617 &gt;= A617 - 30)))
"),"#DIV/0!")</f>
        <v>#DIV/0!</v>
      </c>
      <c r="I617" s="20" t="e">
        <f t="shared" ca="1" si="11"/>
        <v>#DIV/0!</v>
      </c>
      <c r="J617" s="20" t="str">
        <f ca="1">IFERROR(__xludf.DUMMYFUNCTION("IF(OR($I617=2, $I617=3), 0, IFERROR(COUNTIFS($C$2:C617, $C617, $A$2:A618, ""&gt;""&amp;IFERROR(MAX(FILTER($A$2:A618, $C$2:C617=$C617, $I$2:I617&lt;&gt;1)), 0), $I$2:I617, 1),1))
"),"#DIV/0!")</f>
        <v>#DIV/0!</v>
      </c>
      <c r="K617" s="7" t="e">
        <f t="shared" ca="1" si="12"/>
        <v>#DIV/0!</v>
      </c>
      <c r="L617" s="20" t="e">
        <f t="shared" ca="1" si="13"/>
        <v>#DIV/0!</v>
      </c>
      <c r="M617" s="21" t="e">
        <f t="shared" ca="1" si="14"/>
        <v>#DIV/0!</v>
      </c>
      <c r="N617" s="20" t="str">
        <f ca="1">IFERROR(__xludf.DUMMYFUNCTION("IF(COUNTIFS($C$2:C617, C617, $A$2:A617, ""&lt;="" &amp; A617) &lt; 30, STDEV.P(FILTER($G$2:G617, $C$2:C617 = C617)), STDEV.P(FILTER($G$2:G617, $C$2:C617 = C617, $A$2:A617 &gt;= A617 - 30)))
"),"#DIV/0!")</f>
        <v>#DIV/0!</v>
      </c>
    </row>
    <row r="618" spans="1:14" x14ac:dyDescent="0.2">
      <c r="A618" s="35"/>
      <c r="B618" s="40"/>
      <c r="C618" s="40"/>
      <c r="D618" s="31"/>
      <c r="E618" s="31"/>
      <c r="F618" s="31"/>
      <c r="G618" s="19" t="e">
        <f t="shared" si="10"/>
        <v>#DIV/0!</v>
      </c>
      <c r="H618" s="20" t="str">
        <f ca="1">IFERROR(__xludf.DUMMYFUNCTION("IF(COUNTIFS($C$2:C618, C618, $A$2:A618, ""&lt;="" &amp; A618) &lt; 30, AVERAGEIF($C$2:C618, C618, $G$2:G618), AVERAGE(FILTER($G$2:G618, $C$2:C618 = C618, $A$2:A618 &gt;= A618 - 30)))
"),"#DIV/0!")</f>
        <v>#DIV/0!</v>
      </c>
      <c r="I618" s="20" t="e">
        <f t="shared" ca="1" si="11"/>
        <v>#DIV/0!</v>
      </c>
      <c r="J618" s="20" t="str">
        <f ca="1">IFERROR(__xludf.DUMMYFUNCTION("IF(OR($I618=2, $I618=3), 0, IFERROR(COUNTIFS($C$2:C618, $C618, $A$2:A619, ""&gt;""&amp;IFERROR(MAX(FILTER($A$2:A619, $C$2:C618=$C618, $I$2:I618&lt;&gt;1)), 0), $I$2:I618, 1),1))
"),"#DIV/0!")</f>
        <v>#DIV/0!</v>
      </c>
      <c r="K618" s="7" t="e">
        <f t="shared" ca="1" si="12"/>
        <v>#DIV/0!</v>
      </c>
      <c r="L618" s="20" t="e">
        <f t="shared" ca="1" si="13"/>
        <v>#DIV/0!</v>
      </c>
      <c r="M618" s="21" t="e">
        <f t="shared" ca="1" si="14"/>
        <v>#DIV/0!</v>
      </c>
      <c r="N618" s="20" t="str">
        <f ca="1">IFERROR(__xludf.DUMMYFUNCTION("IF(COUNTIFS($C$2:C618, C618, $A$2:A618, ""&lt;="" &amp; A618) &lt; 30, STDEV.P(FILTER($G$2:G618, $C$2:C618 = C618)), STDEV.P(FILTER($G$2:G618, $C$2:C618 = C618, $A$2:A618 &gt;= A618 - 30)))
"),"#DIV/0!")</f>
        <v>#DIV/0!</v>
      </c>
    </row>
    <row r="619" spans="1:14" x14ac:dyDescent="0.2">
      <c r="A619" s="35"/>
      <c r="B619" s="40"/>
      <c r="C619" s="40"/>
      <c r="D619" s="31"/>
      <c r="E619" s="31"/>
      <c r="F619" s="31"/>
      <c r="G619" s="19" t="e">
        <f t="shared" si="10"/>
        <v>#DIV/0!</v>
      </c>
      <c r="H619" s="20" t="str">
        <f ca="1">IFERROR(__xludf.DUMMYFUNCTION("IF(COUNTIFS($C$2:C619, C619, $A$2:A619, ""&lt;="" &amp; A619) &lt; 30, AVERAGEIF($C$2:C619, C619, $G$2:G619), AVERAGE(FILTER($G$2:G619, $C$2:C619 = C619, $A$2:A619 &gt;= A619 - 30)))
"),"#DIV/0!")</f>
        <v>#DIV/0!</v>
      </c>
      <c r="I619" s="20" t="e">
        <f t="shared" ca="1" si="11"/>
        <v>#DIV/0!</v>
      </c>
      <c r="J619" s="20" t="str">
        <f ca="1">IFERROR(__xludf.DUMMYFUNCTION("IF(OR($I619=2, $I619=3), 0, IFERROR(COUNTIFS($C$2:C619, $C619, $A$2:A620, ""&gt;""&amp;IFERROR(MAX(FILTER($A$2:A620, $C$2:C619=$C619, $I$2:I619&lt;&gt;1)), 0), $I$2:I619, 1),1))
"),"#DIV/0!")</f>
        <v>#DIV/0!</v>
      </c>
      <c r="K619" s="7" t="e">
        <f t="shared" ca="1" si="12"/>
        <v>#DIV/0!</v>
      </c>
      <c r="L619" s="20" t="e">
        <f t="shared" ca="1" si="13"/>
        <v>#DIV/0!</v>
      </c>
      <c r="M619" s="21" t="e">
        <f t="shared" ca="1" si="14"/>
        <v>#DIV/0!</v>
      </c>
      <c r="N619" s="20" t="str">
        <f ca="1">IFERROR(__xludf.DUMMYFUNCTION("IF(COUNTIFS($C$2:C619, C619, $A$2:A619, ""&lt;="" &amp; A619) &lt; 30, STDEV.P(FILTER($G$2:G619, $C$2:C619 = C619)), STDEV.P(FILTER($G$2:G619, $C$2:C619 = C619, $A$2:A619 &gt;= A619 - 30)))
"),"#DIV/0!")</f>
        <v>#DIV/0!</v>
      </c>
    </row>
    <row r="620" spans="1:14" x14ac:dyDescent="0.2">
      <c r="A620" s="35"/>
      <c r="B620" s="40"/>
      <c r="C620" s="40"/>
      <c r="D620" s="31"/>
      <c r="E620" s="31"/>
      <c r="F620" s="31"/>
      <c r="G620" s="19" t="e">
        <f t="shared" si="10"/>
        <v>#DIV/0!</v>
      </c>
      <c r="H620" s="20" t="str">
        <f ca="1">IFERROR(__xludf.DUMMYFUNCTION("IF(COUNTIFS($C$2:C620, C620, $A$2:A620, ""&lt;="" &amp; A620) &lt; 30, AVERAGEIF($C$2:C620, C620, $G$2:G620), AVERAGE(FILTER($G$2:G620, $C$2:C620 = C620, $A$2:A620 &gt;= A620 - 30)))
"),"#DIV/0!")</f>
        <v>#DIV/0!</v>
      </c>
      <c r="I620" s="20" t="e">
        <f t="shared" ca="1" si="11"/>
        <v>#DIV/0!</v>
      </c>
      <c r="J620" s="20" t="str">
        <f ca="1">IFERROR(__xludf.DUMMYFUNCTION("IF(OR($I620=2, $I620=3), 0, IFERROR(COUNTIFS($C$2:C620, $C620, $A$2:A621, ""&gt;""&amp;IFERROR(MAX(FILTER($A$2:A621, $C$2:C620=$C620, $I$2:I620&lt;&gt;1)), 0), $I$2:I620, 1),1))
"),"#DIV/0!")</f>
        <v>#DIV/0!</v>
      </c>
      <c r="K620" s="7" t="e">
        <f t="shared" ca="1" si="12"/>
        <v>#DIV/0!</v>
      </c>
      <c r="L620" s="20" t="e">
        <f t="shared" ca="1" si="13"/>
        <v>#DIV/0!</v>
      </c>
      <c r="M620" s="21" t="e">
        <f t="shared" ca="1" si="14"/>
        <v>#DIV/0!</v>
      </c>
      <c r="N620" s="20" t="str">
        <f ca="1">IFERROR(__xludf.DUMMYFUNCTION("IF(COUNTIFS($C$2:C620, C620, $A$2:A620, ""&lt;="" &amp; A620) &lt; 30, STDEV.P(FILTER($G$2:G620, $C$2:C620 = C620)), STDEV.P(FILTER($G$2:G620, $C$2:C620 = C620, $A$2:A620 &gt;= A620 - 30)))
"),"#DIV/0!")</f>
        <v>#DIV/0!</v>
      </c>
    </row>
    <row r="621" spans="1:14" x14ac:dyDescent="0.2">
      <c r="A621" s="35"/>
      <c r="B621" s="40"/>
      <c r="C621" s="40"/>
      <c r="D621" s="31"/>
      <c r="E621" s="31"/>
      <c r="F621" s="31"/>
      <c r="G621" s="19" t="e">
        <f t="shared" si="10"/>
        <v>#DIV/0!</v>
      </c>
      <c r="H621" s="20" t="str">
        <f ca="1">IFERROR(__xludf.DUMMYFUNCTION("IF(COUNTIFS($C$2:C621, C621, $A$2:A621, ""&lt;="" &amp; A621) &lt; 30, AVERAGEIF($C$2:C621, C621, $G$2:G621), AVERAGE(FILTER($G$2:G621, $C$2:C621 = C621, $A$2:A621 &gt;= A621 - 30)))
"),"#DIV/0!")</f>
        <v>#DIV/0!</v>
      </c>
      <c r="I621" s="20" t="e">
        <f t="shared" ca="1" si="11"/>
        <v>#DIV/0!</v>
      </c>
      <c r="J621" s="20" t="str">
        <f ca="1">IFERROR(__xludf.DUMMYFUNCTION("IF(OR($I621=2, $I621=3), 0, IFERROR(COUNTIFS($C$2:C621, $C621, $A$2:A622, ""&gt;""&amp;IFERROR(MAX(FILTER($A$2:A622, $C$2:C621=$C621, $I$2:I621&lt;&gt;1)), 0), $I$2:I621, 1),1))
"),"#DIV/0!")</f>
        <v>#DIV/0!</v>
      </c>
      <c r="K621" s="7" t="e">
        <f t="shared" ca="1" si="12"/>
        <v>#DIV/0!</v>
      </c>
      <c r="L621" s="20" t="e">
        <f t="shared" ca="1" si="13"/>
        <v>#DIV/0!</v>
      </c>
      <c r="M621" s="21" t="e">
        <f t="shared" ca="1" si="14"/>
        <v>#DIV/0!</v>
      </c>
      <c r="N621" s="20" t="str">
        <f ca="1">IFERROR(__xludf.DUMMYFUNCTION("IF(COUNTIFS($C$2:C621, C621, $A$2:A621, ""&lt;="" &amp; A621) &lt; 30, STDEV.P(FILTER($G$2:G621, $C$2:C621 = C621)), STDEV.P(FILTER($G$2:G621, $C$2:C621 = C621, $A$2:A621 &gt;= A621 - 30)))
"),"#DIV/0!")</f>
        <v>#DIV/0!</v>
      </c>
    </row>
    <row r="622" spans="1:14" x14ac:dyDescent="0.2">
      <c r="A622" s="35"/>
      <c r="B622" s="32"/>
      <c r="C622" s="32"/>
      <c r="D622" s="33"/>
      <c r="E622" s="33"/>
      <c r="F622" s="33"/>
      <c r="G622" s="19" t="e">
        <f t="shared" si="10"/>
        <v>#DIV/0!</v>
      </c>
      <c r="H622" s="20" t="str">
        <f ca="1">IFERROR(__xludf.DUMMYFUNCTION("IF(COUNTIFS($C$2:C622, C622, $A$2:A622, ""&lt;="" &amp; A622) &lt; 30, AVERAGEIF($C$2:C622, C622, $G$2:G622), AVERAGE(FILTER($G$2:G622, $C$2:C622 = C622, $A$2:A622 &gt;= A622 - 30)))
"),"#DIV/0!")</f>
        <v>#DIV/0!</v>
      </c>
      <c r="I622" s="20" t="e">
        <f t="shared" ca="1" si="11"/>
        <v>#DIV/0!</v>
      </c>
      <c r="J622" s="20" t="str">
        <f ca="1">IFERROR(__xludf.DUMMYFUNCTION("IF(OR($I622=2, $I622=3), 0, IFERROR(COUNTIFS($C$2:C622, $C622, $A$2:A623, ""&gt;""&amp;IFERROR(MAX(FILTER($A$2:A623, $C$2:C622=$C622, $I$2:I622&lt;&gt;1)), 0), $I$2:I622, 1),1))
"),"#DIV/0!")</f>
        <v>#DIV/0!</v>
      </c>
      <c r="K622" s="7" t="e">
        <f t="shared" ca="1" si="12"/>
        <v>#DIV/0!</v>
      </c>
      <c r="L622" s="20" t="e">
        <f t="shared" ca="1" si="13"/>
        <v>#DIV/0!</v>
      </c>
      <c r="M622" s="21" t="e">
        <f t="shared" ca="1" si="14"/>
        <v>#DIV/0!</v>
      </c>
      <c r="N622" s="20" t="str">
        <f ca="1">IFERROR(__xludf.DUMMYFUNCTION("IF(COUNTIFS($C$2:C622, C622, $A$2:A622, ""&lt;="" &amp; A622) &lt; 30, STDEV.P(FILTER($G$2:G622, $C$2:C622 = C622)), STDEV.P(FILTER($G$2:G622, $C$2:C622 = C622, $A$2:A622 &gt;= A622 - 30)))
"),"#DIV/0!")</f>
        <v>#DIV/0!</v>
      </c>
    </row>
    <row r="623" spans="1:14" x14ac:dyDescent="0.2">
      <c r="A623" s="35"/>
      <c r="B623" s="32"/>
      <c r="C623" s="32"/>
      <c r="D623" s="33"/>
      <c r="E623" s="33"/>
      <c r="F623" s="33"/>
      <c r="G623" s="19" t="e">
        <f t="shared" si="10"/>
        <v>#DIV/0!</v>
      </c>
      <c r="H623" s="20" t="str">
        <f ca="1">IFERROR(__xludf.DUMMYFUNCTION("IF(COUNTIFS($C$2:C623, C623, $A$2:A623, ""&lt;="" &amp; A623) &lt; 30, AVERAGEIF($C$2:C623, C623, $G$2:G623), AVERAGE(FILTER($G$2:G623, $C$2:C623 = C623, $A$2:A623 &gt;= A623 - 30)))
"),"#DIV/0!")</f>
        <v>#DIV/0!</v>
      </c>
      <c r="I623" s="20" t="e">
        <f t="shared" ca="1" si="11"/>
        <v>#DIV/0!</v>
      </c>
      <c r="J623" s="20" t="str">
        <f ca="1">IFERROR(__xludf.DUMMYFUNCTION("IF(OR($I623=2, $I623=3), 0, IFERROR(COUNTIFS($C$2:C623, $C623, $A$2:A624, ""&gt;""&amp;IFERROR(MAX(FILTER($A$2:A624, $C$2:C623=$C623, $I$2:I623&lt;&gt;1)), 0), $I$2:I623, 1),1))
"),"#DIV/0!")</f>
        <v>#DIV/0!</v>
      </c>
      <c r="K623" s="7" t="e">
        <f t="shared" ca="1" si="12"/>
        <v>#DIV/0!</v>
      </c>
      <c r="L623" s="20" t="e">
        <f t="shared" ca="1" si="13"/>
        <v>#DIV/0!</v>
      </c>
      <c r="M623" s="21" t="e">
        <f t="shared" ca="1" si="14"/>
        <v>#DIV/0!</v>
      </c>
      <c r="N623" s="20" t="str">
        <f ca="1">IFERROR(__xludf.DUMMYFUNCTION("IF(COUNTIFS($C$2:C623, C623, $A$2:A623, ""&lt;="" &amp; A623) &lt; 30, STDEV.P(FILTER($G$2:G623, $C$2:C623 = C623)), STDEV.P(FILTER($G$2:G623, $C$2:C623 = C623, $A$2:A623 &gt;= A623 - 30)))
"),"#DIV/0!")</f>
        <v>#DIV/0!</v>
      </c>
    </row>
    <row r="624" spans="1:14" x14ac:dyDescent="0.2">
      <c r="A624" s="35"/>
      <c r="B624" s="32"/>
      <c r="C624" s="32"/>
      <c r="D624" s="33"/>
      <c r="E624" s="33"/>
      <c r="F624" s="33"/>
      <c r="G624" s="19" t="e">
        <f t="shared" si="10"/>
        <v>#DIV/0!</v>
      </c>
      <c r="H624" s="20" t="str">
        <f ca="1">IFERROR(__xludf.DUMMYFUNCTION("IF(COUNTIFS($C$2:C624, C624, $A$2:A624, ""&lt;="" &amp; A624) &lt; 30, AVERAGEIF($C$2:C624, C624, $G$2:G624), AVERAGE(FILTER($G$2:G624, $C$2:C624 = C624, $A$2:A624 &gt;= A624 - 30)))
"),"#DIV/0!")</f>
        <v>#DIV/0!</v>
      </c>
      <c r="I624" s="20" t="e">
        <f t="shared" ca="1" si="11"/>
        <v>#DIV/0!</v>
      </c>
      <c r="J624" s="20" t="str">
        <f ca="1">IFERROR(__xludf.DUMMYFUNCTION("IF(OR($I624=2, $I624=3), 0, IFERROR(COUNTIFS($C$2:C624, $C624, $A$2:A625, ""&gt;""&amp;IFERROR(MAX(FILTER($A$2:A625, $C$2:C624=$C624, $I$2:I624&lt;&gt;1)), 0), $I$2:I624, 1),1))
"),"#DIV/0!")</f>
        <v>#DIV/0!</v>
      </c>
      <c r="K624" s="7" t="e">
        <f t="shared" ca="1" si="12"/>
        <v>#DIV/0!</v>
      </c>
      <c r="L624" s="20" t="e">
        <f t="shared" ca="1" si="13"/>
        <v>#DIV/0!</v>
      </c>
      <c r="M624" s="21" t="e">
        <f t="shared" ca="1" si="14"/>
        <v>#DIV/0!</v>
      </c>
      <c r="N624" s="20" t="str">
        <f ca="1">IFERROR(__xludf.DUMMYFUNCTION("IF(COUNTIFS($C$2:C624, C624, $A$2:A624, ""&lt;="" &amp; A624) &lt; 30, STDEV.P(FILTER($G$2:G624, $C$2:C624 = C624)), STDEV.P(FILTER($G$2:G624, $C$2:C624 = C624, $A$2:A624 &gt;= A624 - 30)))
"),"#DIV/0!")</f>
        <v>#DIV/0!</v>
      </c>
    </row>
    <row r="625" spans="1:14" x14ac:dyDescent="0.2">
      <c r="A625" s="35"/>
      <c r="B625" s="32"/>
      <c r="C625" s="32"/>
      <c r="D625" s="33"/>
      <c r="E625" s="33"/>
      <c r="F625" s="33"/>
      <c r="G625" s="19" t="e">
        <f t="shared" si="10"/>
        <v>#DIV/0!</v>
      </c>
      <c r="H625" s="20" t="str">
        <f ca="1">IFERROR(__xludf.DUMMYFUNCTION("IF(COUNTIFS($C$2:C625, C625, $A$2:A625, ""&lt;="" &amp; A625) &lt; 30, AVERAGEIF($C$2:C625, C625, $G$2:G625), AVERAGE(FILTER($G$2:G625, $C$2:C625 = C625, $A$2:A625 &gt;= A625 - 30)))
"),"#DIV/0!")</f>
        <v>#DIV/0!</v>
      </c>
      <c r="I625" s="20" t="e">
        <f t="shared" ca="1" si="11"/>
        <v>#DIV/0!</v>
      </c>
      <c r="J625" s="20" t="str">
        <f ca="1">IFERROR(__xludf.DUMMYFUNCTION("IF(OR($I625=2, $I625=3), 0, IFERROR(COUNTIFS($C$2:C625, $C625, $A$2:A626, ""&gt;""&amp;IFERROR(MAX(FILTER($A$2:A626, $C$2:C625=$C625, $I$2:I625&lt;&gt;1)), 0), $I$2:I625, 1),1))
"),"#DIV/0!")</f>
        <v>#DIV/0!</v>
      </c>
      <c r="K625" s="7" t="e">
        <f t="shared" ca="1" si="12"/>
        <v>#DIV/0!</v>
      </c>
      <c r="L625" s="20" t="e">
        <f t="shared" ca="1" si="13"/>
        <v>#DIV/0!</v>
      </c>
      <c r="M625" s="21" t="e">
        <f t="shared" ca="1" si="14"/>
        <v>#DIV/0!</v>
      </c>
      <c r="N625" s="20" t="str">
        <f ca="1">IFERROR(__xludf.DUMMYFUNCTION("IF(COUNTIFS($C$2:C625, C625, $A$2:A625, ""&lt;="" &amp; A625) &lt; 30, STDEV.P(FILTER($G$2:G625, $C$2:C625 = C625)), STDEV.P(FILTER($G$2:G625, $C$2:C625 = C625, $A$2:A625 &gt;= A625 - 30)))
"),"#DIV/0!")</f>
        <v>#DIV/0!</v>
      </c>
    </row>
    <row r="626" spans="1:14" x14ac:dyDescent="0.2">
      <c r="A626" s="35"/>
      <c r="B626" s="32"/>
      <c r="C626" s="32"/>
      <c r="D626" s="33"/>
      <c r="E626" s="33"/>
      <c r="F626" s="33"/>
      <c r="G626" s="19" t="e">
        <f t="shared" si="10"/>
        <v>#DIV/0!</v>
      </c>
      <c r="H626" s="20" t="str">
        <f ca="1">IFERROR(__xludf.DUMMYFUNCTION("IF(COUNTIFS($C$2:C626, C626, $A$2:A626, ""&lt;="" &amp; A626) &lt; 30, AVERAGEIF($C$2:C626, C626, $G$2:G626), AVERAGE(FILTER($G$2:G626, $C$2:C626 = C626, $A$2:A626 &gt;= A626 - 30)))
"),"#DIV/0!")</f>
        <v>#DIV/0!</v>
      </c>
      <c r="I626" s="20" t="e">
        <f t="shared" ca="1" si="11"/>
        <v>#DIV/0!</v>
      </c>
      <c r="J626" s="20" t="str">
        <f ca="1">IFERROR(__xludf.DUMMYFUNCTION("IF(OR($I626=2, $I626=3), 0, IFERROR(COUNTIFS($C$2:C626, $C626, $A$2:A627, ""&gt;""&amp;IFERROR(MAX(FILTER($A$2:A627, $C$2:C626=$C626, $I$2:I626&lt;&gt;1)), 0), $I$2:I626, 1),1))
"),"#DIV/0!")</f>
        <v>#DIV/0!</v>
      </c>
      <c r="K626" s="7" t="e">
        <f t="shared" ca="1" si="12"/>
        <v>#DIV/0!</v>
      </c>
      <c r="L626" s="20" t="e">
        <f t="shared" ca="1" si="13"/>
        <v>#DIV/0!</v>
      </c>
      <c r="M626" s="21" t="e">
        <f t="shared" ca="1" si="14"/>
        <v>#DIV/0!</v>
      </c>
      <c r="N626" s="20" t="str">
        <f ca="1">IFERROR(__xludf.DUMMYFUNCTION("IF(COUNTIFS($C$2:C626, C626, $A$2:A626, ""&lt;="" &amp; A626) &lt; 30, STDEV.P(FILTER($G$2:G626, $C$2:C626 = C626)), STDEV.P(FILTER($G$2:G626, $C$2:C626 = C626, $A$2:A626 &gt;= A626 - 30)))
"),"#DIV/0!")</f>
        <v>#DIV/0!</v>
      </c>
    </row>
    <row r="627" spans="1:14" x14ac:dyDescent="0.2">
      <c r="A627" s="35"/>
      <c r="B627" s="32"/>
      <c r="C627" s="32"/>
      <c r="D627" s="33"/>
      <c r="E627" s="33"/>
      <c r="F627" s="33"/>
      <c r="G627" s="19" t="e">
        <f t="shared" si="10"/>
        <v>#DIV/0!</v>
      </c>
      <c r="H627" s="20" t="str">
        <f ca="1">IFERROR(__xludf.DUMMYFUNCTION("IF(COUNTIFS($C$2:C627, C627, $A$2:A627, ""&lt;="" &amp; A627) &lt; 30, AVERAGEIF($C$2:C627, C627, $G$2:G627), AVERAGE(FILTER($G$2:G627, $C$2:C627 = C627, $A$2:A627 &gt;= A627 - 30)))
"),"#DIV/0!")</f>
        <v>#DIV/0!</v>
      </c>
      <c r="I627" s="20" t="e">
        <f t="shared" ca="1" si="11"/>
        <v>#DIV/0!</v>
      </c>
      <c r="J627" s="20" t="str">
        <f ca="1">IFERROR(__xludf.DUMMYFUNCTION("IF(OR($I627=2, $I627=3), 0, IFERROR(COUNTIFS($C$2:C627, $C627, $A$2:A628, ""&gt;""&amp;IFERROR(MAX(FILTER($A$2:A628, $C$2:C627=$C627, $I$2:I627&lt;&gt;1)), 0), $I$2:I627, 1),1))
"),"#DIV/0!")</f>
        <v>#DIV/0!</v>
      </c>
      <c r="K627" s="7" t="e">
        <f t="shared" ca="1" si="12"/>
        <v>#DIV/0!</v>
      </c>
      <c r="L627" s="20" t="e">
        <f t="shared" ca="1" si="13"/>
        <v>#DIV/0!</v>
      </c>
      <c r="M627" s="21" t="e">
        <f t="shared" ca="1" si="14"/>
        <v>#DIV/0!</v>
      </c>
      <c r="N627" s="20" t="str">
        <f ca="1">IFERROR(__xludf.DUMMYFUNCTION("IF(COUNTIFS($C$2:C627, C627, $A$2:A627, ""&lt;="" &amp; A627) &lt; 30, STDEV.P(FILTER($G$2:G627, $C$2:C627 = C627)), STDEV.P(FILTER($G$2:G627, $C$2:C627 = C627, $A$2:A627 &gt;= A627 - 30)))
"),"#DIV/0!")</f>
        <v>#DIV/0!</v>
      </c>
    </row>
    <row r="628" spans="1:14" x14ac:dyDescent="0.2">
      <c r="A628" s="35"/>
      <c r="B628" s="32"/>
      <c r="C628" s="32"/>
      <c r="D628" s="33"/>
      <c r="E628" s="33"/>
      <c r="F628" s="33"/>
      <c r="G628" s="19" t="e">
        <f t="shared" si="10"/>
        <v>#DIV/0!</v>
      </c>
      <c r="H628" s="20" t="str">
        <f ca="1">IFERROR(__xludf.DUMMYFUNCTION("IF(COUNTIFS($C$2:C628, C628, $A$2:A628, ""&lt;="" &amp; A628) &lt; 30, AVERAGEIF($C$2:C628, C628, $G$2:G628), AVERAGE(FILTER($G$2:G628, $C$2:C628 = C628, $A$2:A628 &gt;= A628 - 30)))
"),"#DIV/0!")</f>
        <v>#DIV/0!</v>
      </c>
      <c r="I628" s="20" t="e">
        <f t="shared" ca="1" si="11"/>
        <v>#DIV/0!</v>
      </c>
      <c r="J628" s="20" t="str">
        <f ca="1">IFERROR(__xludf.DUMMYFUNCTION("IF(OR($I628=2, $I628=3), 0, IFERROR(COUNTIFS($C$2:C628, $C628, $A$2:A629, ""&gt;""&amp;IFERROR(MAX(FILTER($A$2:A629, $C$2:C628=$C628, $I$2:I628&lt;&gt;1)), 0), $I$2:I628, 1),1))
"),"#DIV/0!")</f>
        <v>#DIV/0!</v>
      </c>
      <c r="K628" s="7" t="e">
        <f t="shared" ca="1" si="12"/>
        <v>#DIV/0!</v>
      </c>
      <c r="L628" s="20" t="e">
        <f t="shared" ca="1" si="13"/>
        <v>#DIV/0!</v>
      </c>
      <c r="M628" s="21" t="e">
        <f t="shared" ca="1" si="14"/>
        <v>#DIV/0!</v>
      </c>
      <c r="N628" s="20" t="str">
        <f ca="1">IFERROR(__xludf.DUMMYFUNCTION("IF(COUNTIFS($C$2:C628, C628, $A$2:A628, ""&lt;="" &amp; A628) &lt; 30, STDEV.P(FILTER($G$2:G628, $C$2:C628 = C628)), STDEV.P(FILTER($G$2:G628, $C$2:C628 = C628, $A$2:A628 &gt;= A628 - 30)))
"),"#DIV/0!")</f>
        <v>#DIV/0!</v>
      </c>
    </row>
    <row r="629" spans="1:14" x14ac:dyDescent="0.2">
      <c r="A629" s="35"/>
      <c r="B629" s="32"/>
      <c r="C629" s="32"/>
      <c r="D629" s="33"/>
      <c r="E629" s="33"/>
      <c r="F629" s="33"/>
      <c r="G629" s="19" t="e">
        <f t="shared" si="10"/>
        <v>#DIV/0!</v>
      </c>
      <c r="H629" s="20" t="str">
        <f ca="1">IFERROR(__xludf.DUMMYFUNCTION("IF(COUNTIFS($C$2:C629, C629, $A$2:A629, ""&lt;="" &amp; A629) &lt; 30, AVERAGEIF($C$2:C629, C629, $G$2:G629), AVERAGE(FILTER($G$2:G629, $C$2:C629 = C629, $A$2:A629 &gt;= A629 - 30)))
"),"#DIV/0!")</f>
        <v>#DIV/0!</v>
      </c>
      <c r="I629" s="20" t="e">
        <f t="shared" ca="1" si="11"/>
        <v>#DIV/0!</v>
      </c>
      <c r="J629" s="20" t="str">
        <f ca="1">IFERROR(__xludf.DUMMYFUNCTION("IF(OR($I629=2, $I629=3), 0, IFERROR(COUNTIFS($C$2:C629, $C629, $A$2:A630, ""&gt;""&amp;IFERROR(MAX(FILTER($A$2:A630, $C$2:C629=$C629, $I$2:I629&lt;&gt;1)), 0), $I$2:I629, 1),1))
"),"#DIV/0!")</f>
        <v>#DIV/0!</v>
      </c>
      <c r="K629" s="7" t="e">
        <f t="shared" ca="1" si="12"/>
        <v>#DIV/0!</v>
      </c>
      <c r="L629" s="20" t="e">
        <f t="shared" ca="1" si="13"/>
        <v>#DIV/0!</v>
      </c>
      <c r="M629" s="21" t="e">
        <f t="shared" ca="1" si="14"/>
        <v>#DIV/0!</v>
      </c>
      <c r="N629" s="20" t="str">
        <f ca="1">IFERROR(__xludf.DUMMYFUNCTION("IF(COUNTIFS($C$2:C629, C629, $A$2:A629, ""&lt;="" &amp; A629) &lt; 30, STDEV.P(FILTER($G$2:G629, $C$2:C629 = C629)), STDEV.P(FILTER($G$2:G629, $C$2:C629 = C629, $A$2:A629 &gt;= A629 - 30)))
"),"#DIV/0!")</f>
        <v>#DIV/0!</v>
      </c>
    </row>
    <row r="630" spans="1:14" x14ac:dyDescent="0.2">
      <c r="A630" s="35"/>
      <c r="B630" s="32"/>
      <c r="C630" s="32"/>
      <c r="D630" s="33"/>
      <c r="E630" s="33"/>
      <c r="F630" s="33"/>
      <c r="G630" s="19" t="e">
        <f t="shared" si="10"/>
        <v>#DIV/0!</v>
      </c>
      <c r="H630" s="20" t="str">
        <f ca="1">IFERROR(__xludf.DUMMYFUNCTION("IF(COUNTIFS($C$2:C630, C630, $A$2:A630, ""&lt;="" &amp; A630) &lt; 30, AVERAGEIF($C$2:C630, C630, $G$2:G630), AVERAGE(FILTER($G$2:G630, $C$2:C630 = C630, $A$2:A630 &gt;= A630 - 30)))
"),"#DIV/0!")</f>
        <v>#DIV/0!</v>
      </c>
      <c r="I630" s="20" t="e">
        <f t="shared" ca="1" si="11"/>
        <v>#DIV/0!</v>
      </c>
      <c r="J630" s="20" t="str">
        <f ca="1">IFERROR(__xludf.DUMMYFUNCTION("IF(OR($I630=2, $I630=3), 0, IFERROR(COUNTIFS($C$2:C630, $C630, $A$2:A631, ""&gt;""&amp;IFERROR(MAX(FILTER($A$2:A631, $C$2:C630=$C630, $I$2:I630&lt;&gt;1)), 0), $I$2:I630, 1),1))
"),"#DIV/0!")</f>
        <v>#DIV/0!</v>
      </c>
      <c r="K630" s="7" t="e">
        <f t="shared" ca="1" si="12"/>
        <v>#DIV/0!</v>
      </c>
      <c r="L630" s="20" t="e">
        <f t="shared" ca="1" si="13"/>
        <v>#DIV/0!</v>
      </c>
      <c r="M630" s="21" t="e">
        <f t="shared" ca="1" si="14"/>
        <v>#DIV/0!</v>
      </c>
      <c r="N630" s="20" t="str">
        <f ca="1">IFERROR(__xludf.DUMMYFUNCTION("IF(COUNTIFS($C$2:C630, C630, $A$2:A630, ""&lt;="" &amp; A630) &lt; 30, STDEV.P(FILTER($G$2:G630, $C$2:C630 = C630)), STDEV.P(FILTER($G$2:G630, $C$2:C630 = C630, $A$2:A630 &gt;= A630 - 30)))
"),"#DIV/0!")</f>
        <v>#DIV/0!</v>
      </c>
    </row>
    <row r="631" spans="1:14" x14ac:dyDescent="0.2">
      <c r="A631" s="35"/>
      <c r="B631" s="32"/>
      <c r="C631" s="32"/>
      <c r="D631" s="33"/>
      <c r="E631" s="33"/>
      <c r="F631" s="33"/>
      <c r="G631" s="19" t="e">
        <f t="shared" si="10"/>
        <v>#DIV/0!</v>
      </c>
      <c r="H631" s="20" t="str">
        <f ca="1">IFERROR(__xludf.DUMMYFUNCTION("IF(COUNTIFS($C$2:C631, C631, $A$2:A631, ""&lt;="" &amp; A631) &lt; 30, AVERAGEIF($C$2:C631, C631, $G$2:G631), AVERAGE(FILTER($G$2:G631, $C$2:C631 = C631, $A$2:A631 &gt;= A631 - 30)))
"),"#DIV/0!")</f>
        <v>#DIV/0!</v>
      </c>
      <c r="I631" s="20" t="e">
        <f t="shared" ca="1" si="11"/>
        <v>#DIV/0!</v>
      </c>
      <c r="J631" s="20" t="str">
        <f ca="1">IFERROR(__xludf.DUMMYFUNCTION("IF(OR($I631=2, $I631=3), 0, IFERROR(COUNTIFS($C$2:C631, $C631, $A$2:A632, ""&gt;""&amp;IFERROR(MAX(FILTER($A$2:A632, $C$2:C631=$C631, $I$2:I631&lt;&gt;1)), 0), $I$2:I631, 1),1))
"),"#DIV/0!")</f>
        <v>#DIV/0!</v>
      </c>
      <c r="K631" s="7" t="e">
        <f t="shared" ca="1" si="12"/>
        <v>#DIV/0!</v>
      </c>
      <c r="L631" s="20" t="e">
        <f t="shared" ca="1" si="13"/>
        <v>#DIV/0!</v>
      </c>
      <c r="M631" s="21" t="e">
        <f t="shared" ca="1" si="14"/>
        <v>#DIV/0!</v>
      </c>
      <c r="N631" s="20" t="str">
        <f ca="1">IFERROR(__xludf.DUMMYFUNCTION("IF(COUNTIFS($C$2:C631, C631, $A$2:A631, ""&lt;="" &amp; A631) &lt; 30, STDEV.P(FILTER($G$2:G631, $C$2:C631 = C631)), STDEV.P(FILTER($G$2:G631, $C$2:C631 = C631, $A$2:A631 &gt;= A631 - 30)))
"),"#DIV/0!")</f>
        <v>#DIV/0!</v>
      </c>
    </row>
    <row r="632" spans="1:14" x14ac:dyDescent="0.2">
      <c r="A632" s="35"/>
      <c r="B632" s="32"/>
      <c r="C632" s="32"/>
      <c r="D632" s="33"/>
      <c r="E632" s="33"/>
      <c r="F632" s="33"/>
      <c r="G632" s="19" t="e">
        <f t="shared" si="10"/>
        <v>#DIV/0!</v>
      </c>
      <c r="H632" s="20" t="str">
        <f ca="1">IFERROR(__xludf.DUMMYFUNCTION("IF(COUNTIFS($C$2:C632, C632, $A$2:A632, ""&lt;="" &amp; A632) &lt; 30, AVERAGEIF($C$2:C632, C632, $G$2:G632), AVERAGE(FILTER($G$2:G632, $C$2:C632 = C632, $A$2:A632 &gt;= A632 - 30)))
"),"#DIV/0!")</f>
        <v>#DIV/0!</v>
      </c>
      <c r="I632" s="20" t="e">
        <f t="shared" ca="1" si="11"/>
        <v>#DIV/0!</v>
      </c>
      <c r="J632" s="20" t="str">
        <f ca="1">IFERROR(__xludf.DUMMYFUNCTION("IF(OR($I632=2, $I632=3), 0, IFERROR(COUNTIFS($C$2:C632, $C632, $A$2:A633, ""&gt;""&amp;IFERROR(MAX(FILTER($A$2:A633, $C$2:C632=$C632, $I$2:I632&lt;&gt;1)), 0), $I$2:I632, 1),1))
"),"#DIV/0!")</f>
        <v>#DIV/0!</v>
      </c>
      <c r="K632" s="7" t="e">
        <f t="shared" ca="1" si="12"/>
        <v>#DIV/0!</v>
      </c>
      <c r="L632" s="20" t="e">
        <f t="shared" ca="1" si="13"/>
        <v>#DIV/0!</v>
      </c>
      <c r="M632" s="21" t="e">
        <f t="shared" ca="1" si="14"/>
        <v>#DIV/0!</v>
      </c>
      <c r="N632" s="20" t="str">
        <f ca="1">IFERROR(__xludf.DUMMYFUNCTION("IF(COUNTIFS($C$2:C632, C632, $A$2:A632, ""&lt;="" &amp; A632) &lt; 30, STDEV.P(FILTER($G$2:G632, $C$2:C632 = C632)), STDEV.P(FILTER($G$2:G632, $C$2:C632 = C632, $A$2:A632 &gt;= A632 - 30)))
"),"#DIV/0!")</f>
        <v>#DIV/0!</v>
      </c>
    </row>
    <row r="633" spans="1:14" x14ac:dyDescent="0.2">
      <c r="A633" s="35"/>
      <c r="B633" s="32"/>
      <c r="C633" s="32"/>
      <c r="D633" s="33"/>
      <c r="E633" s="33"/>
      <c r="F633" s="33"/>
      <c r="G633" s="19" t="e">
        <f t="shared" si="10"/>
        <v>#DIV/0!</v>
      </c>
      <c r="H633" s="20" t="str">
        <f ca="1">IFERROR(__xludf.DUMMYFUNCTION("IF(COUNTIFS($C$2:C633, C633, $A$2:A633, ""&lt;="" &amp; A633) &lt; 30, AVERAGEIF($C$2:C633, C633, $G$2:G633), AVERAGE(FILTER($G$2:G633, $C$2:C633 = C633, $A$2:A633 &gt;= A633 - 30)))
"),"#DIV/0!")</f>
        <v>#DIV/0!</v>
      </c>
      <c r="I633" s="20" t="e">
        <f t="shared" ca="1" si="11"/>
        <v>#DIV/0!</v>
      </c>
      <c r="J633" s="20" t="str">
        <f ca="1">IFERROR(__xludf.DUMMYFUNCTION("IF(OR($I633=2, $I633=3), 0, IFERROR(COUNTIFS($C$2:C633, $C633, $A$2:A634, ""&gt;""&amp;IFERROR(MAX(FILTER($A$2:A634, $C$2:C633=$C633, $I$2:I633&lt;&gt;1)), 0), $I$2:I633, 1),1))
"),"#DIV/0!")</f>
        <v>#DIV/0!</v>
      </c>
      <c r="K633" s="7" t="e">
        <f t="shared" ca="1" si="12"/>
        <v>#DIV/0!</v>
      </c>
      <c r="L633" s="20" t="e">
        <f t="shared" ca="1" si="13"/>
        <v>#DIV/0!</v>
      </c>
      <c r="M633" s="21" t="e">
        <f t="shared" ca="1" si="14"/>
        <v>#DIV/0!</v>
      </c>
      <c r="N633" s="20" t="str">
        <f ca="1">IFERROR(__xludf.DUMMYFUNCTION("IF(COUNTIFS($C$2:C633, C633, $A$2:A633, ""&lt;="" &amp; A633) &lt; 30, STDEV.P(FILTER($G$2:G633, $C$2:C633 = C633)), STDEV.P(FILTER($G$2:G633, $C$2:C633 = C633, $A$2:A633 &gt;= A633 - 30)))
"),"#DIV/0!")</f>
        <v>#DIV/0!</v>
      </c>
    </row>
    <row r="634" spans="1:14" x14ac:dyDescent="0.2">
      <c r="A634" s="35"/>
      <c r="B634" s="32"/>
      <c r="C634" s="32"/>
      <c r="D634" s="33"/>
      <c r="E634" s="33"/>
      <c r="F634" s="33"/>
      <c r="G634" s="19" t="e">
        <f t="shared" si="10"/>
        <v>#DIV/0!</v>
      </c>
      <c r="H634" s="20" t="str">
        <f ca="1">IFERROR(__xludf.DUMMYFUNCTION("IF(COUNTIFS($C$2:C634, C634, $A$2:A634, ""&lt;="" &amp; A634) &lt; 30, AVERAGEIF($C$2:C634, C634, $G$2:G634), AVERAGE(FILTER($G$2:G634, $C$2:C634 = C634, $A$2:A634 &gt;= A634 - 30)))
"),"#DIV/0!")</f>
        <v>#DIV/0!</v>
      </c>
      <c r="I634" s="20" t="e">
        <f t="shared" ca="1" si="11"/>
        <v>#DIV/0!</v>
      </c>
      <c r="J634" s="20" t="str">
        <f ca="1">IFERROR(__xludf.DUMMYFUNCTION("IF(OR($I634=2, $I634=3), 0, IFERROR(COUNTIFS($C$2:C634, $C634, $A$2:A635, ""&gt;""&amp;IFERROR(MAX(FILTER($A$2:A635, $C$2:C634=$C634, $I$2:I634&lt;&gt;1)), 0), $I$2:I634, 1),1))
"),"#DIV/0!")</f>
        <v>#DIV/0!</v>
      </c>
      <c r="K634" s="7" t="e">
        <f t="shared" ca="1" si="12"/>
        <v>#DIV/0!</v>
      </c>
      <c r="L634" s="20" t="e">
        <f t="shared" ca="1" si="13"/>
        <v>#DIV/0!</v>
      </c>
      <c r="M634" s="21" t="e">
        <f t="shared" ca="1" si="14"/>
        <v>#DIV/0!</v>
      </c>
      <c r="N634" s="20" t="str">
        <f ca="1">IFERROR(__xludf.DUMMYFUNCTION("IF(COUNTIFS($C$2:C634, C634, $A$2:A634, ""&lt;="" &amp; A634) &lt; 30, STDEV.P(FILTER($G$2:G634, $C$2:C634 = C634)), STDEV.P(FILTER($G$2:G634, $C$2:C634 = C634, $A$2:A634 &gt;= A634 - 30)))
"),"#DIV/0!")</f>
        <v>#DIV/0!</v>
      </c>
    </row>
    <row r="635" spans="1:14" x14ac:dyDescent="0.2">
      <c r="A635" s="35"/>
      <c r="B635" s="40"/>
      <c r="C635" s="40"/>
      <c r="D635" s="31"/>
      <c r="E635" s="31"/>
      <c r="F635" s="31"/>
      <c r="G635" s="19" t="e">
        <f t="shared" si="10"/>
        <v>#DIV/0!</v>
      </c>
      <c r="H635" s="20" t="str">
        <f ca="1">IFERROR(__xludf.DUMMYFUNCTION("IF(COUNTIFS($C$2:C635, C635, $A$2:A635, ""&lt;="" &amp; A635) &lt; 30, AVERAGEIF($C$2:C635, C635, $G$2:G635), AVERAGE(FILTER($G$2:G635, $C$2:C635 = C635, $A$2:A635 &gt;= A635 - 30)))
"),"#DIV/0!")</f>
        <v>#DIV/0!</v>
      </c>
      <c r="I635" s="20" t="e">
        <f t="shared" ca="1" si="11"/>
        <v>#DIV/0!</v>
      </c>
      <c r="J635" s="20" t="str">
        <f ca="1">IFERROR(__xludf.DUMMYFUNCTION("IF(OR($I635=2, $I635=3), 0, IFERROR(COUNTIFS($C$2:C635, $C635, $A$2:A636, ""&gt;""&amp;IFERROR(MAX(FILTER($A$2:A636, $C$2:C635=$C635, $I$2:I635&lt;&gt;1)), 0), $I$2:I635, 1),1))
"),"#DIV/0!")</f>
        <v>#DIV/0!</v>
      </c>
      <c r="K635" s="7" t="e">
        <f t="shared" ca="1" si="12"/>
        <v>#DIV/0!</v>
      </c>
      <c r="L635" s="20" t="e">
        <f t="shared" ca="1" si="13"/>
        <v>#DIV/0!</v>
      </c>
      <c r="M635" s="21" t="e">
        <f t="shared" ca="1" si="14"/>
        <v>#DIV/0!</v>
      </c>
      <c r="N635" s="20" t="str">
        <f ca="1">IFERROR(__xludf.DUMMYFUNCTION("IF(COUNTIFS($C$2:C635, C635, $A$2:A635, ""&lt;="" &amp; A635) &lt; 30, STDEV.P(FILTER($G$2:G635, $C$2:C635 = C635)), STDEV.P(FILTER($G$2:G635, $C$2:C635 = C635, $A$2:A635 &gt;= A635 - 30)))
"),"#DIV/0!")</f>
        <v>#DIV/0!</v>
      </c>
    </row>
    <row r="636" spans="1:14" x14ac:dyDescent="0.2">
      <c r="A636" s="35"/>
      <c r="B636" s="40"/>
      <c r="C636" s="40"/>
      <c r="D636" s="31"/>
      <c r="E636" s="31"/>
      <c r="F636" s="31"/>
      <c r="G636" s="19" t="e">
        <f t="shared" si="10"/>
        <v>#DIV/0!</v>
      </c>
      <c r="H636" s="20" t="str">
        <f ca="1">IFERROR(__xludf.DUMMYFUNCTION("IF(COUNTIFS($C$2:C636, C636, $A$2:A636, ""&lt;="" &amp; A636) &lt; 30, AVERAGEIF($C$2:C636, C636, $G$2:G636), AVERAGE(FILTER($G$2:G636, $C$2:C636 = C636, $A$2:A636 &gt;= A636 - 30)))
"),"#DIV/0!")</f>
        <v>#DIV/0!</v>
      </c>
      <c r="I636" s="20" t="e">
        <f t="shared" ca="1" si="11"/>
        <v>#DIV/0!</v>
      </c>
      <c r="J636" s="20" t="str">
        <f ca="1">IFERROR(__xludf.DUMMYFUNCTION("IF(OR($I636=2, $I636=3), 0, IFERROR(COUNTIFS($C$2:C636, $C636, $A$2:A637, ""&gt;""&amp;IFERROR(MAX(FILTER($A$2:A637, $C$2:C636=$C636, $I$2:I636&lt;&gt;1)), 0), $I$2:I636, 1),1))
"),"#DIV/0!")</f>
        <v>#DIV/0!</v>
      </c>
      <c r="K636" s="7" t="e">
        <f t="shared" ca="1" si="12"/>
        <v>#DIV/0!</v>
      </c>
      <c r="L636" s="20" t="e">
        <f t="shared" ca="1" si="13"/>
        <v>#DIV/0!</v>
      </c>
      <c r="M636" s="21" t="e">
        <f t="shared" ca="1" si="14"/>
        <v>#DIV/0!</v>
      </c>
      <c r="N636" s="20" t="str">
        <f ca="1">IFERROR(__xludf.DUMMYFUNCTION("IF(COUNTIFS($C$2:C636, C636, $A$2:A636, ""&lt;="" &amp; A636) &lt; 30, STDEV.P(FILTER($G$2:G636, $C$2:C636 = C636)), STDEV.P(FILTER($G$2:G636, $C$2:C636 = C636, $A$2:A636 &gt;= A636 - 30)))
"),"#DIV/0!")</f>
        <v>#DIV/0!</v>
      </c>
    </row>
    <row r="637" spans="1:14" x14ac:dyDescent="0.2">
      <c r="A637" s="35"/>
      <c r="B637" s="40"/>
      <c r="C637" s="40"/>
      <c r="D637" s="31"/>
      <c r="E637" s="31"/>
      <c r="F637" s="31"/>
      <c r="G637" s="19" t="e">
        <f t="shared" si="10"/>
        <v>#DIV/0!</v>
      </c>
      <c r="H637" s="20" t="str">
        <f ca="1">IFERROR(__xludf.DUMMYFUNCTION("IF(COUNTIFS($C$2:C637, C637, $A$2:A637, ""&lt;="" &amp; A637) &lt; 30, AVERAGEIF($C$2:C637, C637, $G$2:G637), AVERAGE(FILTER($G$2:G637, $C$2:C637 = C637, $A$2:A637 &gt;= A637 - 30)))
"),"#DIV/0!")</f>
        <v>#DIV/0!</v>
      </c>
      <c r="I637" s="20" t="e">
        <f t="shared" ca="1" si="11"/>
        <v>#DIV/0!</v>
      </c>
      <c r="J637" s="20" t="str">
        <f ca="1">IFERROR(__xludf.DUMMYFUNCTION("IF(OR($I637=2, $I637=3), 0, IFERROR(COUNTIFS($C$2:C637, $C637, $A$2:A638, ""&gt;""&amp;IFERROR(MAX(FILTER($A$2:A638, $C$2:C637=$C637, $I$2:I637&lt;&gt;1)), 0), $I$2:I637, 1),1))
"),"#DIV/0!")</f>
        <v>#DIV/0!</v>
      </c>
      <c r="K637" s="7" t="e">
        <f t="shared" ca="1" si="12"/>
        <v>#DIV/0!</v>
      </c>
      <c r="L637" s="20" t="e">
        <f t="shared" ca="1" si="13"/>
        <v>#DIV/0!</v>
      </c>
      <c r="M637" s="21" t="e">
        <f t="shared" ca="1" si="14"/>
        <v>#DIV/0!</v>
      </c>
      <c r="N637" s="20" t="str">
        <f ca="1">IFERROR(__xludf.DUMMYFUNCTION("IF(COUNTIFS($C$2:C637, C637, $A$2:A637, ""&lt;="" &amp; A637) &lt; 30, STDEV.P(FILTER($G$2:G637, $C$2:C637 = C637)), STDEV.P(FILTER($G$2:G637, $C$2:C637 = C637, $A$2:A637 &gt;= A637 - 30)))
"),"#DIV/0!")</f>
        <v>#DIV/0!</v>
      </c>
    </row>
    <row r="638" spans="1:14" x14ac:dyDescent="0.2">
      <c r="A638" s="35"/>
      <c r="B638" s="40"/>
      <c r="C638" s="40"/>
      <c r="D638" s="31"/>
      <c r="E638" s="31"/>
      <c r="F638" s="31"/>
      <c r="G638" s="19" t="e">
        <f t="shared" si="10"/>
        <v>#DIV/0!</v>
      </c>
      <c r="H638" s="20" t="str">
        <f ca="1">IFERROR(__xludf.DUMMYFUNCTION("IF(COUNTIFS($C$2:C638, C638, $A$2:A638, ""&lt;="" &amp; A638) &lt; 30, AVERAGEIF($C$2:C638, C638, $G$2:G638), AVERAGE(FILTER($G$2:G638, $C$2:C638 = C638, $A$2:A638 &gt;= A638 - 30)))
"),"#DIV/0!")</f>
        <v>#DIV/0!</v>
      </c>
      <c r="I638" s="20" t="e">
        <f t="shared" ca="1" si="11"/>
        <v>#DIV/0!</v>
      </c>
      <c r="J638" s="20" t="str">
        <f ca="1">IFERROR(__xludf.DUMMYFUNCTION("IF(OR($I638=2, $I638=3), 0, IFERROR(COUNTIFS($C$2:C638, $C638, $A$2:A639, ""&gt;""&amp;IFERROR(MAX(FILTER($A$2:A639, $C$2:C638=$C638, $I$2:I638&lt;&gt;1)), 0), $I$2:I638, 1),1))
"),"#DIV/0!")</f>
        <v>#DIV/0!</v>
      </c>
      <c r="K638" s="7" t="e">
        <f t="shared" ca="1" si="12"/>
        <v>#DIV/0!</v>
      </c>
      <c r="L638" s="20" t="e">
        <f t="shared" ca="1" si="13"/>
        <v>#DIV/0!</v>
      </c>
      <c r="M638" s="21" t="e">
        <f t="shared" ca="1" si="14"/>
        <v>#DIV/0!</v>
      </c>
      <c r="N638" s="20" t="str">
        <f ca="1">IFERROR(__xludf.DUMMYFUNCTION("IF(COUNTIFS($C$2:C638, C638, $A$2:A638, ""&lt;="" &amp; A638) &lt; 30, STDEV.P(FILTER($G$2:G638, $C$2:C638 = C638)), STDEV.P(FILTER($G$2:G638, $C$2:C638 = C638, $A$2:A638 &gt;= A638 - 30)))
"),"#DIV/0!")</f>
        <v>#DIV/0!</v>
      </c>
    </row>
    <row r="639" spans="1:14" x14ac:dyDescent="0.2">
      <c r="A639" s="35"/>
      <c r="B639" s="40"/>
      <c r="C639" s="40"/>
      <c r="D639" s="31"/>
      <c r="E639" s="31"/>
      <c r="F639" s="31"/>
      <c r="G639" s="19" t="e">
        <f t="shared" si="10"/>
        <v>#DIV/0!</v>
      </c>
      <c r="H639" s="20" t="str">
        <f ca="1">IFERROR(__xludf.DUMMYFUNCTION("IF(COUNTIFS($C$2:C639, C639, $A$2:A639, ""&lt;="" &amp; A639) &lt; 30, AVERAGEIF($C$2:C639, C639, $G$2:G639), AVERAGE(FILTER($G$2:G639, $C$2:C639 = C639, $A$2:A639 &gt;= A639 - 30)))
"),"#DIV/0!")</f>
        <v>#DIV/0!</v>
      </c>
      <c r="I639" s="20" t="e">
        <f t="shared" ca="1" si="11"/>
        <v>#DIV/0!</v>
      </c>
      <c r="J639" s="20" t="str">
        <f ca="1">IFERROR(__xludf.DUMMYFUNCTION("IF(OR($I639=2, $I639=3), 0, IFERROR(COUNTIFS($C$2:C639, $C639, $A$2:A640, ""&gt;""&amp;IFERROR(MAX(FILTER($A$2:A640, $C$2:C639=$C639, $I$2:I639&lt;&gt;1)), 0), $I$2:I639, 1),1))
"),"#DIV/0!")</f>
        <v>#DIV/0!</v>
      </c>
      <c r="K639" s="7" t="e">
        <f t="shared" ca="1" si="12"/>
        <v>#DIV/0!</v>
      </c>
      <c r="L639" s="20" t="e">
        <f t="shared" ca="1" si="13"/>
        <v>#DIV/0!</v>
      </c>
      <c r="M639" s="21" t="e">
        <f t="shared" ca="1" si="14"/>
        <v>#DIV/0!</v>
      </c>
      <c r="N639" s="20" t="str">
        <f ca="1">IFERROR(__xludf.DUMMYFUNCTION("IF(COUNTIFS($C$2:C639, C639, $A$2:A639, ""&lt;="" &amp; A639) &lt; 30, STDEV.P(FILTER($G$2:G639, $C$2:C639 = C639)), STDEV.P(FILTER($G$2:G639, $C$2:C639 = C639, $A$2:A639 &gt;= A639 - 30)))
"),"#DIV/0!")</f>
        <v>#DIV/0!</v>
      </c>
    </row>
    <row r="640" spans="1:14" x14ac:dyDescent="0.2">
      <c r="A640" s="35"/>
      <c r="B640" s="40"/>
      <c r="C640" s="40"/>
      <c r="D640" s="31"/>
      <c r="E640" s="31"/>
      <c r="F640" s="31"/>
      <c r="G640" s="19" t="e">
        <f t="shared" si="10"/>
        <v>#DIV/0!</v>
      </c>
      <c r="H640" s="20" t="str">
        <f ca="1">IFERROR(__xludf.DUMMYFUNCTION("IF(COUNTIFS($C$2:C640, C640, $A$2:A640, ""&lt;="" &amp; A640) &lt; 30, AVERAGEIF($C$2:C640, C640, $G$2:G640), AVERAGE(FILTER($G$2:G640, $C$2:C640 = C640, $A$2:A640 &gt;= A640 - 30)))
"),"#DIV/0!")</f>
        <v>#DIV/0!</v>
      </c>
      <c r="I640" s="20" t="e">
        <f t="shared" ca="1" si="11"/>
        <v>#DIV/0!</v>
      </c>
      <c r="J640" s="20" t="str">
        <f ca="1">IFERROR(__xludf.DUMMYFUNCTION("IF(OR($I640=2, $I640=3), 0, IFERROR(COUNTIFS($C$2:C640, $C640, $A$2:A641, ""&gt;""&amp;IFERROR(MAX(FILTER($A$2:A641, $C$2:C640=$C640, $I$2:I640&lt;&gt;1)), 0), $I$2:I640, 1),1))
"),"#DIV/0!")</f>
        <v>#DIV/0!</v>
      </c>
      <c r="K640" s="7" t="e">
        <f t="shared" ca="1" si="12"/>
        <v>#DIV/0!</v>
      </c>
      <c r="L640" s="20" t="e">
        <f t="shared" ca="1" si="13"/>
        <v>#DIV/0!</v>
      </c>
      <c r="M640" s="21" t="e">
        <f t="shared" ca="1" si="14"/>
        <v>#DIV/0!</v>
      </c>
      <c r="N640" s="20" t="str">
        <f ca="1">IFERROR(__xludf.DUMMYFUNCTION("IF(COUNTIFS($C$2:C640, C640, $A$2:A640, ""&lt;="" &amp; A640) &lt; 30, STDEV.P(FILTER($G$2:G640, $C$2:C640 = C640)), STDEV.P(FILTER($G$2:G640, $C$2:C640 = C640, $A$2:A640 &gt;= A640 - 30)))
"),"#DIV/0!")</f>
        <v>#DIV/0!</v>
      </c>
    </row>
    <row r="641" spans="1:14" x14ac:dyDescent="0.2">
      <c r="A641" s="35"/>
      <c r="B641" s="40"/>
      <c r="C641" s="40"/>
      <c r="D641" s="31"/>
      <c r="E641" s="31"/>
      <c r="F641" s="31"/>
      <c r="G641" s="19" t="e">
        <f t="shared" si="10"/>
        <v>#DIV/0!</v>
      </c>
      <c r="H641" s="20" t="str">
        <f ca="1">IFERROR(__xludf.DUMMYFUNCTION("IF(COUNTIFS($C$2:C641, C641, $A$2:A641, ""&lt;="" &amp; A641) &lt; 30, AVERAGEIF($C$2:C641, C641, $G$2:G641), AVERAGE(FILTER($G$2:G641, $C$2:C641 = C641, $A$2:A641 &gt;= A641 - 30)))
"),"#DIV/0!")</f>
        <v>#DIV/0!</v>
      </c>
      <c r="I641" s="20" t="e">
        <f t="shared" ca="1" si="11"/>
        <v>#DIV/0!</v>
      </c>
      <c r="J641" s="20" t="str">
        <f ca="1">IFERROR(__xludf.DUMMYFUNCTION("IF(OR($I641=2, $I641=3), 0, IFERROR(COUNTIFS($C$2:C641, $C641, $A$2:A642, ""&gt;""&amp;IFERROR(MAX(FILTER($A$2:A642, $C$2:C641=$C641, $I$2:I641&lt;&gt;1)), 0), $I$2:I641, 1),1))
"),"#DIV/0!")</f>
        <v>#DIV/0!</v>
      </c>
      <c r="K641" s="7" t="e">
        <f t="shared" ca="1" si="12"/>
        <v>#DIV/0!</v>
      </c>
      <c r="L641" s="20" t="e">
        <f t="shared" ca="1" si="13"/>
        <v>#DIV/0!</v>
      </c>
      <c r="M641" s="21" t="e">
        <f t="shared" ca="1" si="14"/>
        <v>#DIV/0!</v>
      </c>
      <c r="N641" s="20" t="str">
        <f ca="1">IFERROR(__xludf.DUMMYFUNCTION("IF(COUNTIFS($C$2:C641, C641, $A$2:A641, ""&lt;="" &amp; A641) &lt; 30, STDEV.P(FILTER($G$2:G641, $C$2:C641 = C641)), STDEV.P(FILTER($G$2:G641, $C$2:C641 = C641, $A$2:A641 &gt;= A641 - 30)))
"),"#DIV/0!")</f>
        <v>#DIV/0!</v>
      </c>
    </row>
    <row r="642" spans="1:14" x14ac:dyDescent="0.2">
      <c r="A642" s="35"/>
      <c r="B642" s="40"/>
      <c r="C642" s="40"/>
      <c r="D642" s="31"/>
      <c r="E642" s="31"/>
      <c r="F642" s="31"/>
      <c r="G642" s="19" t="e">
        <f t="shared" si="10"/>
        <v>#DIV/0!</v>
      </c>
      <c r="H642" s="20" t="str">
        <f ca="1">IFERROR(__xludf.DUMMYFUNCTION("IF(COUNTIFS($C$2:C642, C642, $A$2:A642, ""&lt;="" &amp; A642) &lt; 30, AVERAGEIF($C$2:C642, C642, $G$2:G642), AVERAGE(FILTER($G$2:G642, $C$2:C642 = C642, $A$2:A642 &gt;= A642 - 30)))
"),"#DIV/0!")</f>
        <v>#DIV/0!</v>
      </c>
      <c r="I642" s="20" t="e">
        <f t="shared" ca="1" si="11"/>
        <v>#DIV/0!</v>
      </c>
      <c r="J642" s="20" t="str">
        <f ca="1">IFERROR(__xludf.DUMMYFUNCTION("IF(OR($I642=2, $I642=3), 0, IFERROR(COUNTIFS($C$2:C642, $C642, $A$2:A643, ""&gt;""&amp;IFERROR(MAX(FILTER($A$2:A643, $C$2:C642=$C642, $I$2:I642&lt;&gt;1)), 0), $I$2:I642, 1),1))
"),"#DIV/0!")</f>
        <v>#DIV/0!</v>
      </c>
      <c r="K642" s="7" t="e">
        <f t="shared" ca="1" si="12"/>
        <v>#DIV/0!</v>
      </c>
      <c r="L642" s="20" t="e">
        <f t="shared" ca="1" si="13"/>
        <v>#DIV/0!</v>
      </c>
      <c r="M642" s="21" t="e">
        <f t="shared" ca="1" si="14"/>
        <v>#DIV/0!</v>
      </c>
      <c r="N642" s="20" t="str">
        <f ca="1">IFERROR(__xludf.DUMMYFUNCTION("IF(COUNTIFS($C$2:C642, C642, $A$2:A642, ""&lt;="" &amp; A642) &lt; 30, STDEV.P(FILTER($G$2:G642, $C$2:C642 = C642)), STDEV.P(FILTER($G$2:G642, $C$2:C642 = C642, $A$2:A642 &gt;= A642 - 30)))
"),"#DIV/0!")</f>
        <v>#DIV/0!</v>
      </c>
    </row>
    <row r="643" spans="1:14" x14ac:dyDescent="0.2">
      <c r="A643" s="35"/>
      <c r="B643" s="40"/>
      <c r="C643" s="40"/>
      <c r="D643" s="31"/>
      <c r="E643" s="31"/>
      <c r="F643" s="31"/>
      <c r="G643" s="19" t="e">
        <f t="shared" si="10"/>
        <v>#DIV/0!</v>
      </c>
      <c r="H643" s="20" t="str">
        <f ca="1">IFERROR(__xludf.DUMMYFUNCTION("IF(COUNTIFS($C$2:C643, C643, $A$2:A643, ""&lt;="" &amp; A643) &lt; 30, AVERAGEIF($C$2:C643, C643, $G$2:G643), AVERAGE(FILTER($G$2:G643, $C$2:C643 = C643, $A$2:A643 &gt;= A643 - 30)))
"),"#DIV/0!")</f>
        <v>#DIV/0!</v>
      </c>
      <c r="I643" s="20" t="e">
        <f t="shared" ca="1" si="11"/>
        <v>#DIV/0!</v>
      </c>
      <c r="J643" s="20" t="str">
        <f ca="1">IFERROR(__xludf.DUMMYFUNCTION("IF(OR($I643=2, $I643=3), 0, IFERROR(COUNTIFS($C$2:C643, $C643, $A$2:A644, ""&gt;""&amp;IFERROR(MAX(FILTER($A$2:A644, $C$2:C643=$C643, $I$2:I643&lt;&gt;1)), 0), $I$2:I643, 1),1))
"),"#DIV/0!")</f>
        <v>#DIV/0!</v>
      </c>
      <c r="K643" s="7" t="e">
        <f t="shared" ca="1" si="12"/>
        <v>#DIV/0!</v>
      </c>
      <c r="L643" s="20" t="e">
        <f t="shared" ca="1" si="13"/>
        <v>#DIV/0!</v>
      </c>
      <c r="M643" s="21" t="e">
        <f t="shared" ca="1" si="14"/>
        <v>#DIV/0!</v>
      </c>
      <c r="N643" s="20" t="str">
        <f ca="1">IFERROR(__xludf.DUMMYFUNCTION("IF(COUNTIFS($C$2:C643, C643, $A$2:A643, ""&lt;="" &amp; A643) &lt; 30, STDEV.P(FILTER($G$2:G643, $C$2:C643 = C643)), STDEV.P(FILTER($G$2:G643, $C$2:C643 = C643, $A$2:A643 &gt;= A643 - 30)))
"),"#DIV/0!")</f>
        <v>#DIV/0!</v>
      </c>
    </row>
    <row r="644" spans="1:14" x14ac:dyDescent="0.2">
      <c r="A644" s="35"/>
      <c r="B644" s="40"/>
      <c r="C644" s="40"/>
      <c r="D644" s="31"/>
      <c r="E644" s="31"/>
      <c r="F644" s="31"/>
      <c r="G644" s="19" t="e">
        <f t="shared" si="10"/>
        <v>#DIV/0!</v>
      </c>
      <c r="H644" s="20" t="str">
        <f ca="1">IFERROR(__xludf.DUMMYFUNCTION("IF(COUNTIFS($C$2:C644, C644, $A$2:A644, ""&lt;="" &amp; A644) &lt; 30, AVERAGEIF($C$2:C644, C644, $G$2:G644), AVERAGE(FILTER($G$2:G644, $C$2:C644 = C644, $A$2:A644 &gt;= A644 - 30)))
"),"#DIV/0!")</f>
        <v>#DIV/0!</v>
      </c>
      <c r="I644" s="20" t="e">
        <f t="shared" ca="1" si="11"/>
        <v>#DIV/0!</v>
      </c>
      <c r="J644" s="20" t="str">
        <f ca="1">IFERROR(__xludf.DUMMYFUNCTION("IF(OR($I644=2, $I644=3), 0, IFERROR(COUNTIFS($C$2:C644, $C644, $A$2:A645, ""&gt;""&amp;IFERROR(MAX(FILTER($A$2:A645, $C$2:C644=$C644, $I$2:I644&lt;&gt;1)), 0), $I$2:I644, 1),1))
"),"#DIV/0!")</f>
        <v>#DIV/0!</v>
      </c>
      <c r="K644" s="7" t="e">
        <f t="shared" ca="1" si="12"/>
        <v>#DIV/0!</v>
      </c>
      <c r="L644" s="20" t="e">
        <f t="shared" ca="1" si="13"/>
        <v>#DIV/0!</v>
      </c>
      <c r="M644" s="21" t="e">
        <f t="shared" ca="1" si="14"/>
        <v>#DIV/0!</v>
      </c>
      <c r="N644" s="20" t="str">
        <f ca="1">IFERROR(__xludf.DUMMYFUNCTION("IF(COUNTIFS($C$2:C644, C644, $A$2:A644, ""&lt;="" &amp; A644) &lt; 30, STDEV.P(FILTER($G$2:G644, $C$2:C644 = C644)), STDEV.P(FILTER($G$2:G644, $C$2:C644 = C644, $A$2:A644 &gt;= A644 - 30)))
"),"#DIV/0!")</f>
        <v>#DIV/0!</v>
      </c>
    </row>
    <row r="645" spans="1:14" x14ac:dyDescent="0.2">
      <c r="A645" s="35"/>
      <c r="B645" s="40"/>
      <c r="C645" s="40"/>
      <c r="D645" s="31"/>
      <c r="E645" s="31"/>
      <c r="F645" s="31"/>
      <c r="G645" s="19" t="e">
        <f t="shared" si="10"/>
        <v>#DIV/0!</v>
      </c>
      <c r="H645" s="20" t="str">
        <f ca="1">IFERROR(__xludf.DUMMYFUNCTION("IF(COUNTIFS($C$2:C645, C645, $A$2:A645, ""&lt;="" &amp; A645) &lt; 30, AVERAGEIF($C$2:C645, C645, $G$2:G645), AVERAGE(FILTER($G$2:G645, $C$2:C645 = C645, $A$2:A645 &gt;= A645 - 30)))
"),"#DIV/0!")</f>
        <v>#DIV/0!</v>
      </c>
      <c r="I645" s="20" t="e">
        <f t="shared" ca="1" si="11"/>
        <v>#DIV/0!</v>
      </c>
      <c r="J645" s="20" t="str">
        <f ca="1">IFERROR(__xludf.DUMMYFUNCTION("IF(OR($I645=2, $I645=3), 0, IFERROR(COUNTIFS($C$2:C645, $C645, $A$2:A646, ""&gt;""&amp;IFERROR(MAX(FILTER($A$2:A646, $C$2:C645=$C645, $I$2:I645&lt;&gt;1)), 0), $I$2:I645, 1),1))
"),"#DIV/0!")</f>
        <v>#DIV/0!</v>
      </c>
      <c r="K645" s="7" t="e">
        <f t="shared" ca="1" si="12"/>
        <v>#DIV/0!</v>
      </c>
      <c r="L645" s="20" t="e">
        <f t="shared" ca="1" si="13"/>
        <v>#DIV/0!</v>
      </c>
      <c r="M645" s="21" t="e">
        <f t="shared" ca="1" si="14"/>
        <v>#DIV/0!</v>
      </c>
      <c r="N645" s="20" t="str">
        <f ca="1">IFERROR(__xludf.DUMMYFUNCTION("IF(COUNTIFS($C$2:C645, C645, $A$2:A645, ""&lt;="" &amp; A645) &lt; 30, STDEV.P(FILTER($G$2:G645, $C$2:C645 = C645)), STDEV.P(FILTER($G$2:G645, $C$2:C645 = C645, $A$2:A645 &gt;= A645 - 30)))
"),"#DIV/0!")</f>
        <v>#DIV/0!</v>
      </c>
    </row>
    <row r="646" spans="1:14" x14ac:dyDescent="0.2">
      <c r="A646" s="35"/>
      <c r="B646" s="40"/>
      <c r="C646" s="40"/>
      <c r="D646" s="31"/>
      <c r="E646" s="31"/>
      <c r="F646" s="31"/>
      <c r="G646" s="19" t="e">
        <f t="shared" si="10"/>
        <v>#DIV/0!</v>
      </c>
      <c r="H646" s="20" t="str">
        <f ca="1">IFERROR(__xludf.DUMMYFUNCTION("IF(COUNTIFS($C$2:C646, C646, $A$2:A646, ""&lt;="" &amp; A646) &lt; 30, AVERAGEIF($C$2:C646, C646, $G$2:G646), AVERAGE(FILTER($G$2:G646, $C$2:C646 = C646, $A$2:A646 &gt;= A646 - 30)))
"),"#DIV/0!")</f>
        <v>#DIV/0!</v>
      </c>
      <c r="I646" s="20" t="e">
        <f t="shared" ca="1" si="11"/>
        <v>#DIV/0!</v>
      </c>
      <c r="J646" s="20" t="str">
        <f ca="1">IFERROR(__xludf.DUMMYFUNCTION("IF(OR($I646=2, $I646=3), 0, IFERROR(COUNTIFS($C$2:C646, $C646, $A$2:A647, ""&gt;""&amp;IFERROR(MAX(FILTER($A$2:A647, $C$2:C646=$C646, $I$2:I646&lt;&gt;1)), 0), $I$2:I646, 1),1))
"),"#DIV/0!")</f>
        <v>#DIV/0!</v>
      </c>
      <c r="K646" s="7" t="e">
        <f t="shared" ca="1" si="12"/>
        <v>#DIV/0!</v>
      </c>
      <c r="L646" s="20" t="e">
        <f t="shared" ca="1" si="13"/>
        <v>#DIV/0!</v>
      </c>
      <c r="M646" s="21" t="e">
        <f t="shared" ca="1" si="14"/>
        <v>#DIV/0!</v>
      </c>
      <c r="N646" s="20" t="str">
        <f ca="1">IFERROR(__xludf.DUMMYFUNCTION("IF(COUNTIFS($C$2:C646, C646, $A$2:A646, ""&lt;="" &amp; A646) &lt; 30, STDEV.P(FILTER($G$2:G646, $C$2:C646 = C646)), STDEV.P(FILTER($G$2:G646, $C$2:C646 = C646, $A$2:A646 &gt;= A646 - 30)))
"),"#DIV/0!")</f>
        <v>#DIV/0!</v>
      </c>
    </row>
    <row r="647" spans="1:14" x14ac:dyDescent="0.2">
      <c r="A647" s="35"/>
      <c r="B647" s="40"/>
      <c r="C647" s="40"/>
      <c r="D647" s="31"/>
      <c r="E647" s="31"/>
      <c r="F647" s="31"/>
      <c r="G647" s="19" t="e">
        <f t="shared" si="10"/>
        <v>#DIV/0!</v>
      </c>
      <c r="H647" s="20" t="str">
        <f ca="1">IFERROR(__xludf.DUMMYFUNCTION("IF(COUNTIFS($C$2:C647, C647, $A$2:A647, ""&lt;="" &amp; A647) &lt; 30, AVERAGEIF($C$2:C647, C647, $G$2:G647), AVERAGE(FILTER($G$2:G647, $C$2:C647 = C647, $A$2:A647 &gt;= A647 - 30)))
"),"#DIV/0!")</f>
        <v>#DIV/0!</v>
      </c>
      <c r="I647" s="20" t="e">
        <f t="shared" ca="1" si="11"/>
        <v>#DIV/0!</v>
      </c>
      <c r="J647" s="20" t="str">
        <f ca="1">IFERROR(__xludf.DUMMYFUNCTION("IF(OR($I647=2, $I647=3), 0, IFERROR(COUNTIFS($C$2:C647, $C647, $A$2:A648, ""&gt;""&amp;IFERROR(MAX(FILTER($A$2:A648, $C$2:C647=$C647, $I$2:I647&lt;&gt;1)), 0), $I$2:I647, 1),1))
"),"#DIV/0!")</f>
        <v>#DIV/0!</v>
      </c>
      <c r="K647" s="7" t="e">
        <f t="shared" ca="1" si="12"/>
        <v>#DIV/0!</v>
      </c>
      <c r="L647" s="20" t="e">
        <f t="shared" ca="1" si="13"/>
        <v>#DIV/0!</v>
      </c>
      <c r="M647" s="21" t="e">
        <f t="shared" ca="1" si="14"/>
        <v>#DIV/0!</v>
      </c>
      <c r="N647" s="20" t="str">
        <f ca="1">IFERROR(__xludf.DUMMYFUNCTION("IF(COUNTIFS($C$2:C647, C647, $A$2:A647, ""&lt;="" &amp; A647) &lt; 30, STDEV.P(FILTER($G$2:G647, $C$2:C647 = C647)), STDEV.P(FILTER($G$2:G647, $C$2:C647 = C647, $A$2:A647 &gt;= A647 - 30)))
"),"#DIV/0!")</f>
        <v>#DIV/0!</v>
      </c>
    </row>
    <row r="648" spans="1:14" x14ac:dyDescent="0.2">
      <c r="A648" s="35"/>
      <c r="B648" s="40"/>
      <c r="C648" s="40"/>
      <c r="D648" s="31"/>
      <c r="E648" s="31"/>
      <c r="F648" s="31"/>
      <c r="G648" s="19" t="e">
        <f t="shared" si="10"/>
        <v>#DIV/0!</v>
      </c>
      <c r="H648" s="20" t="str">
        <f ca="1">IFERROR(__xludf.DUMMYFUNCTION("IF(COUNTIFS($C$2:C648, C648, $A$2:A648, ""&lt;="" &amp; A648) &lt; 30, AVERAGEIF($C$2:C648, C648, $G$2:G648), AVERAGE(FILTER($G$2:G648, $C$2:C648 = C648, $A$2:A648 &gt;= A648 - 30)))
"),"#DIV/0!")</f>
        <v>#DIV/0!</v>
      </c>
      <c r="I648" s="20" t="e">
        <f t="shared" ca="1" si="11"/>
        <v>#DIV/0!</v>
      </c>
      <c r="J648" s="20" t="str">
        <f ca="1">IFERROR(__xludf.DUMMYFUNCTION("IF(OR($I648=2, $I648=3), 0, IFERROR(COUNTIFS($C$2:C648, $C648, $A$2:A649, ""&gt;""&amp;IFERROR(MAX(FILTER($A$2:A649, $C$2:C648=$C648, $I$2:I648&lt;&gt;1)), 0), $I$2:I648, 1),1))
"),"#DIV/0!")</f>
        <v>#DIV/0!</v>
      </c>
      <c r="K648" s="7" t="e">
        <f t="shared" ca="1" si="12"/>
        <v>#DIV/0!</v>
      </c>
      <c r="L648" s="20" t="e">
        <f t="shared" ca="1" si="13"/>
        <v>#DIV/0!</v>
      </c>
      <c r="M648" s="21" t="e">
        <f t="shared" ca="1" si="14"/>
        <v>#DIV/0!</v>
      </c>
      <c r="N648" s="20" t="str">
        <f ca="1">IFERROR(__xludf.DUMMYFUNCTION("IF(COUNTIFS($C$2:C648, C648, $A$2:A648, ""&lt;="" &amp; A648) &lt; 30, STDEV.P(FILTER($G$2:G648, $C$2:C648 = C648)), STDEV.P(FILTER($G$2:G648, $C$2:C648 = C648, $A$2:A648 &gt;= A648 - 30)))
"),"#DIV/0!")</f>
        <v>#DIV/0!</v>
      </c>
    </row>
    <row r="649" spans="1:14" x14ac:dyDescent="0.2">
      <c r="A649" s="35"/>
      <c r="B649" s="40"/>
      <c r="C649" s="40"/>
      <c r="D649" s="31"/>
      <c r="E649" s="31"/>
      <c r="F649" s="31"/>
      <c r="G649" s="19" t="e">
        <f t="shared" si="10"/>
        <v>#DIV/0!</v>
      </c>
      <c r="H649" s="20" t="str">
        <f ca="1">IFERROR(__xludf.DUMMYFUNCTION("IF(COUNTIFS($C$2:C649, C649, $A$2:A649, ""&lt;="" &amp; A649) &lt; 30, AVERAGEIF($C$2:C649, C649, $G$2:G649), AVERAGE(FILTER($G$2:G649, $C$2:C649 = C649, $A$2:A649 &gt;= A649 - 30)))
"),"#DIV/0!")</f>
        <v>#DIV/0!</v>
      </c>
      <c r="I649" s="20" t="e">
        <f t="shared" ca="1" si="11"/>
        <v>#DIV/0!</v>
      </c>
      <c r="J649" s="20" t="str">
        <f ca="1">IFERROR(__xludf.DUMMYFUNCTION("IF(OR($I649=2, $I649=3), 0, IFERROR(COUNTIFS($C$2:C649, $C649, $A$2:A650, ""&gt;""&amp;IFERROR(MAX(FILTER($A$2:A650, $C$2:C649=$C649, $I$2:I649&lt;&gt;1)), 0), $I$2:I649, 1),1))
"),"#DIV/0!")</f>
        <v>#DIV/0!</v>
      </c>
      <c r="K649" s="7" t="e">
        <f t="shared" ca="1" si="12"/>
        <v>#DIV/0!</v>
      </c>
      <c r="L649" s="20" t="e">
        <f t="shared" ca="1" si="13"/>
        <v>#DIV/0!</v>
      </c>
      <c r="M649" s="21" t="e">
        <f t="shared" ca="1" si="14"/>
        <v>#DIV/0!</v>
      </c>
      <c r="N649" s="20" t="str">
        <f ca="1">IFERROR(__xludf.DUMMYFUNCTION("IF(COUNTIFS($C$2:C649, C649, $A$2:A649, ""&lt;="" &amp; A649) &lt; 30, STDEV.P(FILTER($G$2:G649, $C$2:C649 = C649)), STDEV.P(FILTER($G$2:G649, $C$2:C649 = C649, $A$2:A649 &gt;= A649 - 30)))
"),"#DIV/0!")</f>
        <v>#DIV/0!</v>
      </c>
    </row>
    <row r="650" spans="1:14" x14ac:dyDescent="0.2">
      <c r="A650" s="35"/>
      <c r="B650" s="40"/>
      <c r="C650" s="40"/>
      <c r="D650" s="31"/>
      <c r="E650" s="31"/>
      <c r="F650" s="31"/>
      <c r="G650" s="19" t="e">
        <f t="shared" si="10"/>
        <v>#DIV/0!</v>
      </c>
      <c r="H650" s="20" t="str">
        <f ca="1">IFERROR(__xludf.DUMMYFUNCTION("IF(COUNTIFS($C$2:C650, C650, $A$2:A650, ""&lt;="" &amp; A650) &lt; 30, AVERAGEIF($C$2:C650, C650, $G$2:G650), AVERAGE(FILTER($G$2:G650, $C$2:C650 = C650, $A$2:A650 &gt;= A650 - 30)))
"),"#DIV/0!")</f>
        <v>#DIV/0!</v>
      </c>
      <c r="I650" s="20" t="e">
        <f t="shared" ca="1" si="11"/>
        <v>#DIV/0!</v>
      </c>
      <c r="J650" s="20" t="str">
        <f ca="1">IFERROR(__xludf.DUMMYFUNCTION("IF(OR($I650=2, $I650=3), 0, IFERROR(COUNTIFS($C$2:C650, $C650, $A$2:A651, ""&gt;""&amp;IFERROR(MAX(FILTER($A$2:A651, $C$2:C650=$C650, $I$2:I650&lt;&gt;1)), 0), $I$2:I650, 1),1))
"),"#DIV/0!")</f>
        <v>#DIV/0!</v>
      </c>
      <c r="K650" s="7" t="e">
        <f t="shared" ca="1" si="12"/>
        <v>#DIV/0!</v>
      </c>
      <c r="L650" s="20" t="e">
        <f t="shared" ca="1" si="13"/>
        <v>#DIV/0!</v>
      </c>
      <c r="M650" s="21" t="e">
        <f t="shared" ca="1" si="14"/>
        <v>#DIV/0!</v>
      </c>
      <c r="N650" s="20" t="str">
        <f ca="1">IFERROR(__xludf.DUMMYFUNCTION("IF(COUNTIFS($C$2:C650, C650, $A$2:A650, ""&lt;="" &amp; A650) &lt; 30, STDEV.P(FILTER($G$2:G650, $C$2:C650 = C650)), STDEV.P(FILTER($G$2:G650, $C$2:C650 = C650, $A$2:A650 &gt;= A650 - 30)))
"),"#DIV/0!")</f>
        <v>#DIV/0!</v>
      </c>
    </row>
    <row r="651" spans="1:14" x14ac:dyDescent="0.2">
      <c r="A651" s="35"/>
      <c r="B651" s="40"/>
      <c r="C651" s="40"/>
      <c r="D651" s="31"/>
      <c r="E651" s="31"/>
      <c r="F651" s="31"/>
      <c r="G651" s="19" t="e">
        <f t="shared" si="10"/>
        <v>#DIV/0!</v>
      </c>
      <c r="H651" s="20" t="str">
        <f ca="1">IFERROR(__xludf.DUMMYFUNCTION("IF(COUNTIFS($C$2:C651, C651, $A$2:A651, ""&lt;="" &amp; A651) &lt; 30, AVERAGEIF($C$2:C651, C651, $G$2:G651), AVERAGE(FILTER($G$2:G651, $C$2:C651 = C651, $A$2:A651 &gt;= A651 - 30)))
"),"#DIV/0!")</f>
        <v>#DIV/0!</v>
      </c>
      <c r="I651" s="20" t="e">
        <f t="shared" ca="1" si="11"/>
        <v>#DIV/0!</v>
      </c>
      <c r="J651" s="20" t="str">
        <f ca="1">IFERROR(__xludf.DUMMYFUNCTION("IF(OR($I651=2, $I651=3), 0, IFERROR(COUNTIFS($C$2:C651, $C651, $A$2:A652, ""&gt;""&amp;IFERROR(MAX(FILTER($A$2:A652, $C$2:C651=$C651, $I$2:I651&lt;&gt;1)), 0), $I$2:I651, 1),1))
"),"#DIV/0!")</f>
        <v>#DIV/0!</v>
      </c>
      <c r="K651" s="7" t="e">
        <f t="shared" ca="1" si="12"/>
        <v>#DIV/0!</v>
      </c>
      <c r="L651" s="20" t="e">
        <f t="shared" ca="1" si="13"/>
        <v>#DIV/0!</v>
      </c>
      <c r="M651" s="21" t="e">
        <f t="shared" ca="1" si="14"/>
        <v>#DIV/0!</v>
      </c>
      <c r="N651" s="20" t="str">
        <f ca="1">IFERROR(__xludf.DUMMYFUNCTION("IF(COUNTIFS($C$2:C651, C651, $A$2:A651, ""&lt;="" &amp; A651) &lt; 30, STDEV.P(FILTER($G$2:G651, $C$2:C651 = C651)), STDEV.P(FILTER($G$2:G651, $C$2:C651 = C651, $A$2:A651 &gt;= A651 - 30)))
"),"#DIV/0!")</f>
        <v>#DIV/0!</v>
      </c>
    </row>
    <row r="652" spans="1:14" x14ac:dyDescent="0.2">
      <c r="A652" s="35"/>
      <c r="B652" s="40"/>
      <c r="C652" s="40"/>
      <c r="D652" s="31"/>
      <c r="E652" s="31"/>
      <c r="F652" s="31"/>
      <c r="G652" s="19" t="e">
        <f t="shared" si="10"/>
        <v>#DIV/0!</v>
      </c>
      <c r="H652" s="20" t="str">
        <f ca="1">IFERROR(__xludf.DUMMYFUNCTION("IF(COUNTIFS($C$2:C652, C652, $A$2:A652, ""&lt;="" &amp; A652) &lt; 30, AVERAGEIF($C$2:C652, C652, $G$2:G652), AVERAGE(FILTER($G$2:G652, $C$2:C652 = C652, $A$2:A652 &gt;= A652 - 30)))
"),"#DIV/0!")</f>
        <v>#DIV/0!</v>
      </c>
      <c r="I652" s="20" t="e">
        <f t="shared" ca="1" si="11"/>
        <v>#DIV/0!</v>
      </c>
      <c r="J652" s="20" t="str">
        <f ca="1">IFERROR(__xludf.DUMMYFUNCTION("IF(OR($I652=2, $I652=3), 0, IFERROR(COUNTIFS($C$2:C652, $C652, $A$2:A653, ""&gt;""&amp;IFERROR(MAX(FILTER($A$2:A653, $C$2:C652=$C652, $I$2:I652&lt;&gt;1)), 0), $I$2:I652, 1),1))
"),"#DIV/0!")</f>
        <v>#DIV/0!</v>
      </c>
      <c r="K652" s="7" t="e">
        <f t="shared" ca="1" si="12"/>
        <v>#DIV/0!</v>
      </c>
      <c r="L652" s="20" t="e">
        <f t="shared" ca="1" si="13"/>
        <v>#DIV/0!</v>
      </c>
      <c r="M652" s="21" t="e">
        <f t="shared" ca="1" si="14"/>
        <v>#DIV/0!</v>
      </c>
      <c r="N652" s="20" t="str">
        <f ca="1">IFERROR(__xludf.DUMMYFUNCTION("IF(COUNTIFS($C$2:C652, C652, $A$2:A652, ""&lt;="" &amp; A652) &lt; 30, STDEV.P(FILTER($G$2:G652, $C$2:C652 = C652)), STDEV.P(FILTER($G$2:G652, $C$2:C652 = C652, $A$2:A652 &gt;= A652 - 30)))
"),"#DIV/0!")</f>
        <v>#DIV/0!</v>
      </c>
    </row>
    <row r="653" spans="1:14" x14ac:dyDescent="0.2">
      <c r="A653" s="35"/>
      <c r="B653" s="40"/>
      <c r="C653" s="40"/>
      <c r="D653" s="31"/>
      <c r="E653" s="31"/>
      <c r="F653" s="31"/>
      <c r="G653" s="19" t="e">
        <f t="shared" si="10"/>
        <v>#DIV/0!</v>
      </c>
      <c r="H653" s="20" t="str">
        <f ca="1">IFERROR(__xludf.DUMMYFUNCTION("IF(COUNTIFS($C$2:C653, C653, $A$2:A653, ""&lt;="" &amp; A653) &lt; 30, AVERAGEIF($C$2:C653, C653, $G$2:G653), AVERAGE(FILTER($G$2:G653, $C$2:C653 = C653, $A$2:A653 &gt;= A653 - 30)))
"),"#DIV/0!")</f>
        <v>#DIV/0!</v>
      </c>
      <c r="I653" s="20" t="e">
        <f t="shared" ca="1" si="11"/>
        <v>#DIV/0!</v>
      </c>
      <c r="J653" s="20" t="str">
        <f ca="1">IFERROR(__xludf.DUMMYFUNCTION("IF(OR($I653=2, $I653=3), 0, IFERROR(COUNTIFS($C$2:C653, $C653, $A$2:A654, ""&gt;""&amp;IFERROR(MAX(FILTER($A$2:A654, $C$2:C653=$C653, $I$2:I653&lt;&gt;1)), 0), $I$2:I653, 1),1))
"),"#DIV/0!")</f>
        <v>#DIV/0!</v>
      </c>
      <c r="K653" s="7" t="e">
        <f t="shared" ca="1" si="12"/>
        <v>#DIV/0!</v>
      </c>
      <c r="L653" s="20" t="e">
        <f t="shared" ca="1" si="13"/>
        <v>#DIV/0!</v>
      </c>
      <c r="M653" s="21" t="e">
        <f t="shared" ca="1" si="14"/>
        <v>#DIV/0!</v>
      </c>
      <c r="N653" s="20" t="str">
        <f ca="1">IFERROR(__xludf.DUMMYFUNCTION("IF(COUNTIFS($C$2:C653, C653, $A$2:A653, ""&lt;="" &amp; A653) &lt; 30, STDEV.P(FILTER($G$2:G653, $C$2:C653 = C653)), STDEV.P(FILTER($G$2:G653, $C$2:C653 = C653, $A$2:A653 &gt;= A653 - 30)))
"),"#DIV/0!")</f>
        <v>#DIV/0!</v>
      </c>
    </row>
    <row r="654" spans="1:14" x14ac:dyDescent="0.2">
      <c r="A654" s="35"/>
      <c r="B654" s="40"/>
      <c r="C654" s="40"/>
      <c r="D654" s="31"/>
      <c r="E654" s="31"/>
      <c r="F654" s="31"/>
      <c r="G654" s="19" t="e">
        <f t="shared" si="10"/>
        <v>#DIV/0!</v>
      </c>
      <c r="H654" s="20" t="str">
        <f ca="1">IFERROR(__xludf.DUMMYFUNCTION("IF(COUNTIFS($C$2:C654, C654, $A$2:A654, ""&lt;="" &amp; A654) &lt; 30, AVERAGEIF($C$2:C654, C654, $G$2:G654), AVERAGE(FILTER($G$2:G654, $C$2:C654 = C654, $A$2:A654 &gt;= A654 - 30)))
"),"#DIV/0!")</f>
        <v>#DIV/0!</v>
      </c>
      <c r="I654" s="20" t="e">
        <f t="shared" ca="1" si="11"/>
        <v>#DIV/0!</v>
      </c>
      <c r="J654" s="20" t="str">
        <f ca="1">IFERROR(__xludf.DUMMYFUNCTION("IF(OR($I654=2, $I654=3), 0, IFERROR(COUNTIFS($C$2:C654, $C654, $A$2:A655, ""&gt;""&amp;IFERROR(MAX(FILTER($A$2:A655, $C$2:C654=$C654, $I$2:I654&lt;&gt;1)), 0), $I$2:I654, 1),1))
"),"#DIV/0!")</f>
        <v>#DIV/0!</v>
      </c>
      <c r="K654" s="7" t="e">
        <f t="shared" ca="1" si="12"/>
        <v>#DIV/0!</v>
      </c>
      <c r="L654" s="20" t="e">
        <f t="shared" ca="1" si="13"/>
        <v>#DIV/0!</v>
      </c>
      <c r="M654" s="21" t="e">
        <f t="shared" ca="1" si="14"/>
        <v>#DIV/0!</v>
      </c>
      <c r="N654" s="20" t="str">
        <f ca="1">IFERROR(__xludf.DUMMYFUNCTION("IF(COUNTIFS($C$2:C654, C654, $A$2:A654, ""&lt;="" &amp; A654) &lt; 30, STDEV.P(FILTER($G$2:G654, $C$2:C654 = C654)), STDEV.P(FILTER($G$2:G654, $C$2:C654 = C654, $A$2:A654 &gt;= A654 - 30)))
"),"#DIV/0!")</f>
        <v>#DIV/0!</v>
      </c>
    </row>
    <row r="655" spans="1:14" x14ac:dyDescent="0.2">
      <c r="A655" s="35"/>
      <c r="B655" s="40"/>
      <c r="C655" s="40"/>
      <c r="D655" s="31"/>
      <c r="E655" s="31"/>
      <c r="F655" s="31"/>
      <c r="G655" s="19" t="e">
        <f t="shared" si="10"/>
        <v>#DIV/0!</v>
      </c>
      <c r="H655" s="20" t="str">
        <f ca="1">IFERROR(__xludf.DUMMYFUNCTION("IF(COUNTIFS($C$2:C655, C655, $A$2:A655, ""&lt;="" &amp; A655) &lt; 30, AVERAGEIF($C$2:C655, C655, $G$2:G655), AVERAGE(FILTER($G$2:G655, $C$2:C655 = C655, $A$2:A655 &gt;= A655 - 30)))
"),"#DIV/0!")</f>
        <v>#DIV/0!</v>
      </c>
      <c r="I655" s="20" t="e">
        <f t="shared" ca="1" si="11"/>
        <v>#DIV/0!</v>
      </c>
      <c r="J655" s="20" t="str">
        <f ca="1">IFERROR(__xludf.DUMMYFUNCTION("IF(OR($I655=2, $I655=3), 0, IFERROR(COUNTIFS($C$2:C655, $C655, $A$2:A656, ""&gt;""&amp;IFERROR(MAX(FILTER($A$2:A656, $C$2:C655=$C655, $I$2:I655&lt;&gt;1)), 0), $I$2:I655, 1),1))
"),"#DIV/0!")</f>
        <v>#DIV/0!</v>
      </c>
      <c r="K655" s="7" t="e">
        <f t="shared" ca="1" si="12"/>
        <v>#DIV/0!</v>
      </c>
      <c r="L655" s="20" t="e">
        <f t="shared" ca="1" si="13"/>
        <v>#DIV/0!</v>
      </c>
      <c r="M655" s="21" t="e">
        <f t="shared" ca="1" si="14"/>
        <v>#DIV/0!</v>
      </c>
      <c r="N655" s="20" t="str">
        <f ca="1">IFERROR(__xludf.DUMMYFUNCTION("IF(COUNTIFS($C$2:C655, C655, $A$2:A655, ""&lt;="" &amp; A655) &lt; 30, STDEV.P(FILTER($G$2:G655, $C$2:C655 = C655)), STDEV.P(FILTER($G$2:G655, $C$2:C655 = C655, $A$2:A655 &gt;= A655 - 30)))
"),"#DIV/0!")</f>
        <v>#DIV/0!</v>
      </c>
    </row>
    <row r="656" spans="1:14" x14ac:dyDescent="0.2">
      <c r="A656" s="35"/>
      <c r="B656" s="40"/>
      <c r="C656" s="40"/>
      <c r="D656" s="31"/>
      <c r="E656" s="31"/>
      <c r="F656" s="31"/>
      <c r="G656" s="19" t="e">
        <f t="shared" si="10"/>
        <v>#DIV/0!</v>
      </c>
      <c r="H656" s="20" t="str">
        <f ca="1">IFERROR(__xludf.DUMMYFUNCTION("IF(COUNTIFS($C$2:C656, C656, $A$2:A656, ""&lt;="" &amp; A656) &lt; 30, AVERAGEIF($C$2:C656, C656, $G$2:G656), AVERAGE(FILTER($G$2:G656, $C$2:C656 = C656, $A$2:A656 &gt;= A656 - 30)))
"),"#DIV/0!")</f>
        <v>#DIV/0!</v>
      </c>
      <c r="I656" s="20" t="e">
        <f t="shared" ca="1" si="11"/>
        <v>#DIV/0!</v>
      </c>
      <c r="J656" s="20" t="str">
        <f ca="1">IFERROR(__xludf.DUMMYFUNCTION("IF(OR($I656=2, $I656=3), 0, IFERROR(COUNTIFS($C$2:C656, $C656, $A$2:A657, ""&gt;""&amp;IFERROR(MAX(FILTER($A$2:A657, $C$2:C656=$C656, $I$2:I656&lt;&gt;1)), 0), $I$2:I656, 1),1))
"),"#DIV/0!")</f>
        <v>#DIV/0!</v>
      </c>
      <c r="K656" s="7" t="e">
        <f t="shared" ca="1" si="12"/>
        <v>#DIV/0!</v>
      </c>
      <c r="L656" s="20" t="e">
        <f t="shared" ca="1" si="13"/>
        <v>#DIV/0!</v>
      </c>
      <c r="M656" s="21" t="e">
        <f t="shared" ca="1" si="14"/>
        <v>#DIV/0!</v>
      </c>
      <c r="N656" s="20" t="str">
        <f ca="1">IFERROR(__xludf.DUMMYFUNCTION("IF(COUNTIFS($C$2:C656, C656, $A$2:A656, ""&lt;="" &amp; A656) &lt; 30, STDEV.P(FILTER($G$2:G656, $C$2:C656 = C656)), STDEV.P(FILTER($G$2:G656, $C$2:C656 = C656, $A$2:A656 &gt;= A656 - 30)))
"),"#DIV/0!")</f>
        <v>#DIV/0!</v>
      </c>
    </row>
    <row r="657" spans="1:14" x14ac:dyDescent="0.2">
      <c r="A657" s="35"/>
      <c r="B657" s="40"/>
      <c r="C657" s="40"/>
      <c r="D657" s="31"/>
      <c r="E657" s="31"/>
      <c r="F657" s="31"/>
      <c r="G657" s="19" t="e">
        <f t="shared" si="10"/>
        <v>#DIV/0!</v>
      </c>
      <c r="H657" s="20" t="str">
        <f ca="1">IFERROR(__xludf.DUMMYFUNCTION("IF(COUNTIFS($C$2:C657, C657, $A$2:A657, ""&lt;="" &amp; A657) &lt; 30, AVERAGEIF($C$2:C657, C657, $G$2:G657), AVERAGE(FILTER($G$2:G657, $C$2:C657 = C657, $A$2:A657 &gt;= A657 - 30)))
"),"#DIV/0!")</f>
        <v>#DIV/0!</v>
      </c>
      <c r="I657" s="20" t="e">
        <f t="shared" ca="1" si="11"/>
        <v>#DIV/0!</v>
      </c>
      <c r="J657" s="20" t="str">
        <f ca="1">IFERROR(__xludf.DUMMYFUNCTION("IF(OR($I657=2, $I657=3), 0, IFERROR(COUNTIFS($C$2:C657, $C657, $A$2:A658, ""&gt;""&amp;IFERROR(MAX(FILTER($A$2:A658, $C$2:C657=$C657, $I$2:I657&lt;&gt;1)), 0), $I$2:I657, 1),1))
"),"#DIV/0!")</f>
        <v>#DIV/0!</v>
      </c>
      <c r="K657" s="7" t="e">
        <f t="shared" ca="1" si="12"/>
        <v>#DIV/0!</v>
      </c>
      <c r="L657" s="20" t="e">
        <f t="shared" ca="1" si="13"/>
        <v>#DIV/0!</v>
      </c>
      <c r="M657" s="21" t="e">
        <f t="shared" ca="1" si="14"/>
        <v>#DIV/0!</v>
      </c>
      <c r="N657" s="20" t="str">
        <f ca="1">IFERROR(__xludf.DUMMYFUNCTION("IF(COUNTIFS($C$2:C657, C657, $A$2:A657, ""&lt;="" &amp; A657) &lt; 30, STDEV.P(FILTER($G$2:G657, $C$2:C657 = C657)), STDEV.P(FILTER($G$2:G657, $C$2:C657 = C657, $A$2:A657 &gt;= A657 - 30)))
"),"#DIV/0!")</f>
        <v>#DIV/0!</v>
      </c>
    </row>
    <row r="658" spans="1:14" x14ac:dyDescent="0.2">
      <c r="A658" s="35"/>
      <c r="B658" s="40"/>
      <c r="C658" s="40"/>
      <c r="D658" s="31"/>
      <c r="E658" s="31"/>
      <c r="F658" s="31"/>
      <c r="G658" s="19" t="e">
        <f t="shared" si="10"/>
        <v>#DIV/0!</v>
      </c>
      <c r="H658" s="20" t="str">
        <f ca="1">IFERROR(__xludf.DUMMYFUNCTION("IF(COUNTIFS($C$2:C658, C658, $A$2:A658, ""&lt;="" &amp; A658) &lt; 30, AVERAGEIF($C$2:C658, C658, $G$2:G658), AVERAGE(FILTER($G$2:G658, $C$2:C658 = C658, $A$2:A658 &gt;= A658 - 30)))
"),"#DIV/0!")</f>
        <v>#DIV/0!</v>
      </c>
      <c r="I658" s="20" t="e">
        <f t="shared" ca="1" si="11"/>
        <v>#DIV/0!</v>
      </c>
      <c r="J658" s="20" t="str">
        <f ca="1">IFERROR(__xludf.DUMMYFUNCTION("IF(OR($I658=2, $I658=3), 0, IFERROR(COUNTIFS($C$2:C658, $C658, $A$2:A659, ""&gt;""&amp;IFERROR(MAX(FILTER($A$2:A659, $C$2:C658=$C658, $I$2:I658&lt;&gt;1)), 0), $I$2:I658, 1),1))
"),"#DIV/0!")</f>
        <v>#DIV/0!</v>
      </c>
      <c r="K658" s="7" t="e">
        <f t="shared" ca="1" si="12"/>
        <v>#DIV/0!</v>
      </c>
      <c r="L658" s="20" t="e">
        <f t="shared" ca="1" si="13"/>
        <v>#DIV/0!</v>
      </c>
      <c r="M658" s="21" t="e">
        <f t="shared" ca="1" si="14"/>
        <v>#DIV/0!</v>
      </c>
      <c r="N658" s="20" t="str">
        <f ca="1">IFERROR(__xludf.DUMMYFUNCTION("IF(COUNTIFS($C$2:C658, C658, $A$2:A658, ""&lt;="" &amp; A658) &lt; 30, STDEV.P(FILTER($G$2:G658, $C$2:C658 = C658)), STDEV.P(FILTER($G$2:G658, $C$2:C658 = C658, $A$2:A658 &gt;= A658 - 30)))
"),"#DIV/0!")</f>
        <v>#DIV/0!</v>
      </c>
    </row>
    <row r="659" spans="1:14" x14ac:dyDescent="0.2">
      <c r="A659" s="35"/>
      <c r="B659" s="40"/>
      <c r="C659" s="40"/>
      <c r="D659" s="31"/>
      <c r="E659" s="31"/>
      <c r="F659" s="31"/>
      <c r="G659" s="19" t="e">
        <f t="shared" si="10"/>
        <v>#DIV/0!</v>
      </c>
      <c r="H659" s="20" t="str">
        <f ca="1">IFERROR(__xludf.DUMMYFUNCTION("IF(COUNTIFS($C$2:C659, C659, $A$2:A659, ""&lt;="" &amp; A659) &lt; 30, AVERAGEIF($C$2:C659, C659, $G$2:G659), AVERAGE(FILTER($G$2:G659, $C$2:C659 = C659, $A$2:A659 &gt;= A659 - 30)))
"),"#DIV/0!")</f>
        <v>#DIV/0!</v>
      </c>
      <c r="I659" s="20" t="e">
        <f t="shared" ca="1" si="11"/>
        <v>#DIV/0!</v>
      </c>
      <c r="J659" s="20" t="str">
        <f ca="1">IFERROR(__xludf.DUMMYFUNCTION("IF(OR($I659=2, $I659=3), 0, IFERROR(COUNTIFS($C$2:C659, $C659, $A$2:A660, ""&gt;""&amp;IFERROR(MAX(FILTER($A$2:A660, $C$2:C659=$C659, $I$2:I659&lt;&gt;1)), 0), $I$2:I659, 1),1))
"),"#DIV/0!")</f>
        <v>#DIV/0!</v>
      </c>
      <c r="K659" s="7" t="e">
        <f t="shared" ca="1" si="12"/>
        <v>#DIV/0!</v>
      </c>
      <c r="L659" s="20" t="e">
        <f t="shared" ca="1" si="13"/>
        <v>#DIV/0!</v>
      </c>
      <c r="M659" s="21" t="e">
        <f t="shared" ca="1" si="14"/>
        <v>#DIV/0!</v>
      </c>
      <c r="N659" s="20" t="str">
        <f ca="1">IFERROR(__xludf.DUMMYFUNCTION("IF(COUNTIFS($C$2:C659, C659, $A$2:A659, ""&lt;="" &amp; A659) &lt; 30, STDEV.P(FILTER($G$2:G659, $C$2:C659 = C659)), STDEV.P(FILTER($G$2:G659, $C$2:C659 = C659, $A$2:A659 &gt;= A659 - 30)))
"),"#DIV/0!")</f>
        <v>#DIV/0!</v>
      </c>
    </row>
    <row r="660" spans="1:14" x14ac:dyDescent="0.2">
      <c r="A660" s="35"/>
      <c r="B660" s="40"/>
      <c r="C660" s="40"/>
      <c r="D660" s="31"/>
      <c r="E660" s="31"/>
      <c r="F660" s="31"/>
      <c r="G660" s="19" t="e">
        <f t="shared" si="10"/>
        <v>#DIV/0!</v>
      </c>
      <c r="H660" s="20" t="str">
        <f ca="1">IFERROR(__xludf.DUMMYFUNCTION("IF(COUNTIFS($C$2:C660, C660, $A$2:A660, ""&lt;="" &amp; A660) &lt; 30, AVERAGEIF($C$2:C660, C660, $G$2:G660), AVERAGE(FILTER($G$2:G660, $C$2:C660 = C660, $A$2:A660 &gt;= A660 - 30)))
"),"#DIV/0!")</f>
        <v>#DIV/0!</v>
      </c>
      <c r="I660" s="20" t="e">
        <f t="shared" ca="1" si="11"/>
        <v>#DIV/0!</v>
      </c>
      <c r="J660" s="20" t="str">
        <f ca="1">IFERROR(__xludf.DUMMYFUNCTION("IF(OR($I660=2, $I660=3), 0, IFERROR(COUNTIFS($C$2:C660, $C660, $A$2:A661, ""&gt;""&amp;IFERROR(MAX(FILTER($A$2:A661, $C$2:C660=$C660, $I$2:I660&lt;&gt;1)), 0), $I$2:I660, 1),1))
"),"#DIV/0!")</f>
        <v>#DIV/0!</v>
      </c>
      <c r="K660" s="7" t="e">
        <f t="shared" ca="1" si="12"/>
        <v>#DIV/0!</v>
      </c>
      <c r="L660" s="20" t="e">
        <f t="shared" ca="1" si="13"/>
        <v>#DIV/0!</v>
      </c>
      <c r="M660" s="21" t="e">
        <f t="shared" ca="1" si="14"/>
        <v>#DIV/0!</v>
      </c>
      <c r="N660" s="20" t="str">
        <f ca="1">IFERROR(__xludf.DUMMYFUNCTION("IF(COUNTIFS($C$2:C660, C660, $A$2:A660, ""&lt;="" &amp; A660) &lt; 30, STDEV.P(FILTER($G$2:G660, $C$2:C660 = C660)), STDEV.P(FILTER($G$2:G660, $C$2:C660 = C660, $A$2:A660 &gt;= A660 - 30)))
"),"#DIV/0!")</f>
        <v>#DIV/0!</v>
      </c>
    </row>
    <row r="661" spans="1:14" x14ac:dyDescent="0.2">
      <c r="A661" s="35"/>
      <c r="B661" s="40"/>
      <c r="C661" s="40"/>
      <c r="D661" s="31"/>
      <c r="E661" s="31"/>
      <c r="F661" s="31"/>
      <c r="G661" s="19" t="e">
        <f t="shared" si="10"/>
        <v>#DIV/0!</v>
      </c>
      <c r="H661" s="20" t="str">
        <f ca="1">IFERROR(__xludf.DUMMYFUNCTION("IF(COUNTIFS($C$2:C661, C661, $A$2:A661, ""&lt;="" &amp; A661) &lt; 30, AVERAGEIF($C$2:C661, C661, $G$2:G661), AVERAGE(FILTER($G$2:G661, $C$2:C661 = C661, $A$2:A661 &gt;= A661 - 30)))
"),"#DIV/0!")</f>
        <v>#DIV/0!</v>
      </c>
      <c r="I661" s="20" t="e">
        <f t="shared" ca="1" si="11"/>
        <v>#DIV/0!</v>
      </c>
      <c r="J661" s="20" t="str">
        <f ca="1">IFERROR(__xludf.DUMMYFUNCTION("IF(OR($I661=2, $I661=3), 0, IFERROR(COUNTIFS($C$2:C661, $C661, $A$2:A662, ""&gt;""&amp;IFERROR(MAX(FILTER($A$2:A662, $C$2:C661=$C661, $I$2:I661&lt;&gt;1)), 0), $I$2:I661, 1),1))
"),"#DIV/0!")</f>
        <v>#DIV/0!</v>
      </c>
      <c r="K661" s="7" t="e">
        <f t="shared" ca="1" si="12"/>
        <v>#DIV/0!</v>
      </c>
      <c r="L661" s="20" t="e">
        <f t="shared" ca="1" si="13"/>
        <v>#DIV/0!</v>
      </c>
      <c r="M661" s="21" t="e">
        <f t="shared" ca="1" si="14"/>
        <v>#DIV/0!</v>
      </c>
      <c r="N661" s="20" t="str">
        <f ca="1">IFERROR(__xludf.DUMMYFUNCTION("IF(COUNTIFS($C$2:C661, C661, $A$2:A661, ""&lt;="" &amp; A661) &lt; 30, STDEV.P(FILTER($G$2:G661, $C$2:C661 = C661)), STDEV.P(FILTER($G$2:G661, $C$2:C661 = C661, $A$2:A661 &gt;= A661 - 30)))
"),"#DIV/0!")</f>
        <v>#DIV/0!</v>
      </c>
    </row>
    <row r="662" spans="1:14" x14ac:dyDescent="0.2">
      <c r="A662" s="35"/>
      <c r="B662" s="40"/>
      <c r="C662" s="40"/>
      <c r="D662" s="31"/>
      <c r="E662" s="31"/>
      <c r="F662" s="31"/>
      <c r="G662" s="19" t="e">
        <f t="shared" si="10"/>
        <v>#DIV/0!</v>
      </c>
      <c r="H662" s="20" t="str">
        <f ca="1">IFERROR(__xludf.DUMMYFUNCTION("IF(COUNTIFS($C$2:C662, C662, $A$2:A662, ""&lt;="" &amp; A662) &lt; 30, AVERAGEIF($C$2:C662, C662, $G$2:G662), AVERAGE(FILTER($G$2:G662, $C$2:C662 = C662, $A$2:A662 &gt;= A662 - 30)))
"),"#DIV/0!")</f>
        <v>#DIV/0!</v>
      </c>
      <c r="I662" s="20" t="e">
        <f t="shared" ca="1" si="11"/>
        <v>#DIV/0!</v>
      </c>
      <c r="J662" s="20" t="str">
        <f ca="1">IFERROR(__xludf.DUMMYFUNCTION("IF(OR($I662=2, $I662=3), 0, IFERROR(COUNTIFS($C$2:C662, $C662, $A$2:A663, ""&gt;""&amp;IFERROR(MAX(FILTER($A$2:A663, $C$2:C662=$C662, $I$2:I662&lt;&gt;1)), 0), $I$2:I662, 1),1))
"),"#DIV/0!")</f>
        <v>#DIV/0!</v>
      </c>
      <c r="K662" s="7" t="e">
        <f t="shared" ca="1" si="12"/>
        <v>#DIV/0!</v>
      </c>
      <c r="L662" s="20" t="e">
        <f t="shared" ca="1" si="13"/>
        <v>#DIV/0!</v>
      </c>
      <c r="M662" s="21" t="e">
        <f t="shared" ca="1" si="14"/>
        <v>#DIV/0!</v>
      </c>
      <c r="N662" s="20" t="str">
        <f ca="1">IFERROR(__xludf.DUMMYFUNCTION("IF(COUNTIFS($C$2:C662, C662, $A$2:A662, ""&lt;="" &amp; A662) &lt; 30, STDEV.P(FILTER($G$2:G662, $C$2:C662 = C662)), STDEV.P(FILTER($G$2:G662, $C$2:C662 = C662, $A$2:A662 &gt;= A662 - 30)))
"),"#DIV/0!")</f>
        <v>#DIV/0!</v>
      </c>
    </row>
    <row r="663" spans="1:14" x14ac:dyDescent="0.2">
      <c r="A663" s="35"/>
      <c r="B663" s="40"/>
      <c r="C663" s="40"/>
      <c r="D663" s="31"/>
      <c r="E663" s="31"/>
      <c r="F663" s="31"/>
      <c r="G663" s="19" t="e">
        <f t="shared" si="10"/>
        <v>#DIV/0!</v>
      </c>
      <c r="H663" s="20" t="str">
        <f ca="1">IFERROR(__xludf.DUMMYFUNCTION("IF(COUNTIFS($C$2:C663, C663, $A$2:A663, ""&lt;="" &amp; A663) &lt; 30, AVERAGEIF($C$2:C663, C663, $G$2:G663), AVERAGE(FILTER($G$2:G663, $C$2:C663 = C663, $A$2:A663 &gt;= A663 - 30)))
"),"#DIV/0!")</f>
        <v>#DIV/0!</v>
      </c>
      <c r="I663" s="20" t="e">
        <f t="shared" ca="1" si="11"/>
        <v>#DIV/0!</v>
      </c>
      <c r="J663" s="20" t="str">
        <f ca="1">IFERROR(__xludf.DUMMYFUNCTION("IF(OR($I663=2, $I663=3), 0, IFERROR(COUNTIFS($C$2:C663, $C663, $A$2:A664, ""&gt;""&amp;IFERROR(MAX(FILTER($A$2:A664, $C$2:C663=$C663, $I$2:I663&lt;&gt;1)), 0), $I$2:I663, 1),1))
"),"#DIV/0!")</f>
        <v>#DIV/0!</v>
      </c>
      <c r="K663" s="7" t="e">
        <f t="shared" ca="1" si="12"/>
        <v>#DIV/0!</v>
      </c>
      <c r="L663" s="20" t="e">
        <f t="shared" ca="1" si="13"/>
        <v>#DIV/0!</v>
      </c>
      <c r="M663" s="21" t="e">
        <f t="shared" ca="1" si="14"/>
        <v>#DIV/0!</v>
      </c>
      <c r="N663" s="20" t="str">
        <f ca="1">IFERROR(__xludf.DUMMYFUNCTION("IF(COUNTIFS($C$2:C663, C663, $A$2:A663, ""&lt;="" &amp; A663) &lt; 30, STDEV.P(FILTER($G$2:G663, $C$2:C663 = C663)), STDEV.P(FILTER($G$2:G663, $C$2:C663 = C663, $A$2:A663 &gt;= A663 - 30)))
"),"#DIV/0!")</f>
        <v>#DIV/0!</v>
      </c>
    </row>
    <row r="664" spans="1:14" x14ac:dyDescent="0.2">
      <c r="A664" s="35"/>
      <c r="B664" s="40"/>
      <c r="C664" s="40"/>
      <c r="D664" s="31"/>
      <c r="E664" s="31"/>
      <c r="F664" s="31"/>
      <c r="G664" s="19" t="e">
        <f t="shared" si="10"/>
        <v>#DIV/0!</v>
      </c>
      <c r="H664" s="20" t="str">
        <f ca="1">IFERROR(__xludf.DUMMYFUNCTION("IF(COUNTIFS($C$2:C664, C664, $A$2:A664, ""&lt;="" &amp; A664) &lt; 30, AVERAGEIF($C$2:C664, C664, $G$2:G664), AVERAGE(FILTER($G$2:G664, $C$2:C664 = C664, $A$2:A664 &gt;= A664 - 30)))
"),"#DIV/0!")</f>
        <v>#DIV/0!</v>
      </c>
      <c r="I664" s="20" t="e">
        <f t="shared" ca="1" si="11"/>
        <v>#DIV/0!</v>
      </c>
      <c r="J664" s="20" t="str">
        <f ca="1">IFERROR(__xludf.DUMMYFUNCTION("IF(OR($I664=2, $I664=3), 0, IFERROR(COUNTIFS($C$2:C664, $C664, $A$2:A665, ""&gt;""&amp;IFERROR(MAX(FILTER($A$2:A665, $C$2:C664=$C664, $I$2:I664&lt;&gt;1)), 0), $I$2:I664, 1),1))
"),"#DIV/0!")</f>
        <v>#DIV/0!</v>
      </c>
      <c r="K664" s="7" t="e">
        <f t="shared" ca="1" si="12"/>
        <v>#DIV/0!</v>
      </c>
      <c r="L664" s="20" t="e">
        <f t="shared" ca="1" si="13"/>
        <v>#DIV/0!</v>
      </c>
      <c r="M664" s="21" t="e">
        <f t="shared" ca="1" si="14"/>
        <v>#DIV/0!</v>
      </c>
      <c r="N664" s="20" t="str">
        <f ca="1">IFERROR(__xludf.DUMMYFUNCTION("IF(COUNTIFS($C$2:C664, C664, $A$2:A664, ""&lt;="" &amp; A664) &lt; 30, STDEV.P(FILTER($G$2:G664, $C$2:C664 = C664)), STDEV.P(FILTER($G$2:G664, $C$2:C664 = C664, $A$2:A664 &gt;= A664 - 30)))
"),"#DIV/0!")</f>
        <v>#DIV/0!</v>
      </c>
    </row>
    <row r="665" spans="1:14" x14ac:dyDescent="0.2">
      <c r="A665" s="35"/>
      <c r="B665" s="40"/>
      <c r="C665" s="40"/>
      <c r="D665" s="31"/>
      <c r="E665" s="31"/>
      <c r="F665" s="31"/>
      <c r="G665" s="19" t="e">
        <f t="shared" si="10"/>
        <v>#DIV/0!</v>
      </c>
      <c r="H665" s="20" t="str">
        <f ca="1">IFERROR(__xludf.DUMMYFUNCTION("IF(COUNTIFS($C$2:C665, C665, $A$2:A665, ""&lt;="" &amp; A665) &lt; 30, AVERAGEIF($C$2:C665, C665, $G$2:G665), AVERAGE(FILTER($G$2:G665, $C$2:C665 = C665, $A$2:A665 &gt;= A665 - 30)))
"),"#DIV/0!")</f>
        <v>#DIV/0!</v>
      </c>
      <c r="I665" s="20" t="e">
        <f t="shared" ca="1" si="11"/>
        <v>#DIV/0!</v>
      </c>
      <c r="J665" s="20" t="str">
        <f ca="1">IFERROR(__xludf.DUMMYFUNCTION("IF(OR($I665=2, $I665=3), 0, IFERROR(COUNTIFS($C$2:C665, $C665, $A$2:A666, ""&gt;""&amp;IFERROR(MAX(FILTER($A$2:A666, $C$2:C665=$C665, $I$2:I665&lt;&gt;1)), 0), $I$2:I665, 1),1))
"),"#DIV/0!")</f>
        <v>#DIV/0!</v>
      </c>
      <c r="K665" s="7" t="e">
        <f t="shared" ca="1" si="12"/>
        <v>#DIV/0!</v>
      </c>
      <c r="L665" s="20" t="e">
        <f t="shared" ca="1" si="13"/>
        <v>#DIV/0!</v>
      </c>
      <c r="M665" s="21" t="e">
        <f t="shared" ca="1" si="14"/>
        <v>#DIV/0!</v>
      </c>
      <c r="N665" s="20" t="str">
        <f ca="1">IFERROR(__xludf.DUMMYFUNCTION("IF(COUNTIFS($C$2:C665, C665, $A$2:A665, ""&lt;="" &amp; A665) &lt; 30, STDEV.P(FILTER($G$2:G665, $C$2:C665 = C665)), STDEV.P(FILTER($G$2:G665, $C$2:C665 = C665, $A$2:A665 &gt;= A665 - 30)))
"),"#DIV/0!")</f>
        <v>#DIV/0!</v>
      </c>
    </row>
    <row r="666" spans="1:14" x14ac:dyDescent="0.2">
      <c r="A666" s="35"/>
      <c r="B666" s="40"/>
      <c r="C666" s="40"/>
      <c r="D666" s="31"/>
      <c r="E666" s="31"/>
      <c r="F666" s="31"/>
      <c r="G666" s="19" t="e">
        <f t="shared" si="10"/>
        <v>#DIV/0!</v>
      </c>
      <c r="H666" s="20" t="str">
        <f ca="1">IFERROR(__xludf.DUMMYFUNCTION("IF(COUNTIFS($C$2:C666, C666, $A$2:A666, ""&lt;="" &amp; A666) &lt; 30, AVERAGEIF($C$2:C666, C666, $G$2:G666), AVERAGE(FILTER($G$2:G666, $C$2:C666 = C666, $A$2:A666 &gt;= A666 - 30)))
"),"#DIV/0!")</f>
        <v>#DIV/0!</v>
      </c>
      <c r="I666" s="20" t="e">
        <f t="shared" ca="1" si="11"/>
        <v>#DIV/0!</v>
      </c>
      <c r="J666" s="20" t="str">
        <f ca="1">IFERROR(__xludf.DUMMYFUNCTION("IF(OR($I666=2, $I666=3), 0, IFERROR(COUNTIFS($C$2:C666, $C666, $A$2:A667, ""&gt;""&amp;IFERROR(MAX(FILTER($A$2:A667, $C$2:C666=$C666, $I$2:I666&lt;&gt;1)), 0), $I$2:I666, 1),1))
"),"#DIV/0!")</f>
        <v>#DIV/0!</v>
      </c>
      <c r="K666" s="7" t="e">
        <f t="shared" ca="1" si="12"/>
        <v>#DIV/0!</v>
      </c>
      <c r="L666" s="20" t="e">
        <f t="shared" ca="1" si="13"/>
        <v>#DIV/0!</v>
      </c>
      <c r="M666" s="21" t="e">
        <f t="shared" ca="1" si="14"/>
        <v>#DIV/0!</v>
      </c>
      <c r="N666" s="20" t="str">
        <f ca="1">IFERROR(__xludf.DUMMYFUNCTION("IF(COUNTIFS($C$2:C666, C666, $A$2:A666, ""&lt;="" &amp; A666) &lt; 30, STDEV.P(FILTER($G$2:G666, $C$2:C666 = C666)), STDEV.P(FILTER($G$2:G666, $C$2:C666 = C666, $A$2:A666 &gt;= A666 - 30)))
"),"#DIV/0!")</f>
        <v>#DIV/0!</v>
      </c>
    </row>
    <row r="667" spans="1:14" x14ac:dyDescent="0.2">
      <c r="A667" s="35"/>
      <c r="B667" s="40"/>
      <c r="C667" s="40"/>
      <c r="D667" s="31"/>
      <c r="E667" s="31"/>
      <c r="F667" s="31"/>
      <c r="G667" s="19" t="e">
        <f t="shared" si="10"/>
        <v>#DIV/0!</v>
      </c>
      <c r="H667" s="20" t="str">
        <f ca="1">IFERROR(__xludf.DUMMYFUNCTION("IF(COUNTIFS($C$2:C667, C667, $A$2:A667, ""&lt;="" &amp; A667) &lt; 30, AVERAGEIF($C$2:C667, C667, $G$2:G667), AVERAGE(FILTER($G$2:G667, $C$2:C667 = C667, $A$2:A667 &gt;= A667 - 30)))
"),"#DIV/0!")</f>
        <v>#DIV/0!</v>
      </c>
      <c r="I667" s="20" t="e">
        <f t="shared" ca="1" si="11"/>
        <v>#DIV/0!</v>
      </c>
      <c r="J667" s="20" t="str">
        <f ca="1">IFERROR(__xludf.DUMMYFUNCTION("IF(OR($I667=2, $I667=3), 0, IFERROR(COUNTIFS($C$2:C667, $C667, $A$2:A668, ""&gt;""&amp;IFERROR(MAX(FILTER($A$2:A668, $C$2:C667=$C667, $I$2:I667&lt;&gt;1)), 0), $I$2:I667, 1),1))
"),"#DIV/0!")</f>
        <v>#DIV/0!</v>
      </c>
      <c r="K667" s="7" t="e">
        <f t="shared" ca="1" si="12"/>
        <v>#DIV/0!</v>
      </c>
      <c r="L667" s="20" t="e">
        <f t="shared" ca="1" si="13"/>
        <v>#DIV/0!</v>
      </c>
      <c r="M667" s="21" t="e">
        <f t="shared" ca="1" si="14"/>
        <v>#DIV/0!</v>
      </c>
      <c r="N667" s="20" t="str">
        <f ca="1">IFERROR(__xludf.DUMMYFUNCTION("IF(COUNTIFS($C$2:C667, C667, $A$2:A667, ""&lt;="" &amp; A667) &lt; 30, STDEV.P(FILTER($G$2:G667, $C$2:C667 = C667)), STDEV.P(FILTER($G$2:G667, $C$2:C667 = C667, $A$2:A667 &gt;= A667 - 30)))
"),"#DIV/0!")</f>
        <v>#DIV/0!</v>
      </c>
    </row>
    <row r="668" spans="1:14" x14ac:dyDescent="0.2">
      <c r="A668" s="35"/>
      <c r="B668" s="40"/>
      <c r="C668" s="40"/>
      <c r="D668" s="31"/>
      <c r="E668" s="31"/>
      <c r="F668" s="31"/>
      <c r="G668" s="19" t="e">
        <f t="shared" si="10"/>
        <v>#DIV/0!</v>
      </c>
      <c r="H668" s="20" t="str">
        <f ca="1">IFERROR(__xludf.DUMMYFUNCTION("IF(COUNTIFS($C$2:C668, C668, $A$2:A668, ""&lt;="" &amp; A668) &lt; 30, AVERAGEIF($C$2:C668, C668, $G$2:G668), AVERAGE(FILTER($G$2:G668, $C$2:C668 = C668, $A$2:A668 &gt;= A668 - 30)))
"),"#DIV/0!")</f>
        <v>#DIV/0!</v>
      </c>
      <c r="I668" s="20" t="e">
        <f t="shared" ca="1" si="11"/>
        <v>#DIV/0!</v>
      </c>
      <c r="J668" s="20" t="str">
        <f ca="1">IFERROR(__xludf.DUMMYFUNCTION("IF(OR($I668=2, $I668=3), 0, IFERROR(COUNTIFS($C$2:C668, $C668, $A$2:A669, ""&gt;""&amp;IFERROR(MAX(FILTER($A$2:A669, $C$2:C668=$C668, $I$2:I668&lt;&gt;1)), 0), $I$2:I668, 1),1))
"),"#DIV/0!")</f>
        <v>#DIV/0!</v>
      </c>
      <c r="K668" s="7" t="e">
        <f t="shared" ca="1" si="12"/>
        <v>#DIV/0!</v>
      </c>
      <c r="L668" s="20" t="e">
        <f t="shared" ca="1" si="13"/>
        <v>#DIV/0!</v>
      </c>
      <c r="M668" s="21" t="e">
        <f t="shared" ca="1" si="14"/>
        <v>#DIV/0!</v>
      </c>
      <c r="N668" s="20" t="str">
        <f ca="1">IFERROR(__xludf.DUMMYFUNCTION("IF(COUNTIFS($C$2:C668, C668, $A$2:A668, ""&lt;="" &amp; A668) &lt; 30, STDEV.P(FILTER($G$2:G668, $C$2:C668 = C668)), STDEV.P(FILTER($G$2:G668, $C$2:C668 = C668, $A$2:A668 &gt;= A668 - 30)))
"),"#DIV/0!")</f>
        <v>#DIV/0!</v>
      </c>
    </row>
    <row r="669" spans="1:14" x14ac:dyDescent="0.2">
      <c r="A669" s="35"/>
      <c r="B669" s="40"/>
      <c r="C669" s="40"/>
      <c r="D669" s="31"/>
      <c r="E669" s="31"/>
      <c r="F669" s="31"/>
      <c r="G669" s="19" t="e">
        <f t="shared" si="10"/>
        <v>#DIV/0!</v>
      </c>
      <c r="H669" s="20" t="str">
        <f ca="1">IFERROR(__xludf.DUMMYFUNCTION("IF(COUNTIFS($C$2:C669, C669, $A$2:A669, ""&lt;="" &amp; A669) &lt; 30, AVERAGEIF($C$2:C669, C669, $G$2:G669), AVERAGE(FILTER($G$2:G669, $C$2:C669 = C669, $A$2:A669 &gt;= A669 - 30)))
"),"#DIV/0!")</f>
        <v>#DIV/0!</v>
      </c>
      <c r="I669" s="20" t="e">
        <f t="shared" ca="1" si="11"/>
        <v>#DIV/0!</v>
      </c>
      <c r="J669" s="20" t="str">
        <f ca="1">IFERROR(__xludf.DUMMYFUNCTION("IF(OR($I669=2, $I669=3), 0, IFERROR(COUNTIFS($C$2:C669, $C669, $A$2:A670, ""&gt;""&amp;IFERROR(MAX(FILTER($A$2:A670, $C$2:C669=$C669, $I$2:I669&lt;&gt;1)), 0), $I$2:I669, 1),1))
"),"#DIV/0!")</f>
        <v>#DIV/0!</v>
      </c>
      <c r="K669" s="7" t="e">
        <f t="shared" ca="1" si="12"/>
        <v>#DIV/0!</v>
      </c>
      <c r="L669" s="20" t="e">
        <f t="shared" ca="1" si="13"/>
        <v>#DIV/0!</v>
      </c>
      <c r="M669" s="21" t="e">
        <f t="shared" ca="1" si="14"/>
        <v>#DIV/0!</v>
      </c>
      <c r="N669" s="20" t="str">
        <f ca="1">IFERROR(__xludf.DUMMYFUNCTION("IF(COUNTIFS($C$2:C669, C669, $A$2:A669, ""&lt;="" &amp; A669) &lt; 30, STDEV.P(FILTER($G$2:G669, $C$2:C669 = C669)), STDEV.P(FILTER($G$2:G669, $C$2:C669 = C669, $A$2:A669 &gt;= A669 - 30)))
"),"#DIV/0!")</f>
        <v>#DIV/0!</v>
      </c>
    </row>
    <row r="670" spans="1:14" x14ac:dyDescent="0.2">
      <c r="A670" s="35"/>
      <c r="B670" s="40"/>
      <c r="C670" s="40"/>
      <c r="D670" s="31"/>
      <c r="E670" s="31"/>
      <c r="F670" s="31"/>
      <c r="G670" s="19" t="e">
        <f t="shared" si="10"/>
        <v>#DIV/0!</v>
      </c>
      <c r="H670" s="20" t="str">
        <f ca="1">IFERROR(__xludf.DUMMYFUNCTION("IF(COUNTIFS($C$2:C670, C670, $A$2:A670, ""&lt;="" &amp; A670) &lt; 30, AVERAGEIF($C$2:C670, C670, $G$2:G670), AVERAGE(FILTER($G$2:G670, $C$2:C670 = C670, $A$2:A670 &gt;= A670 - 30)))
"),"#DIV/0!")</f>
        <v>#DIV/0!</v>
      </c>
      <c r="I670" s="20" t="e">
        <f t="shared" ca="1" si="11"/>
        <v>#DIV/0!</v>
      </c>
      <c r="J670" s="20" t="str">
        <f ca="1">IFERROR(__xludf.DUMMYFUNCTION("IF(OR($I670=2, $I670=3), 0, IFERROR(COUNTIFS($C$2:C670, $C670, $A$2:A671, ""&gt;""&amp;IFERROR(MAX(FILTER($A$2:A671, $C$2:C670=$C670, $I$2:I670&lt;&gt;1)), 0), $I$2:I670, 1),1))
"),"#DIV/0!")</f>
        <v>#DIV/0!</v>
      </c>
      <c r="K670" s="7" t="e">
        <f t="shared" ca="1" si="12"/>
        <v>#DIV/0!</v>
      </c>
      <c r="L670" s="20" t="e">
        <f t="shared" ca="1" si="13"/>
        <v>#DIV/0!</v>
      </c>
      <c r="M670" s="21" t="e">
        <f t="shared" ca="1" si="14"/>
        <v>#DIV/0!</v>
      </c>
      <c r="N670" s="20" t="str">
        <f ca="1">IFERROR(__xludf.DUMMYFUNCTION("IF(COUNTIFS($C$2:C670, C670, $A$2:A670, ""&lt;="" &amp; A670) &lt; 30, STDEV.P(FILTER($G$2:G670, $C$2:C670 = C670)), STDEV.P(FILTER($G$2:G670, $C$2:C670 = C670, $A$2:A670 &gt;= A670 - 30)))
"),"#DIV/0!")</f>
        <v>#DIV/0!</v>
      </c>
    </row>
    <row r="671" spans="1:14" x14ac:dyDescent="0.2">
      <c r="A671" s="35"/>
      <c r="B671" s="40"/>
      <c r="C671" s="40"/>
      <c r="D671" s="31"/>
      <c r="E671" s="31"/>
      <c r="F671" s="31"/>
      <c r="G671" s="19" t="e">
        <f t="shared" si="10"/>
        <v>#DIV/0!</v>
      </c>
      <c r="H671" s="20" t="str">
        <f ca="1">IFERROR(__xludf.DUMMYFUNCTION("IF(COUNTIFS($C$2:C671, C671, $A$2:A671, ""&lt;="" &amp; A671) &lt; 30, AVERAGEIF($C$2:C671, C671, $G$2:G671), AVERAGE(FILTER($G$2:G671, $C$2:C671 = C671, $A$2:A671 &gt;= A671 - 30)))
"),"#DIV/0!")</f>
        <v>#DIV/0!</v>
      </c>
      <c r="I671" s="20" t="e">
        <f t="shared" ca="1" si="11"/>
        <v>#DIV/0!</v>
      </c>
      <c r="J671" s="20" t="str">
        <f ca="1">IFERROR(__xludf.DUMMYFUNCTION("IF(OR($I671=2, $I671=3), 0, IFERROR(COUNTIFS($C$2:C671, $C671, $A$2:A672, ""&gt;""&amp;IFERROR(MAX(FILTER($A$2:A672, $C$2:C671=$C671, $I$2:I671&lt;&gt;1)), 0), $I$2:I671, 1),1))
"),"#DIV/0!")</f>
        <v>#DIV/0!</v>
      </c>
      <c r="K671" s="7" t="e">
        <f t="shared" ca="1" si="12"/>
        <v>#DIV/0!</v>
      </c>
      <c r="L671" s="20" t="e">
        <f t="shared" ca="1" si="13"/>
        <v>#DIV/0!</v>
      </c>
      <c r="M671" s="21" t="e">
        <f t="shared" ca="1" si="14"/>
        <v>#DIV/0!</v>
      </c>
      <c r="N671" s="20" t="str">
        <f ca="1">IFERROR(__xludf.DUMMYFUNCTION("IF(COUNTIFS($C$2:C671, C671, $A$2:A671, ""&lt;="" &amp; A671) &lt; 30, STDEV.P(FILTER($G$2:G671, $C$2:C671 = C671)), STDEV.P(FILTER($G$2:G671, $C$2:C671 = C671, $A$2:A671 &gt;= A671 - 30)))
"),"#DIV/0!")</f>
        <v>#DIV/0!</v>
      </c>
    </row>
    <row r="672" spans="1:14" x14ac:dyDescent="0.2">
      <c r="A672" s="35"/>
      <c r="B672" s="40"/>
      <c r="C672" s="40"/>
      <c r="D672" s="31"/>
      <c r="E672" s="31"/>
      <c r="F672" s="31"/>
      <c r="G672" s="19" t="e">
        <f t="shared" si="10"/>
        <v>#DIV/0!</v>
      </c>
      <c r="H672" s="20" t="str">
        <f ca="1">IFERROR(__xludf.DUMMYFUNCTION("IF(COUNTIFS($C$2:C672, C672, $A$2:A672, ""&lt;="" &amp; A672) &lt; 30, AVERAGEIF($C$2:C672, C672, $G$2:G672), AVERAGE(FILTER($G$2:G672, $C$2:C672 = C672, $A$2:A672 &gt;= A672 - 30)))
"),"#DIV/0!")</f>
        <v>#DIV/0!</v>
      </c>
      <c r="I672" s="20" t="e">
        <f t="shared" ca="1" si="11"/>
        <v>#DIV/0!</v>
      </c>
      <c r="J672" s="20" t="str">
        <f ca="1">IFERROR(__xludf.DUMMYFUNCTION("IF(OR($I672=2, $I672=3), 0, IFERROR(COUNTIFS($C$2:C672, $C672, $A$2:A673, ""&gt;""&amp;IFERROR(MAX(FILTER($A$2:A673, $C$2:C672=$C672, $I$2:I672&lt;&gt;1)), 0), $I$2:I672, 1),1))
"),"#DIV/0!")</f>
        <v>#DIV/0!</v>
      </c>
      <c r="K672" s="7" t="e">
        <f t="shared" ca="1" si="12"/>
        <v>#DIV/0!</v>
      </c>
      <c r="L672" s="20" t="e">
        <f t="shared" ca="1" si="13"/>
        <v>#DIV/0!</v>
      </c>
      <c r="M672" s="21" t="e">
        <f t="shared" ca="1" si="14"/>
        <v>#DIV/0!</v>
      </c>
      <c r="N672" s="20" t="str">
        <f ca="1">IFERROR(__xludf.DUMMYFUNCTION("IF(COUNTIFS($C$2:C672, C672, $A$2:A672, ""&lt;="" &amp; A672) &lt; 30, STDEV.P(FILTER($G$2:G672, $C$2:C672 = C672)), STDEV.P(FILTER($G$2:G672, $C$2:C672 = C672, $A$2:A672 &gt;= A672 - 30)))
"),"#DIV/0!")</f>
        <v>#DIV/0!</v>
      </c>
    </row>
    <row r="673" spans="1:14" x14ac:dyDescent="0.2">
      <c r="A673" s="35"/>
      <c r="B673" s="40"/>
      <c r="C673" s="40"/>
      <c r="D673" s="31"/>
      <c r="E673" s="31"/>
      <c r="F673" s="31"/>
      <c r="G673" s="19" t="e">
        <f t="shared" si="10"/>
        <v>#DIV/0!</v>
      </c>
      <c r="H673" s="20" t="str">
        <f ca="1">IFERROR(__xludf.DUMMYFUNCTION("IF(COUNTIFS($C$2:C673, C673, $A$2:A673, ""&lt;="" &amp; A673) &lt; 30, AVERAGEIF($C$2:C673, C673, $G$2:G673), AVERAGE(FILTER($G$2:G673, $C$2:C673 = C673, $A$2:A673 &gt;= A673 - 30)))
"),"#DIV/0!")</f>
        <v>#DIV/0!</v>
      </c>
      <c r="I673" s="20" t="e">
        <f t="shared" ca="1" si="11"/>
        <v>#DIV/0!</v>
      </c>
      <c r="J673" s="20" t="str">
        <f ca="1">IFERROR(__xludf.DUMMYFUNCTION("IF(OR($I673=2, $I673=3), 0, IFERROR(COUNTIFS($C$2:C673, $C673, $A$2:A674, ""&gt;""&amp;IFERROR(MAX(FILTER($A$2:A674, $C$2:C673=$C673, $I$2:I673&lt;&gt;1)), 0), $I$2:I673, 1),1))
"),"#DIV/0!")</f>
        <v>#DIV/0!</v>
      </c>
      <c r="K673" s="7" t="e">
        <f t="shared" ca="1" si="12"/>
        <v>#DIV/0!</v>
      </c>
      <c r="L673" s="20" t="e">
        <f t="shared" ca="1" si="13"/>
        <v>#DIV/0!</v>
      </c>
      <c r="M673" s="21" t="e">
        <f t="shared" ca="1" si="14"/>
        <v>#DIV/0!</v>
      </c>
      <c r="N673" s="20" t="str">
        <f ca="1">IFERROR(__xludf.DUMMYFUNCTION("IF(COUNTIFS($C$2:C673, C673, $A$2:A673, ""&lt;="" &amp; A673) &lt; 30, STDEV.P(FILTER($G$2:G673, $C$2:C673 = C673)), STDEV.P(FILTER($G$2:G673, $C$2:C673 = C673, $A$2:A673 &gt;= A673 - 30)))
"),"#DIV/0!")</f>
        <v>#DIV/0!</v>
      </c>
    </row>
    <row r="674" spans="1:14" x14ac:dyDescent="0.2">
      <c r="A674" s="35"/>
      <c r="B674" s="40"/>
      <c r="C674" s="40"/>
      <c r="D674" s="31"/>
      <c r="E674" s="31"/>
      <c r="F674" s="31"/>
      <c r="G674" s="19" t="e">
        <f t="shared" si="10"/>
        <v>#DIV/0!</v>
      </c>
      <c r="H674" s="20" t="str">
        <f ca="1">IFERROR(__xludf.DUMMYFUNCTION("IF(COUNTIFS($C$2:C674, C674, $A$2:A674, ""&lt;="" &amp; A674) &lt; 30, AVERAGEIF($C$2:C674, C674, $G$2:G674), AVERAGE(FILTER($G$2:G674, $C$2:C674 = C674, $A$2:A674 &gt;= A674 - 30)))
"),"#DIV/0!")</f>
        <v>#DIV/0!</v>
      </c>
      <c r="I674" s="20" t="e">
        <f t="shared" ca="1" si="11"/>
        <v>#DIV/0!</v>
      </c>
      <c r="J674" s="20" t="str">
        <f ca="1">IFERROR(__xludf.DUMMYFUNCTION("IF(OR($I674=2, $I674=3), 0, IFERROR(COUNTIFS($C$2:C674, $C674, $A$2:A675, ""&gt;""&amp;IFERROR(MAX(FILTER($A$2:A675, $C$2:C674=$C674, $I$2:I674&lt;&gt;1)), 0), $I$2:I674, 1),1))
"),"#DIV/0!")</f>
        <v>#DIV/0!</v>
      </c>
      <c r="K674" s="7" t="e">
        <f t="shared" ca="1" si="12"/>
        <v>#DIV/0!</v>
      </c>
      <c r="L674" s="20" t="e">
        <f t="shared" ca="1" si="13"/>
        <v>#DIV/0!</v>
      </c>
      <c r="M674" s="21" t="e">
        <f t="shared" ca="1" si="14"/>
        <v>#DIV/0!</v>
      </c>
      <c r="N674" s="20" t="str">
        <f ca="1">IFERROR(__xludf.DUMMYFUNCTION("IF(COUNTIFS($C$2:C674, C674, $A$2:A674, ""&lt;="" &amp; A674) &lt; 30, STDEV.P(FILTER($G$2:G674, $C$2:C674 = C674)), STDEV.P(FILTER($G$2:G674, $C$2:C674 = C674, $A$2:A674 &gt;= A674 - 30)))
"),"#DIV/0!")</f>
        <v>#DIV/0!</v>
      </c>
    </row>
    <row r="675" spans="1:14" x14ac:dyDescent="0.2">
      <c r="A675" s="35"/>
      <c r="B675" s="40"/>
      <c r="C675" s="40"/>
      <c r="D675" s="31"/>
      <c r="E675" s="31"/>
      <c r="F675" s="31"/>
      <c r="G675" s="19" t="e">
        <f t="shared" si="10"/>
        <v>#DIV/0!</v>
      </c>
      <c r="H675" s="20" t="str">
        <f ca="1">IFERROR(__xludf.DUMMYFUNCTION("IF(COUNTIFS($C$2:C675, C675, $A$2:A675, ""&lt;="" &amp; A675) &lt; 30, AVERAGEIF($C$2:C675, C675, $G$2:G675), AVERAGE(FILTER($G$2:G675, $C$2:C675 = C675, $A$2:A675 &gt;= A675 - 30)))
"),"#DIV/0!")</f>
        <v>#DIV/0!</v>
      </c>
      <c r="I675" s="20" t="e">
        <f t="shared" ca="1" si="11"/>
        <v>#DIV/0!</v>
      </c>
      <c r="J675" s="20" t="str">
        <f ca="1">IFERROR(__xludf.DUMMYFUNCTION("IF(OR($I675=2, $I675=3), 0, IFERROR(COUNTIFS($C$2:C675, $C675, $A$2:A676, ""&gt;""&amp;IFERROR(MAX(FILTER($A$2:A676, $C$2:C675=$C675, $I$2:I675&lt;&gt;1)), 0), $I$2:I675, 1),1))
"),"#DIV/0!")</f>
        <v>#DIV/0!</v>
      </c>
      <c r="K675" s="7" t="e">
        <f t="shared" ca="1" si="12"/>
        <v>#DIV/0!</v>
      </c>
      <c r="L675" s="20" t="e">
        <f t="shared" ca="1" si="13"/>
        <v>#DIV/0!</v>
      </c>
      <c r="M675" s="21" t="e">
        <f t="shared" ca="1" si="14"/>
        <v>#DIV/0!</v>
      </c>
      <c r="N675" s="20" t="str">
        <f ca="1">IFERROR(__xludf.DUMMYFUNCTION("IF(COUNTIFS($C$2:C675, C675, $A$2:A675, ""&lt;="" &amp; A675) &lt; 30, STDEV.P(FILTER($G$2:G675, $C$2:C675 = C675)), STDEV.P(FILTER($G$2:G675, $C$2:C675 = C675, $A$2:A675 &gt;= A675 - 30)))
"),"#DIV/0!")</f>
        <v>#DIV/0!</v>
      </c>
    </row>
    <row r="676" spans="1:14" x14ac:dyDescent="0.2">
      <c r="A676" s="35"/>
      <c r="B676" s="40"/>
      <c r="C676" s="40"/>
      <c r="D676" s="31"/>
      <c r="E676" s="31"/>
      <c r="F676" s="31"/>
      <c r="G676" s="19" t="e">
        <f t="shared" si="10"/>
        <v>#DIV/0!</v>
      </c>
      <c r="H676" s="20" t="str">
        <f ca="1">IFERROR(__xludf.DUMMYFUNCTION("IF(COUNTIFS($C$2:C676, C676, $A$2:A676, ""&lt;="" &amp; A676) &lt; 30, AVERAGEIF($C$2:C676, C676, $G$2:G676), AVERAGE(FILTER($G$2:G676, $C$2:C676 = C676, $A$2:A676 &gt;= A676 - 30)))
"),"#DIV/0!")</f>
        <v>#DIV/0!</v>
      </c>
      <c r="I676" s="20" t="e">
        <f t="shared" ca="1" si="11"/>
        <v>#DIV/0!</v>
      </c>
      <c r="J676" s="20" t="str">
        <f ca="1">IFERROR(__xludf.DUMMYFUNCTION("IF(OR($I676=2, $I676=3), 0, IFERROR(COUNTIFS($C$2:C676, $C676, $A$2:A677, ""&gt;""&amp;IFERROR(MAX(FILTER($A$2:A677, $C$2:C676=$C676, $I$2:I676&lt;&gt;1)), 0), $I$2:I676, 1),1))
"),"#DIV/0!")</f>
        <v>#DIV/0!</v>
      </c>
      <c r="K676" s="7" t="e">
        <f t="shared" ca="1" si="12"/>
        <v>#DIV/0!</v>
      </c>
      <c r="L676" s="20" t="e">
        <f t="shared" ca="1" si="13"/>
        <v>#DIV/0!</v>
      </c>
      <c r="M676" s="21" t="e">
        <f t="shared" ca="1" si="14"/>
        <v>#DIV/0!</v>
      </c>
      <c r="N676" s="20" t="str">
        <f ca="1">IFERROR(__xludf.DUMMYFUNCTION("IF(COUNTIFS($C$2:C676, C676, $A$2:A676, ""&lt;="" &amp; A676) &lt; 30, STDEV.P(FILTER($G$2:G676, $C$2:C676 = C676)), STDEV.P(FILTER($G$2:G676, $C$2:C676 = C676, $A$2:A676 &gt;= A676 - 30)))
"),"#DIV/0!")</f>
        <v>#DIV/0!</v>
      </c>
    </row>
    <row r="677" spans="1:14" x14ac:dyDescent="0.2">
      <c r="A677" s="35"/>
      <c r="B677" s="40"/>
      <c r="C677" s="40"/>
      <c r="D677" s="31"/>
      <c r="E677" s="31"/>
      <c r="F677" s="31"/>
      <c r="G677" s="19" t="e">
        <f t="shared" si="10"/>
        <v>#DIV/0!</v>
      </c>
      <c r="H677" s="20" t="str">
        <f ca="1">IFERROR(__xludf.DUMMYFUNCTION("IF(COUNTIFS($C$2:C677, C677, $A$2:A677, ""&lt;="" &amp; A677) &lt; 30, AVERAGEIF($C$2:C677, C677, $G$2:G677), AVERAGE(FILTER($G$2:G677, $C$2:C677 = C677, $A$2:A677 &gt;= A677 - 30)))
"),"#DIV/0!")</f>
        <v>#DIV/0!</v>
      </c>
      <c r="I677" s="20" t="e">
        <f t="shared" ca="1" si="11"/>
        <v>#DIV/0!</v>
      </c>
      <c r="J677" s="20" t="str">
        <f ca="1">IFERROR(__xludf.DUMMYFUNCTION("IF(OR($I677=2, $I677=3), 0, IFERROR(COUNTIFS($C$2:C677, $C677, $A$2:A678, ""&gt;""&amp;IFERROR(MAX(FILTER($A$2:A678, $C$2:C677=$C677, $I$2:I677&lt;&gt;1)), 0), $I$2:I677, 1),1))
"),"#DIV/0!")</f>
        <v>#DIV/0!</v>
      </c>
      <c r="K677" s="7" t="e">
        <f t="shared" ca="1" si="12"/>
        <v>#DIV/0!</v>
      </c>
      <c r="L677" s="20" t="e">
        <f t="shared" ca="1" si="13"/>
        <v>#DIV/0!</v>
      </c>
      <c r="M677" s="21" t="e">
        <f t="shared" ca="1" si="14"/>
        <v>#DIV/0!</v>
      </c>
      <c r="N677" s="20" t="str">
        <f ca="1">IFERROR(__xludf.DUMMYFUNCTION("IF(COUNTIFS($C$2:C677, C677, $A$2:A677, ""&lt;="" &amp; A677) &lt; 30, STDEV.P(FILTER($G$2:G677, $C$2:C677 = C677)), STDEV.P(FILTER($G$2:G677, $C$2:C677 = C677, $A$2:A677 &gt;= A677 - 30)))
"),"#DIV/0!")</f>
        <v>#DIV/0!</v>
      </c>
    </row>
    <row r="678" spans="1:14" x14ac:dyDescent="0.2">
      <c r="A678" s="35"/>
      <c r="B678" s="40"/>
      <c r="C678" s="40"/>
      <c r="D678" s="31"/>
      <c r="E678" s="31"/>
      <c r="F678" s="31"/>
      <c r="G678" s="19" t="e">
        <f t="shared" si="10"/>
        <v>#DIV/0!</v>
      </c>
      <c r="H678" s="20" t="str">
        <f ca="1">IFERROR(__xludf.DUMMYFUNCTION("IF(COUNTIFS($C$2:C678, C678, $A$2:A678, ""&lt;="" &amp; A678) &lt; 30, AVERAGEIF($C$2:C678, C678, $G$2:G678), AVERAGE(FILTER($G$2:G678, $C$2:C678 = C678, $A$2:A678 &gt;= A678 - 30)))
"),"#DIV/0!")</f>
        <v>#DIV/0!</v>
      </c>
      <c r="I678" s="20" t="e">
        <f t="shared" ca="1" si="11"/>
        <v>#DIV/0!</v>
      </c>
      <c r="J678" s="20" t="str">
        <f ca="1">IFERROR(__xludf.DUMMYFUNCTION("IF(OR($I678=2, $I678=3), 0, IFERROR(COUNTIFS($C$2:C678, $C678, $A$2:A679, ""&gt;""&amp;IFERROR(MAX(FILTER($A$2:A679, $C$2:C678=$C678, $I$2:I678&lt;&gt;1)), 0), $I$2:I678, 1),1))
"),"#DIV/0!")</f>
        <v>#DIV/0!</v>
      </c>
      <c r="K678" s="7" t="e">
        <f t="shared" ca="1" si="12"/>
        <v>#DIV/0!</v>
      </c>
      <c r="L678" s="20" t="e">
        <f t="shared" ca="1" si="13"/>
        <v>#DIV/0!</v>
      </c>
      <c r="M678" s="21" t="e">
        <f t="shared" ca="1" si="14"/>
        <v>#DIV/0!</v>
      </c>
      <c r="N678" s="20" t="str">
        <f ca="1">IFERROR(__xludf.DUMMYFUNCTION("IF(COUNTIFS($C$2:C678, C678, $A$2:A678, ""&lt;="" &amp; A678) &lt; 30, STDEV.P(FILTER($G$2:G678, $C$2:C678 = C678)), STDEV.P(FILTER($G$2:G678, $C$2:C678 = C678, $A$2:A678 &gt;= A678 - 30)))
"),"#DIV/0!")</f>
        <v>#DIV/0!</v>
      </c>
    </row>
    <row r="679" spans="1:14" x14ac:dyDescent="0.2">
      <c r="A679" s="35"/>
      <c r="B679" s="40"/>
      <c r="C679" s="40"/>
      <c r="D679" s="31"/>
      <c r="E679" s="31"/>
      <c r="F679" s="31"/>
      <c r="G679" s="19" t="e">
        <f t="shared" si="10"/>
        <v>#DIV/0!</v>
      </c>
      <c r="H679" s="20" t="str">
        <f ca="1">IFERROR(__xludf.DUMMYFUNCTION("IF(COUNTIFS($C$2:C679, C679, $A$2:A679, ""&lt;="" &amp; A679) &lt; 30, AVERAGEIF($C$2:C679, C679, $G$2:G679), AVERAGE(FILTER($G$2:G679, $C$2:C679 = C679, $A$2:A679 &gt;= A679 - 30)))
"),"#DIV/0!")</f>
        <v>#DIV/0!</v>
      </c>
      <c r="I679" s="20" t="e">
        <f t="shared" ca="1" si="11"/>
        <v>#DIV/0!</v>
      </c>
      <c r="J679" s="20" t="str">
        <f ca="1">IFERROR(__xludf.DUMMYFUNCTION("IF(OR($I679=2, $I679=3), 0, IFERROR(COUNTIFS($C$2:C679, $C679, $A$2:A680, ""&gt;""&amp;IFERROR(MAX(FILTER($A$2:A680, $C$2:C679=$C679, $I$2:I679&lt;&gt;1)), 0), $I$2:I679, 1),1))
"),"#DIV/0!")</f>
        <v>#DIV/0!</v>
      </c>
      <c r="K679" s="7" t="e">
        <f t="shared" ca="1" si="12"/>
        <v>#DIV/0!</v>
      </c>
      <c r="L679" s="20" t="e">
        <f t="shared" ca="1" si="13"/>
        <v>#DIV/0!</v>
      </c>
      <c r="M679" s="21" t="e">
        <f t="shared" ca="1" si="14"/>
        <v>#DIV/0!</v>
      </c>
      <c r="N679" s="20" t="str">
        <f ca="1">IFERROR(__xludf.DUMMYFUNCTION("IF(COUNTIFS($C$2:C679, C679, $A$2:A679, ""&lt;="" &amp; A679) &lt; 30, STDEV.P(FILTER($G$2:G679, $C$2:C679 = C679)), STDEV.P(FILTER($G$2:G679, $C$2:C679 = C679, $A$2:A679 &gt;= A679 - 30)))
"),"#DIV/0!")</f>
        <v>#DIV/0!</v>
      </c>
    </row>
    <row r="680" spans="1:14" x14ac:dyDescent="0.2">
      <c r="A680" s="35"/>
      <c r="B680" s="40"/>
      <c r="C680" s="40"/>
      <c r="D680" s="31"/>
      <c r="E680" s="31"/>
      <c r="F680" s="31"/>
      <c r="G680" s="19" t="e">
        <f t="shared" si="10"/>
        <v>#DIV/0!</v>
      </c>
      <c r="H680" s="20" t="str">
        <f ca="1">IFERROR(__xludf.DUMMYFUNCTION("IF(COUNTIFS($C$2:C680, C680, $A$2:A680, ""&lt;="" &amp; A680) &lt; 30, AVERAGEIF($C$2:C680, C680, $G$2:G680), AVERAGE(FILTER($G$2:G680, $C$2:C680 = C680, $A$2:A680 &gt;= A680 - 30)))
"),"#DIV/0!")</f>
        <v>#DIV/0!</v>
      </c>
      <c r="I680" s="20" t="e">
        <f t="shared" ca="1" si="11"/>
        <v>#DIV/0!</v>
      </c>
      <c r="J680" s="20" t="str">
        <f ca="1">IFERROR(__xludf.DUMMYFUNCTION("IF(OR($I680=2, $I680=3), 0, IFERROR(COUNTIFS($C$2:C680, $C680, $A$2:A681, ""&gt;""&amp;IFERROR(MAX(FILTER($A$2:A681, $C$2:C680=$C680, $I$2:I680&lt;&gt;1)), 0), $I$2:I680, 1),1))
"),"#DIV/0!")</f>
        <v>#DIV/0!</v>
      </c>
      <c r="K680" s="7" t="e">
        <f t="shared" ca="1" si="12"/>
        <v>#DIV/0!</v>
      </c>
      <c r="L680" s="20" t="e">
        <f t="shared" ca="1" si="13"/>
        <v>#DIV/0!</v>
      </c>
      <c r="M680" s="21" t="e">
        <f t="shared" ca="1" si="14"/>
        <v>#DIV/0!</v>
      </c>
      <c r="N680" s="20" t="str">
        <f ca="1">IFERROR(__xludf.DUMMYFUNCTION("IF(COUNTIFS($C$2:C680, C680, $A$2:A680, ""&lt;="" &amp; A680) &lt; 30, STDEV.P(FILTER($G$2:G680, $C$2:C680 = C680)), STDEV.P(FILTER($G$2:G680, $C$2:C680 = C680, $A$2:A680 &gt;= A680 - 30)))
"),"#DIV/0!")</f>
        <v>#DIV/0!</v>
      </c>
    </row>
    <row r="681" spans="1:14" x14ac:dyDescent="0.2">
      <c r="A681" s="35"/>
      <c r="B681" s="40"/>
      <c r="C681" s="40"/>
      <c r="D681" s="31"/>
      <c r="E681" s="31"/>
      <c r="F681" s="31"/>
      <c r="G681" s="19" t="e">
        <f t="shared" si="10"/>
        <v>#DIV/0!</v>
      </c>
      <c r="H681" s="20" t="str">
        <f ca="1">IFERROR(__xludf.DUMMYFUNCTION("IF(COUNTIFS($C$2:C681, C681, $A$2:A681, ""&lt;="" &amp; A681) &lt; 30, AVERAGEIF($C$2:C681, C681, $G$2:G681), AVERAGE(FILTER($G$2:G681, $C$2:C681 = C681, $A$2:A681 &gt;= A681 - 30)))
"),"#DIV/0!")</f>
        <v>#DIV/0!</v>
      </c>
      <c r="I681" s="20" t="e">
        <f t="shared" ca="1" si="11"/>
        <v>#DIV/0!</v>
      </c>
      <c r="J681" s="20" t="str">
        <f ca="1">IFERROR(__xludf.DUMMYFUNCTION("IF(OR($I681=2, $I681=3), 0, IFERROR(COUNTIFS($C$2:C681, $C681, $A$2:A682, ""&gt;""&amp;IFERROR(MAX(FILTER($A$2:A682, $C$2:C681=$C681, $I$2:I681&lt;&gt;1)), 0), $I$2:I681, 1),1))
"),"#DIV/0!")</f>
        <v>#DIV/0!</v>
      </c>
      <c r="K681" s="7" t="e">
        <f t="shared" ca="1" si="12"/>
        <v>#DIV/0!</v>
      </c>
      <c r="L681" s="20" t="e">
        <f t="shared" ca="1" si="13"/>
        <v>#DIV/0!</v>
      </c>
      <c r="M681" s="21" t="e">
        <f t="shared" ca="1" si="14"/>
        <v>#DIV/0!</v>
      </c>
      <c r="N681" s="20" t="str">
        <f ca="1">IFERROR(__xludf.DUMMYFUNCTION("IF(COUNTIFS($C$2:C681, C681, $A$2:A681, ""&lt;="" &amp; A681) &lt; 30, STDEV.P(FILTER($G$2:G681, $C$2:C681 = C681)), STDEV.P(FILTER($G$2:G681, $C$2:C681 = C681, $A$2:A681 &gt;= A681 - 30)))
"),"#DIV/0!")</f>
        <v>#DIV/0!</v>
      </c>
    </row>
    <row r="682" spans="1:14" x14ac:dyDescent="0.2">
      <c r="A682" s="35"/>
      <c r="B682" s="32"/>
      <c r="C682" s="32"/>
      <c r="D682" s="33"/>
      <c r="E682" s="33"/>
      <c r="F682" s="33"/>
      <c r="G682" s="19" t="e">
        <f t="shared" si="10"/>
        <v>#DIV/0!</v>
      </c>
      <c r="H682" s="20" t="str">
        <f ca="1">IFERROR(__xludf.DUMMYFUNCTION("IF(COUNTIFS($C$2:C682, C682, $A$2:A682, ""&lt;="" &amp; A682) &lt; 30, AVERAGEIF($C$2:C682, C682, $G$2:G682), AVERAGE(FILTER($G$2:G682, $C$2:C682 = C682, $A$2:A682 &gt;= A682 - 30)))
"),"#DIV/0!")</f>
        <v>#DIV/0!</v>
      </c>
      <c r="I682" s="20" t="e">
        <f t="shared" ca="1" si="11"/>
        <v>#DIV/0!</v>
      </c>
      <c r="J682" s="20" t="str">
        <f ca="1">IFERROR(__xludf.DUMMYFUNCTION("IF(OR($I682=2, $I682=3), 0, IFERROR(COUNTIFS($C$2:C682, $C682, $A$2:A683, ""&gt;""&amp;IFERROR(MAX(FILTER($A$2:A683, $C$2:C682=$C682, $I$2:I682&lt;&gt;1)), 0), $I$2:I682, 1),1))
"),"#DIV/0!")</f>
        <v>#DIV/0!</v>
      </c>
      <c r="K682" s="7" t="e">
        <f t="shared" ca="1" si="12"/>
        <v>#DIV/0!</v>
      </c>
      <c r="L682" s="20" t="e">
        <f t="shared" ca="1" si="13"/>
        <v>#DIV/0!</v>
      </c>
      <c r="M682" s="21" t="e">
        <f t="shared" ca="1" si="14"/>
        <v>#DIV/0!</v>
      </c>
      <c r="N682" s="20" t="str">
        <f ca="1">IFERROR(__xludf.DUMMYFUNCTION("IF(COUNTIFS($C$2:C682, C682, $A$2:A682, ""&lt;="" &amp; A682) &lt; 30, STDEV.P(FILTER($G$2:G682, $C$2:C682 = C682)), STDEV.P(FILTER($G$2:G682, $C$2:C682 = C682, $A$2:A682 &gt;= A682 - 30)))
"),"#DIV/0!")</f>
        <v>#DIV/0!</v>
      </c>
    </row>
    <row r="683" spans="1:14" x14ac:dyDescent="0.2">
      <c r="A683" s="41"/>
      <c r="B683" s="40"/>
      <c r="C683" s="40"/>
      <c r="D683" s="31"/>
      <c r="E683" s="31"/>
      <c r="F683" s="31"/>
      <c r="G683" s="19" t="e">
        <f t="shared" si="10"/>
        <v>#DIV/0!</v>
      </c>
      <c r="H683" s="20" t="str">
        <f ca="1">IFERROR(__xludf.DUMMYFUNCTION("IF(COUNTIFS($C$2:C683, C683, $A$2:A683, ""&lt;="" &amp; A683) &lt; 30, AVERAGEIF($C$2:C683, C683, $G$2:G683), AVERAGE(FILTER($G$2:G683, $C$2:C683 = C683, $A$2:A683 &gt;= A683 - 30)))
"),"#DIV/0!")</f>
        <v>#DIV/0!</v>
      </c>
      <c r="I683" s="20" t="e">
        <f t="shared" ca="1" si="11"/>
        <v>#DIV/0!</v>
      </c>
      <c r="J683" s="20" t="str">
        <f ca="1">IFERROR(__xludf.DUMMYFUNCTION("IF(OR($I683=2, $I683=3), 0, IFERROR(COUNTIFS($C$2:C683, $C683, $A$2:A684, ""&gt;""&amp;IFERROR(MAX(FILTER($A$2:A684, $C$2:C683=$C683, $I$2:I683&lt;&gt;1)), 0), $I$2:I683, 1),1))
"),"#DIV/0!")</f>
        <v>#DIV/0!</v>
      </c>
      <c r="K683" s="7" t="e">
        <f t="shared" ca="1" si="12"/>
        <v>#DIV/0!</v>
      </c>
      <c r="L683" s="20" t="e">
        <f t="shared" ca="1" si="13"/>
        <v>#DIV/0!</v>
      </c>
      <c r="M683" s="21" t="e">
        <f t="shared" ca="1" si="14"/>
        <v>#DIV/0!</v>
      </c>
      <c r="N683" s="20" t="str">
        <f ca="1">IFERROR(__xludf.DUMMYFUNCTION("IF(COUNTIFS($C$2:C683, C683, $A$2:A683, ""&lt;="" &amp; A683) &lt; 30, STDEV.P(FILTER($G$2:G683, $C$2:C683 = C683)), STDEV.P(FILTER($G$2:G683, $C$2:C683 = C683, $A$2:A683 &gt;= A683 - 30)))
"),"#DIV/0!")</f>
        <v>#DIV/0!</v>
      </c>
    </row>
    <row r="684" spans="1:14" x14ac:dyDescent="0.2">
      <c r="A684" s="41"/>
      <c r="B684" s="32"/>
      <c r="C684" s="32"/>
      <c r="D684" s="33"/>
      <c r="E684" s="33"/>
      <c r="F684" s="33"/>
      <c r="G684" s="19" t="e">
        <f t="shared" si="10"/>
        <v>#DIV/0!</v>
      </c>
      <c r="H684" s="20" t="str">
        <f ca="1">IFERROR(__xludf.DUMMYFUNCTION("IF(COUNTIFS($C$2:C684, C684, $A$2:A684, ""&lt;="" &amp; A684) &lt; 30, AVERAGEIF($C$2:C684, C684, $G$2:G684), AVERAGE(FILTER($G$2:G684, $C$2:C684 = C684, $A$2:A684 &gt;= A684 - 30)))
"),"#DIV/0!")</f>
        <v>#DIV/0!</v>
      </c>
      <c r="I684" s="20" t="e">
        <f t="shared" ca="1" si="11"/>
        <v>#DIV/0!</v>
      </c>
      <c r="J684" s="20" t="str">
        <f ca="1">IFERROR(__xludf.DUMMYFUNCTION("IF(OR($I684=2, $I684=3), 0, IFERROR(COUNTIFS($C$2:C684, $C684, $A$2:A685, ""&gt;""&amp;IFERROR(MAX(FILTER($A$2:A685, $C$2:C684=$C684, $I$2:I684&lt;&gt;1)), 0), $I$2:I684, 1),1))
"),"#DIV/0!")</f>
        <v>#DIV/0!</v>
      </c>
      <c r="K684" s="7" t="e">
        <f t="shared" ca="1" si="12"/>
        <v>#DIV/0!</v>
      </c>
      <c r="L684" s="20" t="e">
        <f t="shared" ca="1" si="13"/>
        <v>#DIV/0!</v>
      </c>
      <c r="M684" s="21" t="e">
        <f t="shared" ca="1" si="14"/>
        <v>#DIV/0!</v>
      </c>
      <c r="N684" s="20" t="str">
        <f ca="1">IFERROR(__xludf.DUMMYFUNCTION("IF(COUNTIFS($C$2:C684, C684, $A$2:A684, ""&lt;="" &amp; A684) &lt; 30, STDEV.P(FILTER($G$2:G684, $C$2:C684 = C684)), STDEV.P(FILTER($G$2:G684, $C$2:C684 = C684, $A$2:A684 &gt;= A684 - 30)))
"),"#DIV/0!")</f>
        <v>#DIV/0!</v>
      </c>
    </row>
    <row r="685" spans="1:14" x14ac:dyDescent="0.2">
      <c r="A685" s="41"/>
      <c r="B685" s="32"/>
      <c r="C685" s="32"/>
      <c r="D685" s="33"/>
      <c r="E685" s="33"/>
      <c r="F685" s="33"/>
      <c r="G685" s="19" t="e">
        <f t="shared" si="10"/>
        <v>#DIV/0!</v>
      </c>
      <c r="H685" s="20" t="str">
        <f ca="1">IFERROR(__xludf.DUMMYFUNCTION("IF(COUNTIFS($C$2:C685, C685, $A$2:A685, ""&lt;="" &amp; A685) &lt; 30, AVERAGEIF($C$2:C685, C685, $G$2:G685), AVERAGE(FILTER($G$2:G685, $C$2:C685 = C685, $A$2:A685 &gt;= A685 - 30)))
"),"#DIV/0!")</f>
        <v>#DIV/0!</v>
      </c>
      <c r="I685" s="20" t="e">
        <f t="shared" ca="1" si="11"/>
        <v>#DIV/0!</v>
      </c>
      <c r="J685" s="20" t="str">
        <f ca="1">IFERROR(__xludf.DUMMYFUNCTION("IF(OR($I685=2, $I685=3), 0, IFERROR(COUNTIFS($C$2:C685, $C685, $A$2:A686, ""&gt;""&amp;IFERROR(MAX(FILTER($A$2:A686, $C$2:C685=$C685, $I$2:I685&lt;&gt;1)), 0), $I$2:I685, 1),1))
"),"#DIV/0!")</f>
        <v>#DIV/0!</v>
      </c>
      <c r="K685" s="7" t="e">
        <f t="shared" ca="1" si="12"/>
        <v>#DIV/0!</v>
      </c>
      <c r="L685" s="20" t="e">
        <f t="shared" ca="1" si="13"/>
        <v>#DIV/0!</v>
      </c>
      <c r="M685" s="21" t="e">
        <f t="shared" ca="1" si="14"/>
        <v>#DIV/0!</v>
      </c>
      <c r="N685" s="20" t="str">
        <f ca="1">IFERROR(__xludf.DUMMYFUNCTION("IF(COUNTIFS($C$2:C685, C685, $A$2:A685, ""&lt;="" &amp; A685) &lt; 30, STDEV.P(FILTER($G$2:G685, $C$2:C685 = C685)), STDEV.P(FILTER($G$2:G685, $C$2:C685 = C685, $A$2:A685 &gt;= A685 - 30)))
"),"#DIV/0!")</f>
        <v>#DIV/0!</v>
      </c>
    </row>
    <row r="686" spans="1:14" x14ac:dyDescent="0.2">
      <c r="A686" s="41"/>
      <c r="B686" s="32"/>
      <c r="C686" s="32"/>
      <c r="D686" s="33"/>
      <c r="E686" s="33"/>
      <c r="F686" s="33"/>
      <c r="G686" s="19" t="e">
        <f t="shared" si="10"/>
        <v>#DIV/0!</v>
      </c>
      <c r="H686" s="20" t="str">
        <f ca="1">IFERROR(__xludf.DUMMYFUNCTION("IF(COUNTIFS($C$2:C686, C686, $A$2:A686, ""&lt;="" &amp; A686) &lt; 30, AVERAGEIF($C$2:C686, C686, $G$2:G686), AVERAGE(FILTER($G$2:G686, $C$2:C686 = C686, $A$2:A686 &gt;= A686 - 30)))
"),"#DIV/0!")</f>
        <v>#DIV/0!</v>
      </c>
      <c r="I686" s="20" t="e">
        <f t="shared" ca="1" si="11"/>
        <v>#DIV/0!</v>
      </c>
      <c r="J686" s="20" t="str">
        <f ca="1">IFERROR(__xludf.DUMMYFUNCTION("IF(OR($I686=2, $I686=3), 0, IFERROR(COUNTIFS($C$2:C686, $C686, $A$2:A687, ""&gt;""&amp;IFERROR(MAX(FILTER($A$2:A687, $C$2:C686=$C686, $I$2:I686&lt;&gt;1)), 0), $I$2:I686, 1),1))
"),"#DIV/0!")</f>
        <v>#DIV/0!</v>
      </c>
      <c r="K686" s="7" t="e">
        <f t="shared" ca="1" si="12"/>
        <v>#DIV/0!</v>
      </c>
      <c r="L686" s="20" t="e">
        <f t="shared" ca="1" si="13"/>
        <v>#DIV/0!</v>
      </c>
      <c r="M686" s="21" t="e">
        <f t="shared" ca="1" si="14"/>
        <v>#DIV/0!</v>
      </c>
      <c r="N686" s="20" t="str">
        <f ca="1">IFERROR(__xludf.DUMMYFUNCTION("IF(COUNTIFS($C$2:C686, C686, $A$2:A686, ""&lt;="" &amp; A686) &lt; 30, STDEV.P(FILTER($G$2:G686, $C$2:C686 = C686)), STDEV.P(FILTER($G$2:G686, $C$2:C686 = C686, $A$2:A686 &gt;= A686 - 30)))
"),"#DIV/0!")</f>
        <v>#DIV/0!</v>
      </c>
    </row>
    <row r="687" spans="1:14" x14ac:dyDescent="0.2">
      <c r="A687" s="41"/>
      <c r="B687" s="32"/>
      <c r="C687" s="32"/>
      <c r="D687" s="33"/>
      <c r="E687" s="33"/>
      <c r="F687" s="33"/>
      <c r="G687" s="19" t="e">
        <f t="shared" si="10"/>
        <v>#DIV/0!</v>
      </c>
      <c r="H687" s="20" t="str">
        <f ca="1">IFERROR(__xludf.DUMMYFUNCTION("IF(COUNTIFS($C$2:C687, C687, $A$2:A687, ""&lt;="" &amp; A687) &lt; 30, AVERAGEIF($C$2:C687, C687, $G$2:G687), AVERAGE(FILTER($G$2:G687, $C$2:C687 = C687, $A$2:A687 &gt;= A687 - 30)))
"),"#DIV/0!")</f>
        <v>#DIV/0!</v>
      </c>
      <c r="I687" s="20" t="e">
        <f t="shared" ca="1" si="11"/>
        <v>#DIV/0!</v>
      </c>
      <c r="J687" s="20" t="str">
        <f ca="1">IFERROR(__xludf.DUMMYFUNCTION("IF(OR($I687=2, $I687=3), 0, IFERROR(COUNTIFS($C$2:C687, $C687, $A$2:A688, ""&gt;""&amp;IFERROR(MAX(FILTER($A$2:A688, $C$2:C687=$C687, $I$2:I687&lt;&gt;1)), 0), $I$2:I687, 1),1))
"),"#DIV/0!")</f>
        <v>#DIV/0!</v>
      </c>
      <c r="K687" s="7" t="e">
        <f t="shared" ca="1" si="12"/>
        <v>#DIV/0!</v>
      </c>
      <c r="L687" s="20" t="e">
        <f t="shared" ca="1" si="13"/>
        <v>#DIV/0!</v>
      </c>
      <c r="M687" s="21" t="e">
        <f t="shared" ca="1" si="14"/>
        <v>#DIV/0!</v>
      </c>
      <c r="N687" s="20" t="str">
        <f ca="1">IFERROR(__xludf.DUMMYFUNCTION("IF(COUNTIFS($C$2:C687, C687, $A$2:A687, ""&lt;="" &amp; A687) &lt; 30, STDEV.P(FILTER($G$2:G687, $C$2:C687 = C687)), STDEV.P(FILTER($G$2:G687, $C$2:C687 = C687, $A$2:A687 &gt;= A687 - 30)))
"),"#DIV/0!")</f>
        <v>#DIV/0!</v>
      </c>
    </row>
    <row r="688" spans="1:14" x14ac:dyDescent="0.2">
      <c r="A688" s="41"/>
      <c r="B688" s="32"/>
      <c r="C688" s="32"/>
      <c r="D688" s="33"/>
      <c r="E688" s="33"/>
      <c r="F688" s="33"/>
      <c r="G688" s="19" t="e">
        <f t="shared" si="10"/>
        <v>#DIV/0!</v>
      </c>
      <c r="H688" s="20" t="str">
        <f ca="1">IFERROR(__xludf.DUMMYFUNCTION("IF(COUNTIFS($C$2:C688, C688, $A$2:A688, ""&lt;="" &amp; A688) &lt; 30, AVERAGEIF($C$2:C688, C688, $G$2:G688), AVERAGE(FILTER($G$2:G688, $C$2:C688 = C688, $A$2:A688 &gt;= A688 - 30)))
"),"#DIV/0!")</f>
        <v>#DIV/0!</v>
      </c>
      <c r="I688" s="20" t="e">
        <f t="shared" ca="1" si="11"/>
        <v>#DIV/0!</v>
      </c>
      <c r="J688" s="20" t="str">
        <f ca="1">IFERROR(__xludf.DUMMYFUNCTION("IF(OR($I688=2, $I688=3), 0, IFERROR(COUNTIFS($C$2:C688, $C688, $A$2:A689, ""&gt;""&amp;IFERROR(MAX(FILTER($A$2:A689, $C$2:C688=$C688, $I$2:I688&lt;&gt;1)), 0), $I$2:I688, 1),1))
"),"#DIV/0!")</f>
        <v>#DIV/0!</v>
      </c>
      <c r="K688" s="7" t="e">
        <f t="shared" ca="1" si="12"/>
        <v>#DIV/0!</v>
      </c>
      <c r="L688" s="20" t="e">
        <f t="shared" ca="1" si="13"/>
        <v>#DIV/0!</v>
      </c>
      <c r="M688" s="21" t="e">
        <f t="shared" ca="1" si="14"/>
        <v>#DIV/0!</v>
      </c>
      <c r="N688" s="20" t="str">
        <f ca="1">IFERROR(__xludf.DUMMYFUNCTION("IF(COUNTIFS($C$2:C688, C688, $A$2:A688, ""&lt;="" &amp; A688) &lt; 30, STDEV.P(FILTER($G$2:G688, $C$2:C688 = C688)), STDEV.P(FILTER($G$2:G688, $C$2:C688 = C688, $A$2:A688 &gt;= A688 - 30)))
"),"#DIV/0!")</f>
        <v>#DIV/0!</v>
      </c>
    </row>
    <row r="689" spans="1:14" x14ac:dyDescent="0.2">
      <c r="A689" s="41"/>
      <c r="B689" s="32"/>
      <c r="C689" s="32"/>
      <c r="D689" s="33"/>
      <c r="E689" s="33"/>
      <c r="F689" s="33"/>
      <c r="G689" s="19" t="e">
        <f t="shared" si="10"/>
        <v>#DIV/0!</v>
      </c>
      <c r="H689" s="20" t="str">
        <f ca="1">IFERROR(__xludf.DUMMYFUNCTION("IF(COUNTIFS($C$2:C689, C689, $A$2:A689, ""&lt;="" &amp; A689) &lt; 30, AVERAGEIF($C$2:C689, C689, $G$2:G689), AVERAGE(FILTER($G$2:G689, $C$2:C689 = C689, $A$2:A689 &gt;= A689 - 30)))
"),"#DIV/0!")</f>
        <v>#DIV/0!</v>
      </c>
      <c r="I689" s="20" t="e">
        <f t="shared" ca="1" si="11"/>
        <v>#DIV/0!</v>
      </c>
      <c r="J689" s="20" t="str">
        <f ca="1">IFERROR(__xludf.DUMMYFUNCTION("IF(OR($I689=2, $I689=3), 0, IFERROR(COUNTIFS($C$2:C689, $C689, $A$2:A690, ""&gt;""&amp;IFERROR(MAX(FILTER($A$2:A690, $C$2:C689=$C689, $I$2:I689&lt;&gt;1)), 0), $I$2:I689, 1),1))
"),"#DIV/0!")</f>
        <v>#DIV/0!</v>
      </c>
      <c r="K689" s="7" t="e">
        <f t="shared" ca="1" si="12"/>
        <v>#DIV/0!</v>
      </c>
      <c r="L689" s="20" t="e">
        <f t="shared" ca="1" si="13"/>
        <v>#DIV/0!</v>
      </c>
      <c r="M689" s="21" t="e">
        <f t="shared" ca="1" si="14"/>
        <v>#DIV/0!</v>
      </c>
      <c r="N689" s="20" t="str">
        <f ca="1">IFERROR(__xludf.DUMMYFUNCTION("IF(COUNTIFS($C$2:C689, C689, $A$2:A689, ""&lt;="" &amp; A689) &lt; 30, STDEV.P(FILTER($G$2:G689, $C$2:C689 = C689)), STDEV.P(FILTER($G$2:G689, $C$2:C689 = C689, $A$2:A689 &gt;= A689 - 30)))
"),"#DIV/0!")</f>
        <v>#DIV/0!</v>
      </c>
    </row>
    <row r="690" spans="1:14" x14ac:dyDescent="0.2">
      <c r="A690" s="41"/>
      <c r="B690" s="32"/>
      <c r="C690" s="32"/>
      <c r="D690" s="33"/>
      <c r="E690" s="33"/>
      <c r="F690" s="33"/>
      <c r="G690" s="19" t="e">
        <f t="shared" si="10"/>
        <v>#DIV/0!</v>
      </c>
      <c r="H690" s="20" t="str">
        <f ca="1">IFERROR(__xludf.DUMMYFUNCTION("IF(COUNTIFS($C$2:C690, C690, $A$2:A690, ""&lt;="" &amp; A690) &lt; 30, AVERAGEIF($C$2:C690, C690, $G$2:G690), AVERAGE(FILTER($G$2:G690, $C$2:C690 = C690, $A$2:A690 &gt;= A690 - 30)))
"),"#DIV/0!")</f>
        <v>#DIV/0!</v>
      </c>
      <c r="I690" s="20" t="e">
        <f t="shared" ca="1" si="11"/>
        <v>#DIV/0!</v>
      </c>
      <c r="J690" s="20" t="str">
        <f ca="1">IFERROR(__xludf.DUMMYFUNCTION("IF(OR($I690=2, $I690=3), 0, IFERROR(COUNTIFS($C$2:C690, $C690, $A$2:A691, ""&gt;""&amp;IFERROR(MAX(FILTER($A$2:A691, $C$2:C690=$C690, $I$2:I690&lt;&gt;1)), 0), $I$2:I690, 1),1))
"),"#DIV/0!")</f>
        <v>#DIV/0!</v>
      </c>
      <c r="K690" s="7" t="e">
        <f t="shared" ca="1" si="12"/>
        <v>#DIV/0!</v>
      </c>
      <c r="L690" s="20" t="e">
        <f t="shared" ca="1" si="13"/>
        <v>#DIV/0!</v>
      </c>
      <c r="M690" s="21" t="e">
        <f t="shared" ca="1" si="14"/>
        <v>#DIV/0!</v>
      </c>
      <c r="N690" s="20" t="str">
        <f ca="1">IFERROR(__xludf.DUMMYFUNCTION("IF(COUNTIFS($C$2:C690, C690, $A$2:A690, ""&lt;="" &amp; A690) &lt; 30, STDEV.P(FILTER($G$2:G690, $C$2:C690 = C690)), STDEV.P(FILTER($G$2:G690, $C$2:C690 = C690, $A$2:A690 &gt;= A690 - 30)))
"),"#DIV/0!")</f>
        <v>#DIV/0!</v>
      </c>
    </row>
    <row r="691" spans="1:14" x14ac:dyDescent="0.2">
      <c r="A691" s="41"/>
      <c r="B691" s="32"/>
      <c r="C691" s="32"/>
      <c r="D691" s="33"/>
      <c r="E691" s="33"/>
      <c r="F691" s="33"/>
      <c r="G691" s="19" t="e">
        <f t="shared" si="10"/>
        <v>#DIV/0!</v>
      </c>
      <c r="H691" s="20" t="str">
        <f ca="1">IFERROR(__xludf.DUMMYFUNCTION("IF(COUNTIFS($C$2:C691, C691, $A$2:A691, ""&lt;="" &amp; A691) &lt; 30, AVERAGEIF($C$2:C691, C691, $G$2:G691), AVERAGE(FILTER($G$2:G691, $C$2:C691 = C691, $A$2:A691 &gt;= A691 - 30)))
"),"#DIV/0!")</f>
        <v>#DIV/0!</v>
      </c>
      <c r="I691" s="20" t="e">
        <f t="shared" ca="1" si="11"/>
        <v>#DIV/0!</v>
      </c>
      <c r="J691" s="20" t="str">
        <f ca="1">IFERROR(__xludf.DUMMYFUNCTION("IF(OR($I691=2, $I691=3), 0, IFERROR(COUNTIFS($C$2:C691, $C691, $A$2:A692, ""&gt;""&amp;IFERROR(MAX(FILTER($A$2:A692, $C$2:C691=$C691, $I$2:I691&lt;&gt;1)), 0), $I$2:I691, 1),1))
"),"#DIV/0!")</f>
        <v>#DIV/0!</v>
      </c>
      <c r="K691" s="7" t="e">
        <f t="shared" ca="1" si="12"/>
        <v>#DIV/0!</v>
      </c>
      <c r="L691" s="20" t="e">
        <f t="shared" ca="1" si="13"/>
        <v>#DIV/0!</v>
      </c>
      <c r="M691" s="21" t="e">
        <f t="shared" ca="1" si="14"/>
        <v>#DIV/0!</v>
      </c>
      <c r="N691" s="20" t="str">
        <f ca="1">IFERROR(__xludf.DUMMYFUNCTION("IF(COUNTIFS($C$2:C691, C691, $A$2:A691, ""&lt;="" &amp; A691) &lt; 30, STDEV.P(FILTER($G$2:G691, $C$2:C691 = C691)), STDEV.P(FILTER($G$2:G691, $C$2:C691 = C691, $A$2:A691 &gt;= A691 - 30)))
"),"#DIV/0!")</f>
        <v>#DIV/0!</v>
      </c>
    </row>
    <row r="692" spans="1:14" x14ac:dyDescent="0.2">
      <c r="A692" s="41"/>
      <c r="B692" s="32"/>
      <c r="C692" s="32"/>
      <c r="D692" s="33"/>
      <c r="E692" s="33"/>
      <c r="F692" s="33"/>
      <c r="G692" s="19" t="e">
        <f t="shared" si="10"/>
        <v>#DIV/0!</v>
      </c>
      <c r="H692" s="20" t="str">
        <f ca="1">IFERROR(__xludf.DUMMYFUNCTION("IF(COUNTIFS($C$2:C692, C692, $A$2:A692, ""&lt;="" &amp; A692) &lt; 30, AVERAGEIF($C$2:C692, C692, $G$2:G692), AVERAGE(FILTER($G$2:G692, $C$2:C692 = C692, $A$2:A692 &gt;= A692 - 30)))
"),"#DIV/0!")</f>
        <v>#DIV/0!</v>
      </c>
      <c r="I692" s="20" t="e">
        <f t="shared" ca="1" si="11"/>
        <v>#DIV/0!</v>
      </c>
      <c r="J692" s="20" t="str">
        <f ca="1">IFERROR(__xludf.DUMMYFUNCTION("IF(OR($I692=2, $I692=3), 0, IFERROR(COUNTIFS($C$2:C692, $C692, $A$2:A693, ""&gt;""&amp;IFERROR(MAX(FILTER($A$2:A693, $C$2:C692=$C692, $I$2:I692&lt;&gt;1)), 0), $I$2:I692, 1),1))
"),"#DIV/0!")</f>
        <v>#DIV/0!</v>
      </c>
      <c r="K692" s="7" t="e">
        <f t="shared" ca="1" si="12"/>
        <v>#DIV/0!</v>
      </c>
      <c r="L692" s="20" t="e">
        <f t="shared" ca="1" si="13"/>
        <v>#DIV/0!</v>
      </c>
      <c r="M692" s="21" t="e">
        <f t="shared" ca="1" si="14"/>
        <v>#DIV/0!</v>
      </c>
      <c r="N692" s="20" t="str">
        <f ca="1">IFERROR(__xludf.DUMMYFUNCTION("IF(COUNTIFS($C$2:C692, C692, $A$2:A692, ""&lt;="" &amp; A692) &lt; 30, STDEV.P(FILTER($G$2:G692, $C$2:C692 = C692)), STDEV.P(FILTER($G$2:G692, $C$2:C692 = C692, $A$2:A692 &gt;= A692 - 30)))
"),"#DIV/0!")</f>
        <v>#DIV/0!</v>
      </c>
    </row>
    <row r="693" spans="1:14" x14ac:dyDescent="0.2">
      <c r="A693" s="41"/>
      <c r="B693" s="32"/>
      <c r="C693" s="32"/>
      <c r="D693" s="33"/>
      <c r="E693" s="33"/>
      <c r="F693" s="33"/>
      <c r="G693" s="19" t="e">
        <f t="shared" si="10"/>
        <v>#DIV/0!</v>
      </c>
      <c r="H693" s="20" t="str">
        <f ca="1">IFERROR(__xludf.DUMMYFUNCTION("IF(COUNTIFS($C$2:C693, C693, $A$2:A693, ""&lt;="" &amp; A693) &lt; 30, AVERAGEIF($C$2:C693, C693, $G$2:G693), AVERAGE(FILTER($G$2:G693, $C$2:C693 = C693, $A$2:A693 &gt;= A693 - 30)))
"),"#DIV/0!")</f>
        <v>#DIV/0!</v>
      </c>
      <c r="I693" s="20" t="e">
        <f t="shared" ca="1" si="11"/>
        <v>#DIV/0!</v>
      </c>
      <c r="J693" s="20" t="str">
        <f ca="1">IFERROR(__xludf.DUMMYFUNCTION("IF(OR($I693=2, $I693=3), 0, IFERROR(COUNTIFS($C$2:C693, $C693, $A$2:A694, ""&gt;""&amp;IFERROR(MAX(FILTER($A$2:A694, $C$2:C693=$C693, $I$2:I693&lt;&gt;1)), 0), $I$2:I693, 1),1))
"),"#DIV/0!")</f>
        <v>#DIV/0!</v>
      </c>
      <c r="K693" s="7" t="e">
        <f t="shared" ca="1" si="12"/>
        <v>#DIV/0!</v>
      </c>
      <c r="L693" s="20" t="e">
        <f t="shared" ca="1" si="13"/>
        <v>#DIV/0!</v>
      </c>
      <c r="M693" s="21" t="e">
        <f t="shared" ca="1" si="14"/>
        <v>#DIV/0!</v>
      </c>
      <c r="N693" s="20" t="str">
        <f ca="1">IFERROR(__xludf.DUMMYFUNCTION("IF(COUNTIFS($C$2:C693, C693, $A$2:A693, ""&lt;="" &amp; A693) &lt; 30, STDEV.P(FILTER($G$2:G693, $C$2:C693 = C693)), STDEV.P(FILTER($G$2:G693, $C$2:C693 = C693, $A$2:A693 &gt;= A693 - 30)))
"),"#DIV/0!")</f>
        <v>#DIV/0!</v>
      </c>
    </row>
    <row r="694" spans="1:14" x14ac:dyDescent="0.2">
      <c r="A694" s="41"/>
      <c r="B694" s="32"/>
      <c r="C694" s="32"/>
      <c r="D694" s="33"/>
      <c r="E694" s="33"/>
      <c r="F694" s="33"/>
      <c r="G694" s="19" t="e">
        <f t="shared" si="10"/>
        <v>#DIV/0!</v>
      </c>
      <c r="H694" s="20" t="str">
        <f ca="1">IFERROR(__xludf.DUMMYFUNCTION("IF(COUNTIFS($C$2:C694, C694, $A$2:A694, ""&lt;="" &amp; A694) &lt; 30, AVERAGEIF($C$2:C694, C694, $G$2:G694), AVERAGE(FILTER($G$2:G694, $C$2:C694 = C694, $A$2:A694 &gt;= A694 - 30)))
"),"#DIV/0!")</f>
        <v>#DIV/0!</v>
      </c>
      <c r="I694" s="20" t="e">
        <f t="shared" ca="1" si="11"/>
        <v>#DIV/0!</v>
      </c>
      <c r="J694" s="20" t="str">
        <f ca="1">IFERROR(__xludf.DUMMYFUNCTION("IF(OR($I694=2, $I694=3), 0, IFERROR(COUNTIFS($C$2:C694, $C694, $A$2:A695, ""&gt;""&amp;IFERROR(MAX(FILTER($A$2:A695, $C$2:C694=$C694, $I$2:I694&lt;&gt;1)), 0), $I$2:I694, 1),1))
"),"#DIV/0!")</f>
        <v>#DIV/0!</v>
      </c>
      <c r="K694" s="7" t="e">
        <f t="shared" ca="1" si="12"/>
        <v>#DIV/0!</v>
      </c>
      <c r="L694" s="20" t="e">
        <f t="shared" ca="1" si="13"/>
        <v>#DIV/0!</v>
      </c>
      <c r="M694" s="21" t="e">
        <f t="shared" ca="1" si="14"/>
        <v>#DIV/0!</v>
      </c>
      <c r="N694" s="20" t="str">
        <f ca="1">IFERROR(__xludf.DUMMYFUNCTION("IF(COUNTIFS($C$2:C694, C694, $A$2:A694, ""&lt;="" &amp; A694) &lt; 30, STDEV.P(FILTER($G$2:G694, $C$2:C694 = C694)), STDEV.P(FILTER($G$2:G694, $C$2:C694 = C694, $A$2:A694 &gt;= A694 - 30)))
"),"#DIV/0!")</f>
        <v>#DIV/0!</v>
      </c>
    </row>
    <row r="695" spans="1:14" x14ac:dyDescent="0.2">
      <c r="A695" s="41"/>
      <c r="B695" s="32"/>
      <c r="C695" s="32"/>
      <c r="D695" s="33"/>
      <c r="E695" s="33"/>
      <c r="F695" s="33"/>
      <c r="G695" s="19" t="e">
        <f t="shared" si="10"/>
        <v>#DIV/0!</v>
      </c>
      <c r="H695" s="20" t="str">
        <f ca="1">IFERROR(__xludf.DUMMYFUNCTION("IF(COUNTIFS($C$2:C695, C695, $A$2:A695, ""&lt;="" &amp; A695) &lt; 30, AVERAGEIF($C$2:C695, C695, $G$2:G695), AVERAGE(FILTER($G$2:G695, $C$2:C695 = C695, $A$2:A695 &gt;= A695 - 30)))
"),"#DIV/0!")</f>
        <v>#DIV/0!</v>
      </c>
      <c r="I695" s="20" t="e">
        <f t="shared" ca="1" si="11"/>
        <v>#DIV/0!</v>
      </c>
      <c r="J695" s="20" t="str">
        <f ca="1">IFERROR(__xludf.DUMMYFUNCTION("IF(OR($I695=2, $I695=3), 0, IFERROR(COUNTIFS($C$2:C695, $C695, $A$2:A696, ""&gt;""&amp;IFERROR(MAX(FILTER($A$2:A696, $C$2:C695=$C695, $I$2:I695&lt;&gt;1)), 0), $I$2:I695, 1),1))
"),"#DIV/0!")</f>
        <v>#DIV/0!</v>
      </c>
      <c r="K695" s="7" t="e">
        <f t="shared" ca="1" si="12"/>
        <v>#DIV/0!</v>
      </c>
      <c r="L695" s="20" t="e">
        <f t="shared" ca="1" si="13"/>
        <v>#DIV/0!</v>
      </c>
      <c r="M695" s="21" t="e">
        <f t="shared" ca="1" si="14"/>
        <v>#DIV/0!</v>
      </c>
      <c r="N695" s="20" t="str">
        <f ca="1">IFERROR(__xludf.DUMMYFUNCTION("IF(COUNTIFS($C$2:C695, C695, $A$2:A695, ""&lt;="" &amp; A695) &lt; 30, STDEV.P(FILTER($G$2:G695, $C$2:C695 = C695)), STDEV.P(FILTER($G$2:G695, $C$2:C695 = C695, $A$2:A695 &gt;= A695 - 30)))
"),"#DIV/0!")</f>
        <v>#DIV/0!</v>
      </c>
    </row>
    <row r="696" spans="1:14" x14ac:dyDescent="0.2">
      <c r="A696" s="41"/>
      <c r="B696" s="32"/>
      <c r="C696" s="32"/>
      <c r="D696" s="33"/>
      <c r="E696" s="33"/>
      <c r="F696" s="33"/>
      <c r="G696" s="19" t="e">
        <f t="shared" si="10"/>
        <v>#DIV/0!</v>
      </c>
      <c r="H696" s="20" t="str">
        <f ca="1">IFERROR(__xludf.DUMMYFUNCTION("IF(COUNTIFS($C$2:C696, C696, $A$2:A696, ""&lt;="" &amp; A696) &lt; 30, AVERAGEIF($C$2:C696, C696, $G$2:G696), AVERAGE(FILTER($G$2:G696, $C$2:C696 = C696, $A$2:A696 &gt;= A696 - 30)))
"),"#DIV/0!")</f>
        <v>#DIV/0!</v>
      </c>
      <c r="I696" s="20" t="e">
        <f t="shared" ca="1" si="11"/>
        <v>#DIV/0!</v>
      </c>
      <c r="J696" s="20" t="str">
        <f ca="1">IFERROR(__xludf.DUMMYFUNCTION("IF(OR($I696=2, $I696=3), 0, IFERROR(COUNTIFS($C$2:C696, $C696, $A$2:A697, ""&gt;""&amp;IFERROR(MAX(FILTER($A$2:A697, $C$2:C696=$C696, $I$2:I696&lt;&gt;1)), 0), $I$2:I696, 1),1))
"),"#DIV/0!")</f>
        <v>#DIV/0!</v>
      </c>
      <c r="K696" s="7" t="e">
        <f t="shared" ca="1" si="12"/>
        <v>#DIV/0!</v>
      </c>
      <c r="L696" s="20" t="e">
        <f t="shared" ca="1" si="13"/>
        <v>#DIV/0!</v>
      </c>
      <c r="M696" s="21" t="e">
        <f t="shared" ca="1" si="14"/>
        <v>#DIV/0!</v>
      </c>
      <c r="N696" s="20" t="str">
        <f ca="1">IFERROR(__xludf.DUMMYFUNCTION("IF(COUNTIFS($C$2:C696, C696, $A$2:A696, ""&lt;="" &amp; A696) &lt; 30, STDEV.P(FILTER($G$2:G696, $C$2:C696 = C696)), STDEV.P(FILTER($G$2:G696, $C$2:C696 = C696, $A$2:A696 &gt;= A696 - 30)))
"),"#DIV/0!")</f>
        <v>#DIV/0!</v>
      </c>
    </row>
    <row r="697" spans="1:14" x14ac:dyDescent="0.2">
      <c r="A697" s="41"/>
      <c r="B697" s="32"/>
      <c r="C697" s="32"/>
      <c r="D697" s="33"/>
      <c r="E697" s="33"/>
      <c r="F697" s="33"/>
      <c r="G697" s="19" t="e">
        <f t="shared" si="10"/>
        <v>#DIV/0!</v>
      </c>
      <c r="H697" s="20" t="str">
        <f ca="1">IFERROR(__xludf.DUMMYFUNCTION("IF(COUNTIFS($C$2:C697, C697, $A$2:A697, ""&lt;="" &amp; A697) &lt; 30, AVERAGEIF($C$2:C697, C697, $G$2:G697), AVERAGE(FILTER($G$2:G697, $C$2:C697 = C697, $A$2:A697 &gt;= A697 - 30)))
"),"#DIV/0!")</f>
        <v>#DIV/0!</v>
      </c>
      <c r="I697" s="20" t="e">
        <f t="shared" ca="1" si="11"/>
        <v>#DIV/0!</v>
      </c>
      <c r="J697" s="20" t="str">
        <f ca="1">IFERROR(__xludf.DUMMYFUNCTION("IF(OR($I697=2, $I697=3), 0, IFERROR(COUNTIFS($C$2:C697, $C697, $A$2:A698, ""&gt;""&amp;IFERROR(MAX(FILTER($A$2:A698, $C$2:C697=$C697, $I$2:I697&lt;&gt;1)), 0), $I$2:I697, 1),1))
"),"#DIV/0!")</f>
        <v>#DIV/0!</v>
      </c>
      <c r="K697" s="7" t="e">
        <f t="shared" ca="1" si="12"/>
        <v>#DIV/0!</v>
      </c>
      <c r="L697" s="20" t="e">
        <f t="shared" ca="1" si="13"/>
        <v>#DIV/0!</v>
      </c>
      <c r="M697" s="21" t="e">
        <f t="shared" ca="1" si="14"/>
        <v>#DIV/0!</v>
      </c>
      <c r="N697" s="20" t="str">
        <f ca="1">IFERROR(__xludf.DUMMYFUNCTION("IF(COUNTIFS($C$2:C697, C697, $A$2:A697, ""&lt;="" &amp; A697) &lt; 30, STDEV.P(FILTER($G$2:G697, $C$2:C697 = C697)), STDEV.P(FILTER($G$2:G697, $C$2:C697 = C697, $A$2:A697 &gt;= A697 - 30)))
"),"#DIV/0!")</f>
        <v>#DIV/0!</v>
      </c>
    </row>
    <row r="698" spans="1:14" x14ac:dyDescent="0.2">
      <c r="A698" s="41"/>
      <c r="B698" s="32"/>
      <c r="C698" s="32"/>
      <c r="D698" s="33"/>
      <c r="E698" s="33"/>
      <c r="F698" s="33"/>
      <c r="G698" s="19" t="e">
        <f t="shared" si="10"/>
        <v>#DIV/0!</v>
      </c>
      <c r="H698" s="20" t="str">
        <f ca="1">IFERROR(__xludf.DUMMYFUNCTION("IF(COUNTIFS($C$2:C698, C698, $A$2:A698, ""&lt;="" &amp; A698) &lt; 30, AVERAGEIF($C$2:C698, C698, $G$2:G698), AVERAGE(FILTER($G$2:G698, $C$2:C698 = C698, $A$2:A698 &gt;= A698 - 30)))
"),"#DIV/0!")</f>
        <v>#DIV/0!</v>
      </c>
      <c r="I698" s="20" t="e">
        <f t="shared" ca="1" si="11"/>
        <v>#DIV/0!</v>
      </c>
      <c r="J698" s="20" t="str">
        <f ca="1">IFERROR(__xludf.DUMMYFUNCTION("IF(OR($I698=2, $I698=3), 0, IFERROR(COUNTIFS($C$2:C698, $C698, $A$2:A699, ""&gt;""&amp;IFERROR(MAX(FILTER($A$2:A699, $C$2:C698=$C698, $I$2:I698&lt;&gt;1)), 0), $I$2:I698, 1),1))
"),"#DIV/0!")</f>
        <v>#DIV/0!</v>
      </c>
      <c r="K698" s="7" t="e">
        <f t="shared" ca="1" si="12"/>
        <v>#DIV/0!</v>
      </c>
      <c r="L698" s="20" t="e">
        <f t="shared" ca="1" si="13"/>
        <v>#DIV/0!</v>
      </c>
      <c r="M698" s="21" t="e">
        <f t="shared" ca="1" si="14"/>
        <v>#DIV/0!</v>
      </c>
      <c r="N698" s="20" t="str">
        <f ca="1">IFERROR(__xludf.DUMMYFUNCTION("IF(COUNTIFS($C$2:C698, C698, $A$2:A698, ""&lt;="" &amp; A698) &lt; 30, STDEV.P(FILTER($G$2:G698, $C$2:C698 = C698)), STDEV.P(FILTER($G$2:G698, $C$2:C698 = C698, $A$2:A698 &gt;= A698 - 30)))
"),"#DIV/0!")</f>
        <v>#DIV/0!</v>
      </c>
    </row>
    <row r="699" spans="1:14" x14ac:dyDescent="0.2">
      <c r="A699" s="41"/>
      <c r="B699" s="32"/>
      <c r="C699" s="32"/>
      <c r="D699" s="33"/>
      <c r="E699" s="33"/>
      <c r="F699" s="33"/>
      <c r="G699" s="19" t="e">
        <f t="shared" si="10"/>
        <v>#DIV/0!</v>
      </c>
      <c r="H699" s="20" t="str">
        <f ca="1">IFERROR(__xludf.DUMMYFUNCTION("IF(COUNTIFS($C$2:C699, C699, $A$2:A699, ""&lt;="" &amp; A699) &lt; 30, AVERAGEIF($C$2:C699, C699, $G$2:G699), AVERAGE(FILTER($G$2:G699, $C$2:C699 = C699, $A$2:A699 &gt;= A699 - 30)))
"),"#DIV/0!")</f>
        <v>#DIV/0!</v>
      </c>
      <c r="I699" s="20" t="e">
        <f t="shared" ca="1" si="11"/>
        <v>#DIV/0!</v>
      </c>
      <c r="J699" s="20" t="str">
        <f ca="1">IFERROR(__xludf.DUMMYFUNCTION("IF(OR($I699=2, $I699=3), 0, IFERROR(COUNTIFS($C$2:C699, $C699, $A$2:A700, ""&gt;""&amp;IFERROR(MAX(FILTER($A$2:A700, $C$2:C699=$C699, $I$2:I699&lt;&gt;1)), 0), $I$2:I699, 1),1))
"),"#DIV/0!")</f>
        <v>#DIV/0!</v>
      </c>
      <c r="K699" s="7" t="e">
        <f t="shared" ca="1" si="12"/>
        <v>#DIV/0!</v>
      </c>
      <c r="L699" s="20" t="e">
        <f t="shared" ca="1" si="13"/>
        <v>#DIV/0!</v>
      </c>
      <c r="M699" s="21" t="e">
        <f t="shared" ca="1" si="14"/>
        <v>#DIV/0!</v>
      </c>
      <c r="N699" s="20" t="str">
        <f ca="1">IFERROR(__xludf.DUMMYFUNCTION("IF(COUNTIFS($C$2:C699, C699, $A$2:A699, ""&lt;="" &amp; A699) &lt; 30, STDEV.P(FILTER($G$2:G699, $C$2:C699 = C699)), STDEV.P(FILTER($G$2:G699, $C$2:C699 = C699, $A$2:A699 &gt;= A699 - 30)))
"),"#DIV/0!")</f>
        <v>#DIV/0!</v>
      </c>
    </row>
    <row r="700" spans="1:14" x14ac:dyDescent="0.2">
      <c r="A700" s="41"/>
      <c r="B700" s="32"/>
      <c r="C700" s="32"/>
      <c r="D700" s="33"/>
      <c r="E700" s="33"/>
      <c r="F700" s="33"/>
      <c r="G700" s="19" t="e">
        <f t="shared" si="10"/>
        <v>#DIV/0!</v>
      </c>
      <c r="H700" s="20" t="str">
        <f ca="1">IFERROR(__xludf.DUMMYFUNCTION("IF(COUNTIFS($C$2:C700, C700, $A$2:A700, ""&lt;="" &amp; A700) &lt; 30, AVERAGEIF($C$2:C700, C700, $G$2:G700), AVERAGE(FILTER($G$2:G700, $C$2:C700 = C700, $A$2:A700 &gt;= A700 - 30)))
"),"#DIV/0!")</f>
        <v>#DIV/0!</v>
      </c>
      <c r="I700" s="20" t="e">
        <f t="shared" ca="1" si="11"/>
        <v>#DIV/0!</v>
      </c>
      <c r="J700" s="20" t="str">
        <f ca="1">IFERROR(__xludf.DUMMYFUNCTION("IF(OR($I700=2, $I700=3), 0, IFERROR(COUNTIFS($C$2:C700, $C700, $A$2:A701, ""&gt;""&amp;IFERROR(MAX(FILTER($A$2:A701, $C$2:C700=$C700, $I$2:I700&lt;&gt;1)), 0), $I$2:I700, 1),1))
"),"#DIV/0!")</f>
        <v>#DIV/0!</v>
      </c>
      <c r="K700" s="7" t="e">
        <f t="shared" ca="1" si="12"/>
        <v>#DIV/0!</v>
      </c>
      <c r="L700" s="20" t="e">
        <f t="shared" ca="1" si="13"/>
        <v>#DIV/0!</v>
      </c>
      <c r="M700" s="21" t="e">
        <f t="shared" ca="1" si="14"/>
        <v>#DIV/0!</v>
      </c>
      <c r="N700" s="20" t="str">
        <f ca="1">IFERROR(__xludf.DUMMYFUNCTION("IF(COUNTIFS($C$2:C700, C700, $A$2:A700, ""&lt;="" &amp; A700) &lt; 30, STDEV.P(FILTER($G$2:G700, $C$2:C700 = C700)), STDEV.P(FILTER($G$2:G700, $C$2:C700 = C700, $A$2:A700 &gt;= A700 - 30)))
"),"#DIV/0!")</f>
        <v>#DIV/0!</v>
      </c>
    </row>
    <row r="701" spans="1:14" x14ac:dyDescent="0.2">
      <c r="A701" s="41"/>
      <c r="B701" s="32"/>
      <c r="C701" s="32"/>
      <c r="D701" s="33"/>
      <c r="E701" s="33"/>
      <c r="F701" s="33"/>
      <c r="G701" s="19" t="e">
        <f t="shared" si="10"/>
        <v>#DIV/0!</v>
      </c>
      <c r="H701" s="20" t="str">
        <f ca="1">IFERROR(__xludf.DUMMYFUNCTION("IF(COUNTIFS($C$2:C701, C701, $A$2:A701, ""&lt;="" &amp; A701) &lt; 30, AVERAGEIF($C$2:C701, C701, $G$2:G701), AVERAGE(FILTER($G$2:G701, $C$2:C701 = C701, $A$2:A701 &gt;= A701 - 30)))
"),"#DIV/0!")</f>
        <v>#DIV/0!</v>
      </c>
      <c r="I701" s="20" t="e">
        <f t="shared" ca="1" si="11"/>
        <v>#DIV/0!</v>
      </c>
      <c r="J701" s="20" t="str">
        <f ca="1">IFERROR(__xludf.DUMMYFUNCTION("IF(OR($I701=2, $I701=3), 0, IFERROR(COUNTIFS($C$2:C701, $C701, $A$2:A702, ""&gt;""&amp;IFERROR(MAX(FILTER($A$2:A702, $C$2:C701=$C701, $I$2:I701&lt;&gt;1)), 0), $I$2:I701, 1),1))
"),"#DIV/0!")</f>
        <v>#DIV/0!</v>
      </c>
      <c r="K701" s="7" t="e">
        <f t="shared" ca="1" si="12"/>
        <v>#DIV/0!</v>
      </c>
      <c r="L701" s="20" t="e">
        <f t="shared" ca="1" si="13"/>
        <v>#DIV/0!</v>
      </c>
      <c r="M701" s="21" t="e">
        <f t="shared" ca="1" si="14"/>
        <v>#DIV/0!</v>
      </c>
      <c r="N701" s="20" t="str">
        <f ca="1">IFERROR(__xludf.DUMMYFUNCTION("IF(COUNTIFS($C$2:C701, C701, $A$2:A701, ""&lt;="" &amp; A701) &lt; 30, STDEV.P(FILTER($G$2:G701, $C$2:C701 = C701)), STDEV.P(FILTER($G$2:G701, $C$2:C701 = C701, $A$2:A701 &gt;= A701 - 30)))
"),"#DIV/0!")</f>
        <v>#DIV/0!</v>
      </c>
    </row>
    <row r="702" spans="1:14" x14ac:dyDescent="0.2">
      <c r="A702" s="41"/>
      <c r="B702" s="32"/>
      <c r="C702" s="32"/>
      <c r="D702" s="33"/>
      <c r="E702" s="33"/>
      <c r="F702" s="33"/>
      <c r="G702" s="19" t="e">
        <f t="shared" si="10"/>
        <v>#DIV/0!</v>
      </c>
      <c r="H702" s="20" t="str">
        <f ca="1">IFERROR(__xludf.DUMMYFUNCTION("IF(COUNTIFS($C$2:C702, C702, $A$2:A702, ""&lt;="" &amp; A702) &lt; 30, AVERAGEIF($C$2:C702, C702, $G$2:G702), AVERAGE(FILTER($G$2:G702, $C$2:C702 = C702, $A$2:A702 &gt;= A702 - 30)))
"),"#DIV/0!")</f>
        <v>#DIV/0!</v>
      </c>
      <c r="I702" s="20" t="e">
        <f t="shared" ca="1" si="11"/>
        <v>#DIV/0!</v>
      </c>
      <c r="J702" s="20" t="str">
        <f ca="1">IFERROR(__xludf.DUMMYFUNCTION("IF(OR($I702=2, $I702=3), 0, IFERROR(COUNTIFS($C$2:C702, $C702, $A$2:A703, ""&gt;""&amp;IFERROR(MAX(FILTER($A$2:A703, $C$2:C702=$C702, $I$2:I702&lt;&gt;1)), 0), $I$2:I702, 1),1))
"),"#DIV/0!")</f>
        <v>#DIV/0!</v>
      </c>
      <c r="K702" s="7" t="e">
        <f t="shared" ca="1" si="12"/>
        <v>#DIV/0!</v>
      </c>
      <c r="L702" s="20" t="e">
        <f t="shared" ca="1" si="13"/>
        <v>#DIV/0!</v>
      </c>
      <c r="M702" s="21" t="e">
        <f t="shared" ca="1" si="14"/>
        <v>#DIV/0!</v>
      </c>
      <c r="N702" s="20" t="str">
        <f ca="1">IFERROR(__xludf.DUMMYFUNCTION("IF(COUNTIFS($C$2:C702, C702, $A$2:A702, ""&lt;="" &amp; A702) &lt; 30, STDEV.P(FILTER($G$2:G702, $C$2:C702 = C702)), STDEV.P(FILTER($G$2:G702, $C$2:C702 = C702, $A$2:A702 &gt;= A702 - 30)))
"),"#DIV/0!")</f>
        <v>#DIV/0!</v>
      </c>
    </row>
    <row r="703" spans="1:14" x14ac:dyDescent="0.2">
      <c r="A703" s="41"/>
      <c r="B703" s="40"/>
      <c r="C703" s="40"/>
      <c r="D703" s="31"/>
      <c r="E703" s="31"/>
      <c r="F703" s="31"/>
      <c r="G703" s="19" t="e">
        <f t="shared" si="10"/>
        <v>#DIV/0!</v>
      </c>
      <c r="H703" s="20" t="str">
        <f ca="1">IFERROR(__xludf.DUMMYFUNCTION("IF(COUNTIFS($C$2:C703, C703, $A$2:A703, ""&lt;="" &amp; A703) &lt; 30, AVERAGEIF($C$2:C703, C703, $G$2:G703), AVERAGE(FILTER($G$2:G703, $C$2:C703 = C703, $A$2:A703 &gt;= A703 - 30)))
"),"#DIV/0!")</f>
        <v>#DIV/0!</v>
      </c>
      <c r="I703" s="20" t="e">
        <f t="shared" ca="1" si="11"/>
        <v>#DIV/0!</v>
      </c>
      <c r="J703" s="20" t="str">
        <f ca="1">IFERROR(__xludf.DUMMYFUNCTION("IF(OR($I703=2, $I703=3), 0, IFERROR(COUNTIFS($C$2:C703, $C703, $A$2:A704, ""&gt;""&amp;IFERROR(MAX(FILTER($A$2:A704, $C$2:C703=$C703, $I$2:I703&lt;&gt;1)), 0), $I$2:I703, 1),1))
"),"#DIV/0!")</f>
        <v>#DIV/0!</v>
      </c>
      <c r="K703" s="7" t="e">
        <f t="shared" ca="1" si="12"/>
        <v>#DIV/0!</v>
      </c>
      <c r="L703" s="20" t="e">
        <f t="shared" ca="1" si="13"/>
        <v>#DIV/0!</v>
      </c>
      <c r="M703" s="21" t="e">
        <f t="shared" ca="1" si="14"/>
        <v>#DIV/0!</v>
      </c>
      <c r="N703" s="20" t="str">
        <f ca="1">IFERROR(__xludf.DUMMYFUNCTION("IF(COUNTIFS($C$2:C703, C703, $A$2:A703, ""&lt;="" &amp; A703) &lt; 30, STDEV.P(FILTER($G$2:G703, $C$2:C703 = C703)), STDEV.P(FILTER($G$2:G703, $C$2:C703 = C703, $A$2:A703 &gt;= A703 - 30)))
"),"#DIV/0!")</f>
        <v>#DIV/0!</v>
      </c>
    </row>
    <row r="704" spans="1:14" x14ac:dyDescent="0.2">
      <c r="A704" s="41"/>
      <c r="B704" s="32"/>
      <c r="C704" s="32"/>
      <c r="D704" s="33"/>
      <c r="E704" s="33"/>
      <c r="F704" s="33"/>
      <c r="G704" s="19" t="e">
        <f t="shared" si="10"/>
        <v>#DIV/0!</v>
      </c>
      <c r="H704" s="20" t="str">
        <f ca="1">IFERROR(__xludf.DUMMYFUNCTION("IF(COUNTIFS($C$2:C704, C704, $A$2:A704, ""&lt;="" &amp; A704) &lt; 30, AVERAGEIF($C$2:C704, C704, $G$2:G704), AVERAGE(FILTER($G$2:G704, $C$2:C704 = C704, $A$2:A704 &gt;= A704 - 30)))
"),"#DIV/0!")</f>
        <v>#DIV/0!</v>
      </c>
      <c r="I704" s="20" t="e">
        <f t="shared" ca="1" si="11"/>
        <v>#DIV/0!</v>
      </c>
      <c r="J704" s="20" t="str">
        <f ca="1">IFERROR(__xludf.DUMMYFUNCTION("IF(OR($I704=2, $I704=3), 0, IFERROR(COUNTIFS($C$2:C704, $C704, $A$2:A705, ""&gt;""&amp;IFERROR(MAX(FILTER($A$2:A705, $C$2:C704=$C704, $I$2:I704&lt;&gt;1)), 0), $I$2:I704, 1),1))
"),"#DIV/0!")</f>
        <v>#DIV/0!</v>
      </c>
      <c r="K704" s="7" t="e">
        <f t="shared" ca="1" si="12"/>
        <v>#DIV/0!</v>
      </c>
      <c r="L704" s="20" t="e">
        <f t="shared" ca="1" si="13"/>
        <v>#DIV/0!</v>
      </c>
      <c r="M704" s="21" t="e">
        <f t="shared" ca="1" si="14"/>
        <v>#DIV/0!</v>
      </c>
      <c r="N704" s="20" t="str">
        <f ca="1">IFERROR(__xludf.DUMMYFUNCTION("IF(COUNTIFS($C$2:C704, C704, $A$2:A704, ""&lt;="" &amp; A704) &lt; 30, STDEV.P(FILTER($G$2:G704, $C$2:C704 = C704)), STDEV.P(FILTER($G$2:G704, $C$2:C704 = C704, $A$2:A704 &gt;= A704 - 30)))
"),"#DIV/0!")</f>
        <v>#DIV/0!</v>
      </c>
    </row>
    <row r="705" spans="1:14" x14ac:dyDescent="0.2">
      <c r="A705" s="41"/>
      <c r="B705" s="32"/>
      <c r="C705" s="32"/>
      <c r="D705" s="33"/>
      <c r="E705" s="33"/>
      <c r="F705" s="33"/>
      <c r="G705" s="19" t="e">
        <f t="shared" si="10"/>
        <v>#DIV/0!</v>
      </c>
      <c r="H705" s="20" t="str">
        <f ca="1">IFERROR(__xludf.DUMMYFUNCTION("IF(COUNTIFS($C$2:C705, C705, $A$2:A705, ""&lt;="" &amp; A705) &lt; 30, AVERAGEIF($C$2:C705, C705, $G$2:G705), AVERAGE(FILTER($G$2:G705, $C$2:C705 = C705, $A$2:A705 &gt;= A705 - 30)))
"),"#DIV/0!")</f>
        <v>#DIV/0!</v>
      </c>
      <c r="I705" s="20" t="e">
        <f t="shared" ca="1" si="11"/>
        <v>#DIV/0!</v>
      </c>
      <c r="J705" s="20" t="str">
        <f ca="1">IFERROR(__xludf.DUMMYFUNCTION("IF(OR($I705=2, $I705=3), 0, IFERROR(COUNTIFS($C$2:C705, $C705, $A$2:A706, ""&gt;""&amp;IFERROR(MAX(FILTER($A$2:A706, $C$2:C705=$C705, $I$2:I705&lt;&gt;1)), 0), $I$2:I705, 1),1))
"),"#DIV/0!")</f>
        <v>#DIV/0!</v>
      </c>
      <c r="K705" s="7" t="e">
        <f t="shared" ca="1" si="12"/>
        <v>#DIV/0!</v>
      </c>
      <c r="L705" s="20" t="e">
        <f t="shared" ca="1" si="13"/>
        <v>#DIV/0!</v>
      </c>
      <c r="M705" s="21" t="e">
        <f t="shared" ca="1" si="14"/>
        <v>#DIV/0!</v>
      </c>
      <c r="N705" s="20" t="str">
        <f ca="1">IFERROR(__xludf.DUMMYFUNCTION("IF(COUNTIFS($C$2:C705, C705, $A$2:A705, ""&lt;="" &amp; A705) &lt; 30, STDEV.P(FILTER($G$2:G705, $C$2:C705 = C705)), STDEV.P(FILTER($G$2:G705, $C$2:C705 = C705, $A$2:A705 &gt;= A705 - 30)))
"),"#DIV/0!")</f>
        <v>#DIV/0!</v>
      </c>
    </row>
    <row r="706" spans="1:14" x14ac:dyDescent="0.2">
      <c r="A706" s="41"/>
      <c r="B706" s="32"/>
      <c r="C706" s="32"/>
      <c r="D706" s="33"/>
      <c r="E706" s="33"/>
      <c r="F706" s="33"/>
      <c r="G706" s="19" t="e">
        <f t="shared" si="10"/>
        <v>#DIV/0!</v>
      </c>
      <c r="H706" s="20" t="str">
        <f ca="1">IFERROR(__xludf.DUMMYFUNCTION("IF(COUNTIFS($C$2:C706, C706, $A$2:A706, ""&lt;="" &amp; A706) &lt; 30, AVERAGEIF($C$2:C706, C706, $G$2:G706), AVERAGE(FILTER($G$2:G706, $C$2:C706 = C706, $A$2:A706 &gt;= A706 - 30)))
"),"#DIV/0!")</f>
        <v>#DIV/0!</v>
      </c>
      <c r="I706" s="20" t="e">
        <f t="shared" ca="1" si="11"/>
        <v>#DIV/0!</v>
      </c>
      <c r="J706" s="20" t="str">
        <f ca="1">IFERROR(__xludf.DUMMYFUNCTION("IF(OR($I706=2, $I706=3), 0, IFERROR(COUNTIFS($C$2:C706, $C706, $A$2:A707, ""&gt;""&amp;IFERROR(MAX(FILTER($A$2:A707, $C$2:C706=$C706, $I$2:I706&lt;&gt;1)), 0), $I$2:I706, 1),1))
"),"#DIV/0!")</f>
        <v>#DIV/0!</v>
      </c>
      <c r="K706" s="7" t="e">
        <f t="shared" ca="1" si="12"/>
        <v>#DIV/0!</v>
      </c>
      <c r="L706" s="20" t="e">
        <f t="shared" ca="1" si="13"/>
        <v>#DIV/0!</v>
      </c>
      <c r="M706" s="21" t="e">
        <f t="shared" ca="1" si="14"/>
        <v>#DIV/0!</v>
      </c>
      <c r="N706" s="20" t="str">
        <f ca="1">IFERROR(__xludf.DUMMYFUNCTION("IF(COUNTIFS($C$2:C706, C706, $A$2:A706, ""&lt;="" &amp; A706) &lt; 30, STDEV.P(FILTER($G$2:G706, $C$2:C706 = C706)), STDEV.P(FILTER($G$2:G706, $C$2:C706 = C706, $A$2:A706 &gt;= A706 - 30)))
"),"#DIV/0!")</f>
        <v>#DIV/0!</v>
      </c>
    </row>
    <row r="707" spans="1:14" x14ac:dyDescent="0.2">
      <c r="A707" s="41"/>
      <c r="B707" s="32"/>
      <c r="C707" s="32"/>
      <c r="D707" s="33"/>
      <c r="E707" s="33"/>
      <c r="F707" s="33"/>
      <c r="G707" s="19" t="e">
        <f t="shared" si="10"/>
        <v>#DIV/0!</v>
      </c>
      <c r="H707" s="20" t="str">
        <f ca="1">IFERROR(__xludf.DUMMYFUNCTION("IF(COUNTIFS($C$2:C707, C707, $A$2:A707, ""&lt;="" &amp; A707) &lt; 30, AVERAGEIF($C$2:C707, C707, $G$2:G707), AVERAGE(FILTER($G$2:G707, $C$2:C707 = C707, $A$2:A707 &gt;= A707 - 30)))
"),"#DIV/0!")</f>
        <v>#DIV/0!</v>
      </c>
      <c r="I707" s="20" t="e">
        <f t="shared" ca="1" si="11"/>
        <v>#DIV/0!</v>
      </c>
      <c r="J707" s="20" t="str">
        <f ca="1">IFERROR(__xludf.DUMMYFUNCTION("IF(OR($I707=2, $I707=3), 0, IFERROR(COUNTIFS($C$2:C707, $C707, $A$2:A708, ""&gt;""&amp;IFERROR(MAX(FILTER($A$2:A708, $C$2:C707=$C707, $I$2:I707&lt;&gt;1)), 0), $I$2:I707, 1),1))
"),"#DIV/0!")</f>
        <v>#DIV/0!</v>
      </c>
      <c r="K707" s="7" t="e">
        <f t="shared" ca="1" si="12"/>
        <v>#DIV/0!</v>
      </c>
      <c r="L707" s="20" t="e">
        <f t="shared" ca="1" si="13"/>
        <v>#DIV/0!</v>
      </c>
      <c r="M707" s="21" t="e">
        <f t="shared" ca="1" si="14"/>
        <v>#DIV/0!</v>
      </c>
      <c r="N707" s="20" t="str">
        <f ca="1">IFERROR(__xludf.DUMMYFUNCTION("IF(COUNTIFS($C$2:C707, C707, $A$2:A707, ""&lt;="" &amp; A707) &lt; 30, STDEV.P(FILTER($G$2:G707, $C$2:C707 = C707)), STDEV.P(FILTER($G$2:G707, $C$2:C707 = C707, $A$2:A707 &gt;= A707 - 30)))
"),"#DIV/0!")</f>
        <v>#DIV/0!</v>
      </c>
    </row>
    <row r="708" spans="1:14" x14ac:dyDescent="0.2">
      <c r="A708" s="41"/>
      <c r="B708" s="32"/>
      <c r="C708" s="32"/>
      <c r="D708" s="33"/>
      <c r="E708" s="33"/>
      <c r="F708" s="33"/>
      <c r="G708" s="19" t="e">
        <f t="shared" si="10"/>
        <v>#DIV/0!</v>
      </c>
      <c r="H708" s="20" t="str">
        <f ca="1">IFERROR(__xludf.DUMMYFUNCTION("IF(COUNTIFS($C$2:C708, C708, $A$2:A708, ""&lt;="" &amp; A708) &lt; 30, AVERAGEIF($C$2:C708, C708, $G$2:G708), AVERAGE(FILTER($G$2:G708, $C$2:C708 = C708, $A$2:A708 &gt;= A708 - 30)))
"),"#DIV/0!")</f>
        <v>#DIV/0!</v>
      </c>
      <c r="I708" s="20" t="e">
        <f t="shared" ca="1" si="11"/>
        <v>#DIV/0!</v>
      </c>
      <c r="J708" s="20" t="str">
        <f ca="1">IFERROR(__xludf.DUMMYFUNCTION("IF(OR($I708=2, $I708=3), 0, IFERROR(COUNTIFS($C$2:C708, $C708, $A$2:A709, ""&gt;""&amp;IFERROR(MAX(FILTER($A$2:A709, $C$2:C708=$C708, $I$2:I708&lt;&gt;1)), 0), $I$2:I708, 1),1))
"),"#DIV/0!")</f>
        <v>#DIV/0!</v>
      </c>
      <c r="K708" s="7" t="e">
        <f t="shared" ca="1" si="12"/>
        <v>#DIV/0!</v>
      </c>
      <c r="L708" s="20" t="e">
        <f t="shared" ca="1" si="13"/>
        <v>#DIV/0!</v>
      </c>
      <c r="M708" s="21" t="e">
        <f t="shared" ca="1" si="14"/>
        <v>#DIV/0!</v>
      </c>
      <c r="N708" s="20" t="str">
        <f ca="1">IFERROR(__xludf.DUMMYFUNCTION("IF(COUNTIFS($C$2:C708, C708, $A$2:A708, ""&lt;="" &amp; A708) &lt; 30, STDEV.P(FILTER($G$2:G708, $C$2:C708 = C708)), STDEV.P(FILTER($G$2:G708, $C$2:C708 = C708, $A$2:A708 &gt;= A708 - 30)))
"),"#DIV/0!")</f>
        <v>#DIV/0!</v>
      </c>
    </row>
    <row r="709" spans="1:14" x14ac:dyDescent="0.2">
      <c r="A709" s="41"/>
      <c r="B709" s="32"/>
      <c r="C709" s="32"/>
      <c r="D709" s="33"/>
      <c r="E709" s="33"/>
      <c r="F709" s="33"/>
      <c r="G709" s="19" t="e">
        <f t="shared" si="10"/>
        <v>#DIV/0!</v>
      </c>
      <c r="H709" s="20" t="str">
        <f ca="1">IFERROR(__xludf.DUMMYFUNCTION("IF(COUNTIFS($C$2:C709, C709, $A$2:A709, ""&lt;="" &amp; A709) &lt; 30, AVERAGEIF($C$2:C709, C709, $G$2:G709), AVERAGE(FILTER($G$2:G709, $C$2:C709 = C709, $A$2:A709 &gt;= A709 - 30)))
"),"#DIV/0!")</f>
        <v>#DIV/0!</v>
      </c>
      <c r="I709" s="20" t="e">
        <f t="shared" ca="1" si="11"/>
        <v>#DIV/0!</v>
      </c>
      <c r="J709" s="20" t="str">
        <f ca="1">IFERROR(__xludf.DUMMYFUNCTION("IF(OR($I709=2, $I709=3), 0, IFERROR(COUNTIFS($C$2:C709, $C709, $A$2:A710, ""&gt;""&amp;IFERROR(MAX(FILTER($A$2:A710, $C$2:C709=$C709, $I$2:I709&lt;&gt;1)), 0), $I$2:I709, 1),1))
"),"#DIV/0!")</f>
        <v>#DIV/0!</v>
      </c>
      <c r="K709" s="7" t="e">
        <f t="shared" ca="1" si="12"/>
        <v>#DIV/0!</v>
      </c>
      <c r="L709" s="20" t="e">
        <f t="shared" ca="1" si="13"/>
        <v>#DIV/0!</v>
      </c>
      <c r="M709" s="21" t="e">
        <f t="shared" ca="1" si="14"/>
        <v>#DIV/0!</v>
      </c>
      <c r="N709" s="20" t="str">
        <f ca="1">IFERROR(__xludf.DUMMYFUNCTION("IF(COUNTIFS($C$2:C709, C709, $A$2:A709, ""&lt;="" &amp; A709) &lt; 30, STDEV.P(FILTER($G$2:G709, $C$2:C709 = C709)), STDEV.P(FILTER($G$2:G709, $C$2:C709 = C709, $A$2:A709 &gt;= A709 - 30)))
"),"#DIV/0!")</f>
        <v>#DIV/0!</v>
      </c>
    </row>
    <row r="710" spans="1:14" x14ac:dyDescent="0.2">
      <c r="A710" s="41"/>
      <c r="B710" s="32"/>
      <c r="C710" s="32"/>
      <c r="D710" s="33"/>
      <c r="E710" s="33"/>
      <c r="F710" s="33"/>
      <c r="G710" s="19" t="e">
        <f t="shared" si="10"/>
        <v>#DIV/0!</v>
      </c>
      <c r="H710" s="20" t="str">
        <f ca="1">IFERROR(__xludf.DUMMYFUNCTION("IF(COUNTIFS($C$2:C710, C710, $A$2:A710, ""&lt;="" &amp; A710) &lt; 30, AVERAGEIF($C$2:C710, C710, $G$2:G710), AVERAGE(FILTER($G$2:G710, $C$2:C710 = C710, $A$2:A710 &gt;= A710 - 30)))
"),"#DIV/0!")</f>
        <v>#DIV/0!</v>
      </c>
      <c r="I710" s="20" t="e">
        <f t="shared" ca="1" si="11"/>
        <v>#DIV/0!</v>
      </c>
      <c r="J710" s="20" t="str">
        <f ca="1">IFERROR(__xludf.DUMMYFUNCTION("IF(OR($I710=2, $I710=3), 0, IFERROR(COUNTIFS($C$2:C710, $C710, $A$2:A711, ""&gt;""&amp;IFERROR(MAX(FILTER($A$2:A711, $C$2:C710=$C710, $I$2:I710&lt;&gt;1)), 0), $I$2:I710, 1),1))
"),"#DIV/0!")</f>
        <v>#DIV/0!</v>
      </c>
      <c r="K710" s="7" t="e">
        <f t="shared" ca="1" si="12"/>
        <v>#DIV/0!</v>
      </c>
      <c r="L710" s="20" t="e">
        <f t="shared" ca="1" si="13"/>
        <v>#DIV/0!</v>
      </c>
      <c r="M710" s="21" t="e">
        <f t="shared" ca="1" si="14"/>
        <v>#DIV/0!</v>
      </c>
      <c r="N710" s="20" t="str">
        <f ca="1">IFERROR(__xludf.DUMMYFUNCTION("IF(COUNTIFS($C$2:C710, C710, $A$2:A710, ""&lt;="" &amp; A710) &lt; 30, STDEV.P(FILTER($G$2:G710, $C$2:C710 = C710)), STDEV.P(FILTER($G$2:G710, $C$2:C710 = C710, $A$2:A710 &gt;= A710 - 30)))
"),"#DIV/0!")</f>
        <v>#DIV/0!</v>
      </c>
    </row>
    <row r="711" spans="1:14" x14ac:dyDescent="0.2">
      <c r="A711" s="41"/>
      <c r="B711" s="32"/>
      <c r="C711" s="32"/>
      <c r="D711" s="33"/>
      <c r="E711" s="33"/>
      <c r="F711" s="33"/>
      <c r="G711" s="19" t="e">
        <f t="shared" si="10"/>
        <v>#DIV/0!</v>
      </c>
      <c r="H711" s="20" t="str">
        <f ca="1">IFERROR(__xludf.DUMMYFUNCTION("IF(COUNTIFS($C$2:C711, C711, $A$2:A711, ""&lt;="" &amp; A711) &lt; 30, AVERAGEIF($C$2:C711, C711, $G$2:G711), AVERAGE(FILTER($G$2:G711, $C$2:C711 = C711, $A$2:A711 &gt;= A711 - 30)))
"),"#DIV/0!")</f>
        <v>#DIV/0!</v>
      </c>
      <c r="I711" s="20" t="e">
        <f t="shared" ca="1" si="11"/>
        <v>#DIV/0!</v>
      </c>
      <c r="J711" s="20" t="str">
        <f ca="1">IFERROR(__xludf.DUMMYFUNCTION("IF(OR($I711=2, $I711=3), 0, IFERROR(COUNTIFS($C$2:C711, $C711, $A$2:A712, ""&gt;""&amp;IFERROR(MAX(FILTER($A$2:A712, $C$2:C711=$C711, $I$2:I711&lt;&gt;1)), 0), $I$2:I711, 1),1))
"),"#DIV/0!")</f>
        <v>#DIV/0!</v>
      </c>
      <c r="K711" s="7" t="e">
        <f t="shared" ca="1" si="12"/>
        <v>#DIV/0!</v>
      </c>
      <c r="L711" s="20" t="e">
        <f t="shared" ca="1" si="13"/>
        <v>#DIV/0!</v>
      </c>
      <c r="M711" s="21" t="e">
        <f t="shared" ca="1" si="14"/>
        <v>#DIV/0!</v>
      </c>
      <c r="N711" s="20" t="str">
        <f ca="1">IFERROR(__xludf.DUMMYFUNCTION("IF(COUNTIFS($C$2:C711, C711, $A$2:A711, ""&lt;="" &amp; A711) &lt; 30, STDEV.P(FILTER($G$2:G711, $C$2:C711 = C711)), STDEV.P(FILTER($G$2:G711, $C$2:C711 = C711, $A$2:A711 &gt;= A711 - 30)))
"),"#DIV/0!")</f>
        <v>#DIV/0!</v>
      </c>
    </row>
    <row r="712" spans="1:14" x14ac:dyDescent="0.2">
      <c r="A712" s="41"/>
      <c r="B712" s="32"/>
      <c r="C712" s="32"/>
      <c r="D712" s="33"/>
      <c r="E712" s="33"/>
      <c r="F712" s="33"/>
      <c r="G712" s="19" t="e">
        <f t="shared" si="10"/>
        <v>#DIV/0!</v>
      </c>
      <c r="H712" s="20" t="str">
        <f ca="1">IFERROR(__xludf.DUMMYFUNCTION("IF(COUNTIFS($C$2:C712, C712, $A$2:A712, ""&lt;="" &amp; A712) &lt; 30, AVERAGEIF($C$2:C712, C712, $G$2:G712), AVERAGE(FILTER($G$2:G712, $C$2:C712 = C712, $A$2:A712 &gt;= A712 - 30)))
"),"#DIV/0!")</f>
        <v>#DIV/0!</v>
      </c>
      <c r="I712" s="20" t="e">
        <f t="shared" ca="1" si="11"/>
        <v>#DIV/0!</v>
      </c>
      <c r="J712" s="20" t="str">
        <f ca="1">IFERROR(__xludf.DUMMYFUNCTION("IF(OR($I712=2, $I712=3), 0, IFERROR(COUNTIFS($C$2:C712, $C712, $A$2:A713, ""&gt;""&amp;IFERROR(MAX(FILTER($A$2:A713, $C$2:C712=$C712, $I$2:I712&lt;&gt;1)), 0), $I$2:I712, 1),1))
"),"#DIV/0!")</f>
        <v>#DIV/0!</v>
      </c>
      <c r="K712" s="7" t="e">
        <f t="shared" ca="1" si="12"/>
        <v>#DIV/0!</v>
      </c>
      <c r="L712" s="20" t="e">
        <f t="shared" ca="1" si="13"/>
        <v>#DIV/0!</v>
      </c>
      <c r="M712" s="21" t="e">
        <f t="shared" ca="1" si="14"/>
        <v>#DIV/0!</v>
      </c>
      <c r="N712" s="20" t="str">
        <f ca="1">IFERROR(__xludf.DUMMYFUNCTION("IF(COUNTIFS($C$2:C712, C712, $A$2:A712, ""&lt;="" &amp; A712) &lt; 30, STDEV.P(FILTER($G$2:G712, $C$2:C712 = C712)), STDEV.P(FILTER($G$2:G712, $C$2:C712 = C712, $A$2:A712 &gt;= A712 - 30)))
"),"#DIV/0!")</f>
        <v>#DIV/0!</v>
      </c>
    </row>
    <row r="713" spans="1:14" x14ac:dyDescent="0.2">
      <c r="A713" s="41"/>
      <c r="B713" s="32"/>
      <c r="C713" s="32"/>
      <c r="D713" s="33"/>
      <c r="E713" s="33"/>
      <c r="F713" s="33"/>
      <c r="G713" s="19" t="e">
        <f t="shared" si="10"/>
        <v>#DIV/0!</v>
      </c>
      <c r="H713" s="20" t="str">
        <f ca="1">IFERROR(__xludf.DUMMYFUNCTION("IF(COUNTIFS($C$2:C713, C713, $A$2:A713, ""&lt;="" &amp; A713) &lt; 30, AVERAGEIF($C$2:C713, C713, $G$2:G713), AVERAGE(FILTER($G$2:G713, $C$2:C713 = C713, $A$2:A713 &gt;= A713 - 30)))
"),"#DIV/0!")</f>
        <v>#DIV/0!</v>
      </c>
      <c r="I713" s="20" t="e">
        <f t="shared" ca="1" si="11"/>
        <v>#DIV/0!</v>
      </c>
      <c r="J713" s="20" t="str">
        <f ca="1">IFERROR(__xludf.DUMMYFUNCTION("IF(OR($I713=2, $I713=3), 0, IFERROR(COUNTIFS($C$2:C713, $C713, $A$2:A714, ""&gt;""&amp;IFERROR(MAX(FILTER($A$2:A714, $C$2:C713=$C713, $I$2:I713&lt;&gt;1)), 0), $I$2:I713, 1),1))
"),"#DIV/0!")</f>
        <v>#DIV/0!</v>
      </c>
      <c r="K713" s="7" t="e">
        <f t="shared" ca="1" si="12"/>
        <v>#DIV/0!</v>
      </c>
      <c r="L713" s="20" t="e">
        <f t="shared" ca="1" si="13"/>
        <v>#DIV/0!</v>
      </c>
      <c r="M713" s="21" t="e">
        <f t="shared" ca="1" si="14"/>
        <v>#DIV/0!</v>
      </c>
      <c r="N713" s="20" t="str">
        <f ca="1">IFERROR(__xludf.DUMMYFUNCTION("IF(COUNTIFS($C$2:C713, C713, $A$2:A713, ""&lt;="" &amp; A713) &lt; 30, STDEV.P(FILTER($G$2:G713, $C$2:C713 = C713)), STDEV.P(FILTER($G$2:G713, $C$2:C713 = C713, $A$2:A713 &gt;= A713 - 30)))
"),"#DIV/0!")</f>
        <v>#DIV/0!</v>
      </c>
    </row>
    <row r="714" spans="1:14" x14ac:dyDescent="0.2">
      <c r="A714" s="41"/>
      <c r="B714" s="32"/>
      <c r="C714" s="32"/>
      <c r="D714" s="33"/>
      <c r="E714" s="33"/>
      <c r="F714" s="33"/>
      <c r="G714" s="19" t="e">
        <f t="shared" si="10"/>
        <v>#DIV/0!</v>
      </c>
      <c r="H714" s="20" t="str">
        <f ca="1">IFERROR(__xludf.DUMMYFUNCTION("IF(COUNTIFS($C$2:C714, C714, $A$2:A714, ""&lt;="" &amp; A714) &lt; 30, AVERAGEIF($C$2:C714, C714, $G$2:G714), AVERAGE(FILTER($G$2:G714, $C$2:C714 = C714, $A$2:A714 &gt;= A714 - 30)))
"),"#DIV/0!")</f>
        <v>#DIV/0!</v>
      </c>
      <c r="I714" s="20" t="e">
        <f t="shared" ca="1" si="11"/>
        <v>#DIV/0!</v>
      </c>
      <c r="J714" s="20" t="str">
        <f ca="1">IFERROR(__xludf.DUMMYFUNCTION("IF(OR($I714=2, $I714=3), 0, IFERROR(COUNTIFS($C$2:C714, $C714, $A$2:A715, ""&gt;""&amp;IFERROR(MAX(FILTER($A$2:A715, $C$2:C714=$C714, $I$2:I714&lt;&gt;1)), 0), $I$2:I714, 1),1))
"),"#DIV/0!")</f>
        <v>#DIV/0!</v>
      </c>
      <c r="K714" s="7" t="e">
        <f t="shared" ca="1" si="12"/>
        <v>#DIV/0!</v>
      </c>
      <c r="L714" s="20" t="e">
        <f t="shared" ca="1" si="13"/>
        <v>#DIV/0!</v>
      </c>
      <c r="M714" s="21" t="e">
        <f t="shared" ca="1" si="14"/>
        <v>#DIV/0!</v>
      </c>
      <c r="N714" s="20" t="str">
        <f ca="1">IFERROR(__xludf.DUMMYFUNCTION("IF(COUNTIFS($C$2:C714, C714, $A$2:A714, ""&lt;="" &amp; A714) &lt; 30, STDEV.P(FILTER($G$2:G714, $C$2:C714 = C714)), STDEV.P(FILTER($G$2:G714, $C$2:C714 = C714, $A$2:A714 &gt;= A714 - 30)))
"),"#DIV/0!")</f>
        <v>#DIV/0!</v>
      </c>
    </row>
    <row r="715" spans="1:14" x14ac:dyDescent="0.2">
      <c r="A715" s="41"/>
      <c r="B715" s="32"/>
      <c r="C715" s="32"/>
      <c r="D715" s="33"/>
      <c r="E715" s="33"/>
      <c r="F715" s="33"/>
      <c r="G715" s="19" t="e">
        <f t="shared" si="10"/>
        <v>#DIV/0!</v>
      </c>
      <c r="H715" s="20" t="str">
        <f ca="1">IFERROR(__xludf.DUMMYFUNCTION("IF(COUNTIFS($C$2:C715, C715, $A$2:A715, ""&lt;="" &amp; A715) &lt; 30, AVERAGEIF($C$2:C715, C715, $G$2:G715), AVERAGE(FILTER($G$2:G715, $C$2:C715 = C715, $A$2:A715 &gt;= A715 - 30)))
"),"#DIV/0!")</f>
        <v>#DIV/0!</v>
      </c>
      <c r="I715" s="20" t="e">
        <f t="shared" ca="1" si="11"/>
        <v>#DIV/0!</v>
      </c>
      <c r="J715" s="20" t="str">
        <f ca="1">IFERROR(__xludf.DUMMYFUNCTION("IF(OR($I715=2, $I715=3), 0, IFERROR(COUNTIFS($C$2:C715, $C715, $A$2:A716, ""&gt;""&amp;IFERROR(MAX(FILTER($A$2:A716, $C$2:C715=$C715, $I$2:I715&lt;&gt;1)), 0), $I$2:I715, 1),1))
"),"#DIV/0!")</f>
        <v>#DIV/0!</v>
      </c>
      <c r="K715" s="7" t="e">
        <f t="shared" ca="1" si="12"/>
        <v>#DIV/0!</v>
      </c>
      <c r="L715" s="20" t="e">
        <f t="shared" ca="1" si="13"/>
        <v>#DIV/0!</v>
      </c>
      <c r="M715" s="21" t="e">
        <f t="shared" ca="1" si="14"/>
        <v>#DIV/0!</v>
      </c>
      <c r="N715" s="20" t="str">
        <f ca="1">IFERROR(__xludf.DUMMYFUNCTION("IF(COUNTIFS($C$2:C715, C715, $A$2:A715, ""&lt;="" &amp; A715) &lt; 30, STDEV.P(FILTER($G$2:G715, $C$2:C715 = C715)), STDEV.P(FILTER($G$2:G715, $C$2:C715 = C715, $A$2:A715 &gt;= A715 - 30)))
"),"#DIV/0!")</f>
        <v>#DIV/0!</v>
      </c>
    </row>
    <row r="716" spans="1:14" x14ac:dyDescent="0.2">
      <c r="A716" s="41"/>
      <c r="B716" s="32"/>
      <c r="C716" s="32"/>
      <c r="D716" s="33"/>
      <c r="E716" s="33"/>
      <c r="F716" s="33"/>
      <c r="G716" s="19" t="e">
        <f t="shared" si="10"/>
        <v>#DIV/0!</v>
      </c>
      <c r="H716" s="20" t="str">
        <f ca="1">IFERROR(__xludf.DUMMYFUNCTION("IF(COUNTIFS($C$2:C716, C716, $A$2:A716, ""&lt;="" &amp; A716) &lt; 30, AVERAGEIF($C$2:C716, C716, $G$2:G716), AVERAGE(FILTER($G$2:G716, $C$2:C716 = C716, $A$2:A716 &gt;= A716 - 30)))
"),"#DIV/0!")</f>
        <v>#DIV/0!</v>
      </c>
      <c r="I716" s="20" t="e">
        <f t="shared" ca="1" si="11"/>
        <v>#DIV/0!</v>
      </c>
      <c r="J716" s="20" t="str">
        <f ca="1">IFERROR(__xludf.DUMMYFUNCTION("IF(OR($I716=2, $I716=3), 0, IFERROR(COUNTIFS($C$2:C716, $C716, $A$2:A717, ""&gt;""&amp;IFERROR(MAX(FILTER($A$2:A717, $C$2:C716=$C716, $I$2:I716&lt;&gt;1)), 0), $I$2:I716, 1),1))
"),"#DIV/0!")</f>
        <v>#DIV/0!</v>
      </c>
      <c r="K716" s="7" t="e">
        <f t="shared" ca="1" si="12"/>
        <v>#DIV/0!</v>
      </c>
      <c r="L716" s="20" t="e">
        <f t="shared" ca="1" si="13"/>
        <v>#DIV/0!</v>
      </c>
      <c r="M716" s="21" t="e">
        <f t="shared" ca="1" si="14"/>
        <v>#DIV/0!</v>
      </c>
      <c r="N716" s="20" t="str">
        <f ca="1">IFERROR(__xludf.DUMMYFUNCTION("IF(COUNTIFS($C$2:C716, C716, $A$2:A716, ""&lt;="" &amp; A716) &lt; 30, STDEV.P(FILTER($G$2:G716, $C$2:C716 = C716)), STDEV.P(FILTER($G$2:G716, $C$2:C716 = C716, $A$2:A716 &gt;= A716 - 30)))
"),"#DIV/0!")</f>
        <v>#DIV/0!</v>
      </c>
    </row>
    <row r="717" spans="1:14" x14ac:dyDescent="0.2">
      <c r="A717" s="41"/>
      <c r="B717" s="32"/>
      <c r="C717" s="32"/>
      <c r="D717" s="33"/>
      <c r="E717" s="33"/>
      <c r="F717" s="33"/>
      <c r="G717" s="19" t="e">
        <f t="shared" si="10"/>
        <v>#DIV/0!</v>
      </c>
      <c r="H717" s="20" t="str">
        <f ca="1">IFERROR(__xludf.DUMMYFUNCTION("IF(COUNTIFS($C$2:C717, C717, $A$2:A717, ""&lt;="" &amp; A717) &lt; 30, AVERAGEIF($C$2:C717, C717, $G$2:G717), AVERAGE(FILTER($G$2:G717, $C$2:C717 = C717, $A$2:A717 &gt;= A717 - 30)))
"),"#DIV/0!")</f>
        <v>#DIV/0!</v>
      </c>
      <c r="I717" s="20" t="e">
        <f t="shared" ca="1" si="11"/>
        <v>#DIV/0!</v>
      </c>
      <c r="J717" s="20" t="str">
        <f ca="1">IFERROR(__xludf.DUMMYFUNCTION("IF(OR($I717=2, $I717=3), 0, IFERROR(COUNTIFS($C$2:C717, $C717, $A$2:A718, ""&gt;""&amp;IFERROR(MAX(FILTER($A$2:A718, $C$2:C717=$C717, $I$2:I717&lt;&gt;1)), 0), $I$2:I717, 1),1))
"),"#DIV/0!")</f>
        <v>#DIV/0!</v>
      </c>
      <c r="K717" s="7" t="e">
        <f t="shared" ca="1" si="12"/>
        <v>#DIV/0!</v>
      </c>
      <c r="L717" s="20" t="e">
        <f t="shared" ca="1" si="13"/>
        <v>#DIV/0!</v>
      </c>
      <c r="M717" s="21" t="e">
        <f t="shared" ca="1" si="14"/>
        <v>#DIV/0!</v>
      </c>
      <c r="N717" s="20" t="str">
        <f ca="1">IFERROR(__xludf.DUMMYFUNCTION("IF(COUNTIFS($C$2:C717, C717, $A$2:A717, ""&lt;="" &amp; A717) &lt; 30, STDEV.P(FILTER($G$2:G717, $C$2:C717 = C717)), STDEV.P(FILTER($G$2:G717, $C$2:C717 = C717, $A$2:A717 &gt;= A717 - 30)))
"),"#DIV/0!")</f>
        <v>#DIV/0!</v>
      </c>
    </row>
    <row r="718" spans="1:14" x14ac:dyDescent="0.2">
      <c r="A718" s="41"/>
      <c r="B718" s="32"/>
      <c r="C718" s="32"/>
      <c r="D718" s="33"/>
      <c r="E718" s="33"/>
      <c r="F718" s="33"/>
      <c r="G718" s="19" t="e">
        <f t="shared" si="10"/>
        <v>#DIV/0!</v>
      </c>
      <c r="H718" s="20" t="str">
        <f ca="1">IFERROR(__xludf.DUMMYFUNCTION("IF(COUNTIFS($C$2:C718, C718, $A$2:A718, ""&lt;="" &amp; A718) &lt; 30, AVERAGEIF($C$2:C718, C718, $G$2:G718), AVERAGE(FILTER($G$2:G718, $C$2:C718 = C718, $A$2:A718 &gt;= A718 - 30)))
"),"#DIV/0!")</f>
        <v>#DIV/0!</v>
      </c>
      <c r="I718" s="20" t="e">
        <f t="shared" ca="1" si="11"/>
        <v>#DIV/0!</v>
      </c>
      <c r="J718" s="20" t="str">
        <f ca="1">IFERROR(__xludf.DUMMYFUNCTION("IF(OR($I718=2, $I718=3), 0, IFERROR(COUNTIFS($C$2:C718, $C718, $A$2:A719, ""&gt;""&amp;IFERROR(MAX(FILTER($A$2:A719, $C$2:C718=$C718, $I$2:I718&lt;&gt;1)), 0), $I$2:I718, 1),1))
"),"#DIV/0!")</f>
        <v>#DIV/0!</v>
      </c>
      <c r="K718" s="7" t="e">
        <f t="shared" ca="1" si="12"/>
        <v>#DIV/0!</v>
      </c>
      <c r="L718" s="20" t="e">
        <f t="shared" ca="1" si="13"/>
        <v>#DIV/0!</v>
      </c>
      <c r="M718" s="21" t="e">
        <f t="shared" ca="1" si="14"/>
        <v>#DIV/0!</v>
      </c>
      <c r="N718" s="20" t="str">
        <f ca="1">IFERROR(__xludf.DUMMYFUNCTION("IF(COUNTIFS($C$2:C718, C718, $A$2:A718, ""&lt;="" &amp; A718) &lt; 30, STDEV.P(FILTER($G$2:G718, $C$2:C718 = C718)), STDEV.P(FILTER($G$2:G718, $C$2:C718 = C718, $A$2:A718 &gt;= A718 - 30)))
"),"#DIV/0!")</f>
        <v>#DIV/0!</v>
      </c>
    </row>
    <row r="719" spans="1:14" x14ac:dyDescent="0.2">
      <c r="A719" s="41"/>
      <c r="B719" s="32"/>
      <c r="C719" s="32"/>
      <c r="D719" s="33"/>
      <c r="E719" s="33"/>
      <c r="F719" s="33"/>
      <c r="G719" s="19" t="e">
        <f t="shared" si="10"/>
        <v>#DIV/0!</v>
      </c>
      <c r="H719" s="20" t="str">
        <f ca="1">IFERROR(__xludf.DUMMYFUNCTION("IF(COUNTIFS($C$2:C719, C719, $A$2:A719, ""&lt;="" &amp; A719) &lt; 30, AVERAGEIF($C$2:C719, C719, $G$2:G719), AVERAGE(FILTER($G$2:G719, $C$2:C719 = C719, $A$2:A719 &gt;= A719 - 30)))
"),"#DIV/0!")</f>
        <v>#DIV/0!</v>
      </c>
      <c r="I719" s="20" t="e">
        <f t="shared" ca="1" si="11"/>
        <v>#DIV/0!</v>
      </c>
      <c r="J719" s="20" t="str">
        <f ca="1">IFERROR(__xludf.DUMMYFUNCTION("IF(OR($I719=2, $I719=3), 0, IFERROR(COUNTIFS($C$2:C719, $C719, $A$2:A720, ""&gt;""&amp;IFERROR(MAX(FILTER($A$2:A720, $C$2:C719=$C719, $I$2:I719&lt;&gt;1)), 0), $I$2:I719, 1),1))
"),"#DIV/0!")</f>
        <v>#DIV/0!</v>
      </c>
      <c r="K719" s="7" t="e">
        <f t="shared" ca="1" si="12"/>
        <v>#DIV/0!</v>
      </c>
      <c r="L719" s="20" t="e">
        <f t="shared" ca="1" si="13"/>
        <v>#DIV/0!</v>
      </c>
      <c r="M719" s="21" t="e">
        <f t="shared" ca="1" si="14"/>
        <v>#DIV/0!</v>
      </c>
      <c r="N719" s="20" t="str">
        <f ca="1">IFERROR(__xludf.DUMMYFUNCTION("IF(COUNTIFS($C$2:C719, C719, $A$2:A719, ""&lt;="" &amp; A719) &lt; 30, STDEV.P(FILTER($G$2:G719, $C$2:C719 = C719)), STDEV.P(FILTER($G$2:G719, $C$2:C719 = C719, $A$2:A719 &gt;= A719 - 30)))
"),"#DIV/0!")</f>
        <v>#DIV/0!</v>
      </c>
    </row>
    <row r="720" spans="1:14" x14ac:dyDescent="0.2">
      <c r="A720" s="41"/>
      <c r="B720" s="32"/>
      <c r="C720" s="32"/>
      <c r="D720" s="33"/>
      <c r="E720" s="33"/>
      <c r="F720" s="33"/>
      <c r="G720" s="19" t="e">
        <f t="shared" si="10"/>
        <v>#DIV/0!</v>
      </c>
      <c r="H720" s="20" t="str">
        <f ca="1">IFERROR(__xludf.DUMMYFUNCTION("IF(COUNTIFS($C$2:C720, C720, $A$2:A720, ""&lt;="" &amp; A720) &lt; 30, AVERAGEIF($C$2:C720, C720, $G$2:G720), AVERAGE(FILTER($G$2:G720, $C$2:C720 = C720, $A$2:A720 &gt;= A720 - 30)))
"),"#DIV/0!")</f>
        <v>#DIV/0!</v>
      </c>
      <c r="I720" s="20" t="e">
        <f t="shared" ca="1" si="11"/>
        <v>#DIV/0!</v>
      </c>
      <c r="J720" s="20" t="str">
        <f ca="1">IFERROR(__xludf.DUMMYFUNCTION("IF(OR($I720=2, $I720=3), 0, IFERROR(COUNTIFS($C$2:C720, $C720, $A$2:A721, ""&gt;""&amp;IFERROR(MAX(FILTER($A$2:A721, $C$2:C720=$C720, $I$2:I720&lt;&gt;1)), 0), $I$2:I720, 1),1))
"),"#DIV/0!")</f>
        <v>#DIV/0!</v>
      </c>
      <c r="K720" s="7" t="e">
        <f t="shared" ca="1" si="12"/>
        <v>#DIV/0!</v>
      </c>
      <c r="L720" s="20" t="e">
        <f t="shared" ca="1" si="13"/>
        <v>#DIV/0!</v>
      </c>
      <c r="M720" s="21" t="e">
        <f t="shared" ca="1" si="14"/>
        <v>#DIV/0!</v>
      </c>
      <c r="N720" s="20" t="str">
        <f ca="1">IFERROR(__xludf.DUMMYFUNCTION("IF(COUNTIFS($C$2:C720, C720, $A$2:A720, ""&lt;="" &amp; A720) &lt; 30, STDEV.P(FILTER($G$2:G720, $C$2:C720 = C720)), STDEV.P(FILTER($G$2:G720, $C$2:C720 = C720, $A$2:A720 &gt;= A720 - 30)))
"),"#DIV/0!")</f>
        <v>#DIV/0!</v>
      </c>
    </row>
    <row r="721" spans="1:14" x14ac:dyDescent="0.2">
      <c r="A721" s="41"/>
      <c r="B721" s="32"/>
      <c r="C721" s="32"/>
      <c r="D721" s="33"/>
      <c r="E721" s="33"/>
      <c r="F721" s="33"/>
      <c r="G721" s="19" t="e">
        <f t="shared" si="10"/>
        <v>#DIV/0!</v>
      </c>
      <c r="H721" s="20" t="str">
        <f ca="1">IFERROR(__xludf.DUMMYFUNCTION("IF(COUNTIFS($C$2:C721, C721, $A$2:A721, ""&lt;="" &amp; A721) &lt; 30, AVERAGEIF($C$2:C721, C721, $G$2:G721), AVERAGE(FILTER($G$2:G721, $C$2:C721 = C721, $A$2:A721 &gt;= A721 - 30)))
"),"#DIV/0!")</f>
        <v>#DIV/0!</v>
      </c>
      <c r="I721" s="20" t="e">
        <f t="shared" ca="1" si="11"/>
        <v>#DIV/0!</v>
      </c>
      <c r="J721" s="20" t="str">
        <f ca="1">IFERROR(__xludf.DUMMYFUNCTION("IF(OR($I721=2, $I721=3), 0, IFERROR(COUNTIFS($C$2:C721, $C721, $A$2:A722, ""&gt;""&amp;IFERROR(MAX(FILTER($A$2:A722, $C$2:C721=$C721, $I$2:I721&lt;&gt;1)), 0), $I$2:I721, 1),1))
"),"#DIV/0!")</f>
        <v>#DIV/0!</v>
      </c>
      <c r="K721" s="7" t="e">
        <f t="shared" ca="1" si="12"/>
        <v>#DIV/0!</v>
      </c>
      <c r="L721" s="20" t="e">
        <f t="shared" ca="1" si="13"/>
        <v>#DIV/0!</v>
      </c>
      <c r="M721" s="21" t="e">
        <f t="shared" ca="1" si="14"/>
        <v>#DIV/0!</v>
      </c>
      <c r="N721" s="20" t="str">
        <f ca="1">IFERROR(__xludf.DUMMYFUNCTION("IF(COUNTIFS($C$2:C721, C721, $A$2:A721, ""&lt;="" &amp; A721) &lt; 30, STDEV.P(FILTER($G$2:G721, $C$2:C721 = C721)), STDEV.P(FILTER($G$2:G721, $C$2:C721 = C721, $A$2:A721 &gt;= A721 - 30)))
"),"#DIV/0!")</f>
        <v>#DIV/0!</v>
      </c>
    </row>
    <row r="722" spans="1:14" x14ac:dyDescent="0.2">
      <c r="A722" s="41"/>
      <c r="B722" s="40"/>
      <c r="C722" s="40"/>
      <c r="D722" s="31"/>
      <c r="E722" s="31"/>
      <c r="F722" s="31"/>
      <c r="G722" s="19" t="e">
        <f t="shared" si="10"/>
        <v>#DIV/0!</v>
      </c>
      <c r="H722" s="20" t="str">
        <f ca="1">IFERROR(__xludf.DUMMYFUNCTION("IF(COUNTIFS($C$2:C722, C722, $A$2:A722, ""&lt;="" &amp; A722) &lt; 30, AVERAGEIF($C$2:C722, C722, $G$2:G722), AVERAGE(FILTER($G$2:G722, $C$2:C722 = C722, $A$2:A722 &gt;= A722 - 30)))
"),"#DIV/0!")</f>
        <v>#DIV/0!</v>
      </c>
      <c r="I722" s="20" t="e">
        <f t="shared" ca="1" si="11"/>
        <v>#DIV/0!</v>
      </c>
      <c r="J722" s="20" t="str">
        <f ca="1">IFERROR(__xludf.DUMMYFUNCTION("IF(OR($I722=2, $I722=3), 0, IFERROR(COUNTIFS($C$2:C722, $C722, $A$2:A723, ""&gt;""&amp;IFERROR(MAX(FILTER($A$2:A723, $C$2:C722=$C722, $I$2:I722&lt;&gt;1)), 0), $I$2:I722, 1),1))
"),"#DIV/0!")</f>
        <v>#DIV/0!</v>
      </c>
      <c r="K722" s="7" t="e">
        <f t="shared" ca="1" si="12"/>
        <v>#DIV/0!</v>
      </c>
      <c r="L722" s="20" t="e">
        <f t="shared" ca="1" si="13"/>
        <v>#DIV/0!</v>
      </c>
      <c r="M722" s="21" t="e">
        <f t="shared" ca="1" si="14"/>
        <v>#DIV/0!</v>
      </c>
      <c r="N722" s="20" t="str">
        <f ca="1">IFERROR(__xludf.DUMMYFUNCTION("IF(COUNTIFS($C$2:C722, C722, $A$2:A722, ""&lt;="" &amp; A722) &lt; 30, STDEV.P(FILTER($G$2:G722, $C$2:C722 = C722)), STDEV.P(FILTER($G$2:G722, $C$2:C722 = C722, $A$2:A722 &gt;= A722 - 30)))
"),"#DIV/0!")</f>
        <v>#DIV/0!</v>
      </c>
    </row>
    <row r="723" spans="1:14" x14ac:dyDescent="0.2">
      <c r="A723" s="41"/>
      <c r="B723" s="40"/>
      <c r="C723" s="40"/>
      <c r="D723" s="31"/>
      <c r="E723" s="31"/>
      <c r="F723" s="31"/>
      <c r="G723" s="19" t="e">
        <f t="shared" si="10"/>
        <v>#DIV/0!</v>
      </c>
      <c r="H723" s="20" t="str">
        <f ca="1">IFERROR(__xludf.DUMMYFUNCTION("IF(COUNTIFS($C$2:C723, C723, $A$2:A723, ""&lt;="" &amp; A723) &lt; 30, AVERAGEIF($C$2:C723, C723, $G$2:G723), AVERAGE(FILTER($G$2:G723, $C$2:C723 = C723, $A$2:A723 &gt;= A723 - 30)))
"),"#DIV/0!")</f>
        <v>#DIV/0!</v>
      </c>
      <c r="I723" s="20" t="e">
        <f t="shared" ca="1" si="11"/>
        <v>#DIV/0!</v>
      </c>
      <c r="J723" s="20" t="str">
        <f ca="1">IFERROR(__xludf.DUMMYFUNCTION("IF(OR($I723=2, $I723=3), 0, IFERROR(COUNTIFS($C$2:C723, $C723, $A$2:A724, ""&gt;""&amp;IFERROR(MAX(FILTER($A$2:A724, $C$2:C723=$C723, $I$2:I723&lt;&gt;1)), 0), $I$2:I723, 1),1))
"),"#DIV/0!")</f>
        <v>#DIV/0!</v>
      </c>
      <c r="K723" s="7" t="e">
        <f t="shared" ca="1" si="12"/>
        <v>#DIV/0!</v>
      </c>
      <c r="L723" s="20" t="e">
        <f t="shared" ca="1" si="13"/>
        <v>#DIV/0!</v>
      </c>
      <c r="M723" s="21" t="e">
        <f t="shared" ca="1" si="14"/>
        <v>#DIV/0!</v>
      </c>
      <c r="N723" s="20" t="str">
        <f ca="1">IFERROR(__xludf.DUMMYFUNCTION("IF(COUNTIFS($C$2:C723, C723, $A$2:A723, ""&lt;="" &amp; A723) &lt; 30, STDEV.P(FILTER($G$2:G723, $C$2:C723 = C723)), STDEV.P(FILTER($G$2:G723, $C$2:C723 = C723, $A$2:A723 &gt;= A723 - 30)))
"),"#DIV/0!")</f>
        <v>#DIV/0!</v>
      </c>
    </row>
    <row r="724" spans="1:14" x14ac:dyDescent="0.2">
      <c r="A724" s="41"/>
      <c r="B724" s="40"/>
      <c r="C724" s="40"/>
      <c r="D724" s="31"/>
      <c r="E724" s="31"/>
      <c r="F724" s="31"/>
      <c r="G724" s="19" t="e">
        <f t="shared" si="10"/>
        <v>#DIV/0!</v>
      </c>
      <c r="H724" s="20" t="str">
        <f ca="1">IFERROR(__xludf.DUMMYFUNCTION("IF(COUNTIFS($C$2:C724, C724, $A$2:A724, ""&lt;="" &amp; A724) &lt; 30, AVERAGEIF($C$2:C724, C724, $G$2:G724), AVERAGE(FILTER($G$2:G724, $C$2:C724 = C724, $A$2:A724 &gt;= A724 - 30)))
"),"#DIV/0!")</f>
        <v>#DIV/0!</v>
      </c>
      <c r="I724" s="20" t="e">
        <f t="shared" ca="1" si="11"/>
        <v>#DIV/0!</v>
      </c>
      <c r="J724" s="20" t="str">
        <f ca="1">IFERROR(__xludf.DUMMYFUNCTION("IF(OR($I724=2, $I724=3), 0, IFERROR(COUNTIFS($C$2:C724, $C724, $A$2:A725, ""&gt;""&amp;IFERROR(MAX(FILTER($A$2:A725, $C$2:C724=$C724, $I$2:I724&lt;&gt;1)), 0), $I$2:I724, 1),1))
"),"#DIV/0!")</f>
        <v>#DIV/0!</v>
      </c>
      <c r="K724" s="7" t="e">
        <f t="shared" ca="1" si="12"/>
        <v>#DIV/0!</v>
      </c>
      <c r="L724" s="20" t="e">
        <f t="shared" ca="1" si="13"/>
        <v>#DIV/0!</v>
      </c>
      <c r="M724" s="21" t="e">
        <f t="shared" ca="1" si="14"/>
        <v>#DIV/0!</v>
      </c>
      <c r="N724" s="20" t="str">
        <f ca="1">IFERROR(__xludf.DUMMYFUNCTION("IF(COUNTIFS($C$2:C724, C724, $A$2:A724, ""&lt;="" &amp; A724) &lt; 30, STDEV.P(FILTER($G$2:G724, $C$2:C724 = C724)), STDEV.P(FILTER($G$2:G724, $C$2:C724 = C724, $A$2:A724 &gt;= A724 - 30)))
"),"#DIV/0!")</f>
        <v>#DIV/0!</v>
      </c>
    </row>
    <row r="725" spans="1:14" x14ac:dyDescent="0.2">
      <c r="A725" s="41"/>
      <c r="B725" s="40"/>
      <c r="C725" s="40"/>
      <c r="D725" s="31"/>
      <c r="E725" s="31"/>
      <c r="F725" s="31"/>
      <c r="G725" s="19" t="e">
        <f t="shared" si="10"/>
        <v>#DIV/0!</v>
      </c>
      <c r="H725" s="20" t="str">
        <f ca="1">IFERROR(__xludf.DUMMYFUNCTION("IF(COUNTIFS($C$2:C725, C725, $A$2:A725, ""&lt;="" &amp; A725) &lt; 30, AVERAGEIF($C$2:C725, C725, $G$2:G725), AVERAGE(FILTER($G$2:G725, $C$2:C725 = C725, $A$2:A725 &gt;= A725 - 30)))
"),"#DIV/0!")</f>
        <v>#DIV/0!</v>
      </c>
      <c r="I725" s="20" t="e">
        <f t="shared" ca="1" si="11"/>
        <v>#DIV/0!</v>
      </c>
      <c r="J725" s="20" t="str">
        <f ca="1">IFERROR(__xludf.DUMMYFUNCTION("IF(OR($I725=2, $I725=3), 0, IFERROR(COUNTIFS($C$2:C725, $C725, $A$2:A726, ""&gt;""&amp;IFERROR(MAX(FILTER($A$2:A726, $C$2:C725=$C725, $I$2:I725&lt;&gt;1)), 0), $I$2:I725, 1),1))
"),"#DIV/0!")</f>
        <v>#DIV/0!</v>
      </c>
      <c r="K725" s="7" t="e">
        <f t="shared" ca="1" si="12"/>
        <v>#DIV/0!</v>
      </c>
      <c r="L725" s="20" t="e">
        <f t="shared" ca="1" si="13"/>
        <v>#DIV/0!</v>
      </c>
      <c r="M725" s="21" t="e">
        <f t="shared" ca="1" si="14"/>
        <v>#DIV/0!</v>
      </c>
      <c r="N725" s="20" t="str">
        <f ca="1">IFERROR(__xludf.DUMMYFUNCTION("IF(COUNTIFS($C$2:C725, C725, $A$2:A725, ""&lt;="" &amp; A725) &lt; 30, STDEV.P(FILTER($G$2:G725, $C$2:C725 = C725)), STDEV.P(FILTER($G$2:G725, $C$2:C725 = C725, $A$2:A725 &gt;= A725 - 30)))
"),"#DIV/0!")</f>
        <v>#DIV/0!</v>
      </c>
    </row>
    <row r="726" spans="1:14" x14ac:dyDescent="0.2">
      <c r="A726" s="41"/>
      <c r="B726" s="40"/>
      <c r="C726" s="40"/>
      <c r="D726" s="31"/>
      <c r="E726" s="31"/>
      <c r="F726" s="31"/>
      <c r="G726" s="19" t="e">
        <f t="shared" si="10"/>
        <v>#DIV/0!</v>
      </c>
      <c r="H726" s="20" t="str">
        <f ca="1">IFERROR(__xludf.DUMMYFUNCTION("IF(COUNTIFS($C$2:C726, C726, $A$2:A726, ""&lt;="" &amp; A726) &lt; 30, AVERAGEIF($C$2:C726, C726, $G$2:G726), AVERAGE(FILTER($G$2:G726, $C$2:C726 = C726, $A$2:A726 &gt;= A726 - 30)))
"),"#DIV/0!")</f>
        <v>#DIV/0!</v>
      </c>
      <c r="I726" s="20" t="e">
        <f t="shared" ca="1" si="11"/>
        <v>#DIV/0!</v>
      </c>
      <c r="J726" s="20" t="str">
        <f ca="1">IFERROR(__xludf.DUMMYFUNCTION("IF(OR($I726=2, $I726=3), 0, IFERROR(COUNTIFS($C$2:C726, $C726, $A$2:A727, ""&gt;""&amp;IFERROR(MAX(FILTER($A$2:A727, $C$2:C726=$C726, $I$2:I726&lt;&gt;1)), 0), $I$2:I726, 1),1))
"),"#DIV/0!")</f>
        <v>#DIV/0!</v>
      </c>
      <c r="K726" s="7" t="e">
        <f t="shared" ca="1" si="12"/>
        <v>#DIV/0!</v>
      </c>
      <c r="L726" s="20" t="e">
        <f t="shared" ca="1" si="13"/>
        <v>#DIV/0!</v>
      </c>
      <c r="M726" s="21" t="e">
        <f t="shared" ca="1" si="14"/>
        <v>#DIV/0!</v>
      </c>
      <c r="N726" s="20" t="str">
        <f ca="1">IFERROR(__xludf.DUMMYFUNCTION("IF(COUNTIFS($C$2:C726, C726, $A$2:A726, ""&lt;="" &amp; A726) &lt; 30, STDEV.P(FILTER($G$2:G726, $C$2:C726 = C726)), STDEV.P(FILTER($G$2:G726, $C$2:C726 = C726, $A$2:A726 &gt;= A726 - 30)))
"),"#DIV/0!")</f>
        <v>#DIV/0!</v>
      </c>
    </row>
    <row r="727" spans="1:14" x14ac:dyDescent="0.2">
      <c r="A727" s="41"/>
      <c r="B727" s="40"/>
      <c r="C727" s="40"/>
      <c r="D727" s="31"/>
      <c r="E727" s="31"/>
      <c r="F727" s="31"/>
      <c r="G727" s="19" t="e">
        <f t="shared" si="10"/>
        <v>#DIV/0!</v>
      </c>
      <c r="H727" s="20" t="str">
        <f ca="1">IFERROR(__xludf.DUMMYFUNCTION("IF(COUNTIFS($C$2:C727, C727, $A$2:A727, ""&lt;="" &amp; A727) &lt; 30, AVERAGEIF($C$2:C727, C727, $G$2:G727), AVERAGE(FILTER($G$2:G727, $C$2:C727 = C727, $A$2:A727 &gt;= A727 - 30)))
"),"#DIV/0!")</f>
        <v>#DIV/0!</v>
      </c>
      <c r="I727" s="20" t="e">
        <f t="shared" ca="1" si="11"/>
        <v>#DIV/0!</v>
      </c>
      <c r="J727" s="20" t="str">
        <f ca="1">IFERROR(__xludf.DUMMYFUNCTION("IF(OR($I727=2, $I727=3), 0, IFERROR(COUNTIFS($C$2:C727, $C727, $A$2:A728, ""&gt;""&amp;IFERROR(MAX(FILTER($A$2:A728, $C$2:C727=$C727, $I$2:I727&lt;&gt;1)), 0), $I$2:I727, 1),1))
"),"#DIV/0!")</f>
        <v>#DIV/0!</v>
      </c>
      <c r="K727" s="7" t="e">
        <f t="shared" ca="1" si="12"/>
        <v>#DIV/0!</v>
      </c>
      <c r="L727" s="20" t="e">
        <f t="shared" ca="1" si="13"/>
        <v>#DIV/0!</v>
      </c>
      <c r="M727" s="21" t="e">
        <f t="shared" ca="1" si="14"/>
        <v>#DIV/0!</v>
      </c>
      <c r="N727" s="20" t="str">
        <f ca="1">IFERROR(__xludf.DUMMYFUNCTION("IF(COUNTIFS($C$2:C727, C727, $A$2:A727, ""&lt;="" &amp; A727) &lt; 30, STDEV.P(FILTER($G$2:G727, $C$2:C727 = C727)), STDEV.P(FILTER($G$2:G727, $C$2:C727 = C727, $A$2:A727 &gt;= A727 - 30)))
"),"#DIV/0!")</f>
        <v>#DIV/0!</v>
      </c>
    </row>
    <row r="728" spans="1:14" x14ac:dyDescent="0.2">
      <c r="A728" s="41"/>
      <c r="B728" s="32"/>
      <c r="C728" s="32"/>
      <c r="D728" s="33"/>
      <c r="E728" s="33"/>
      <c r="F728" s="33"/>
      <c r="G728" s="19" t="e">
        <f t="shared" si="10"/>
        <v>#DIV/0!</v>
      </c>
      <c r="H728" s="20" t="str">
        <f ca="1">IFERROR(__xludf.DUMMYFUNCTION("IF(COUNTIFS($C$2:C728, C728, $A$2:A728, ""&lt;="" &amp; A728) &lt; 30, AVERAGEIF($C$2:C728, C728, $G$2:G728), AVERAGE(FILTER($G$2:G728, $C$2:C728 = C728, $A$2:A728 &gt;= A728 - 30)))
"),"#DIV/0!")</f>
        <v>#DIV/0!</v>
      </c>
      <c r="I728" s="20" t="e">
        <f t="shared" ca="1" si="11"/>
        <v>#DIV/0!</v>
      </c>
      <c r="J728" s="20" t="str">
        <f ca="1">IFERROR(__xludf.DUMMYFUNCTION("IF(OR($I728=2, $I728=3), 0, IFERROR(COUNTIFS($C$2:C728, $C728, $A$2:A729, ""&gt;""&amp;IFERROR(MAX(FILTER($A$2:A729, $C$2:C728=$C728, $I$2:I728&lt;&gt;1)), 0), $I$2:I728, 1),1))
"),"#DIV/0!")</f>
        <v>#DIV/0!</v>
      </c>
      <c r="K728" s="7" t="e">
        <f t="shared" ca="1" si="12"/>
        <v>#DIV/0!</v>
      </c>
      <c r="L728" s="20" t="e">
        <f t="shared" ca="1" si="13"/>
        <v>#DIV/0!</v>
      </c>
      <c r="M728" s="21" t="e">
        <f t="shared" ca="1" si="14"/>
        <v>#DIV/0!</v>
      </c>
      <c r="N728" s="20" t="str">
        <f ca="1">IFERROR(__xludf.DUMMYFUNCTION("IF(COUNTIFS($C$2:C728, C728, $A$2:A728, ""&lt;="" &amp; A728) &lt; 30, STDEV.P(FILTER($G$2:G728, $C$2:C728 = C728)), STDEV.P(FILTER($G$2:G728, $C$2:C728 = C728, $A$2:A728 &gt;= A728 - 30)))
"),"#DIV/0!")</f>
        <v>#DIV/0!</v>
      </c>
    </row>
    <row r="729" spans="1:14" x14ac:dyDescent="0.2">
      <c r="A729" s="41"/>
      <c r="B729" s="32"/>
      <c r="C729" s="32"/>
      <c r="D729" s="33"/>
      <c r="E729" s="33"/>
      <c r="F729" s="33"/>
      <c r="G729" s="19" t="e">
        <f t="shared" si="10"/>
        <v>#DIV/0!</v>
      </c>
      <c r="H729" s="20" t="str">
        <f ca="1">IFERROR(__xludf.DUMMYFUNCTION("IF(COUNTIFS($C$2:C729, C729, $A$2:A729, ""&lt;="" &amp; A729) &lt; 30, AVERAGEIF($C$2:C729, C729, $G$2:G729), AVERAGE(FILTER($G$2:G729, $C$2:C729 = C729, $A$2:A729 &gt;= A729 - 30)))
"),"#DIV/0!")</f>
        <v>#DIV/0!</v>
      </c>
      <c r="I729" s="20" t="e">
        <f t="shared" ca="1" si="11"/>
        <v>#DIV/0!</v>
      </c>
      <c r="J729" s="20" t="str">
        <f ca="1">IFERROR(__xludf.DUMMYFUNCTION("IF(OR($I729=2, $I729=3), 0, IFERROR(COUNTIFS($C$2:C729, $C729, $A$2:A730, ""&gt;""&amp;IFERROR(MAX(FILTER($A$2:A730, $C$2:C729=$C729, $I$2:I729&lt;&gt;1)), 0), $I$2:I729, 1),1))
"),"#DIV/0!")</f>
        <v>#DIV/0!</v>
      </c>
      <c r="K729" s="7" t="e">
        <f t="shared" ca="1" si="12"/>
        <v>#DIV/0!</v>
      </c>
      <c r="L729" s="20" t="e">
        <f t="shared" ca="1" si="13"/>
        <v>#DIV/0!</v>
      </c>
      <c r="M729" s="21" t="e">
        <f t="shared" ca="1" si="14"/>
        <v>#DIV/0!</v>
      </c>
      <c r="N729" s="20" t="str">
        <f ca="1">IFERROR(__xludf.DUMMYFUNCTION("IF(COUNTIFS($C$2:C729, C729, $A$2:A729, ""&lt;="" &amp; A729) &lt; 30, STDEV.P(FILTER($G$2:G729, $C$2:C729 = C729)), STDEV.P(FILTER($G$2:G729, $C$2:C729 = C729, $A$2:A729 &gt;= A729 - 30)))
"),"#DIV/0!")</f>
        <v>#DIV/0!</v>
      </c>
    </row>
    <row r="730" spans="1:14" x14ac:dyDescent="0.2">
      <c r="A730" s="41"/>
      <c r="B730" s="32"/>
      <c r="C730" s="32"/>
      <c r="D730" s="33"/>
      <c r="E730" s="33"/>
      <c r="F730" s="33"/>
      <c r="G730" s="19" t="e">
        <f t="shared" si="10"/>
        <v>#DIV/0!</v>
      </c>
      <c r="H730" s="20" t="str">
        <f ca="1">IFERROR(__xludf.DUMMYFUNCTION("IF(COUNTIFS($C$2:C730, C730, $A$2:A730, ""&lt;="" &amp; A730) &lt; 30, AVERAGEIF($C$2:C730, C730, $G$2:G730), AVERAGE(FILTER($G$2:G730, $C$2:C730 = C730, $A$2:A730 &gt;= A730 - 30)))
"),"#DIV/0!")</f>
        <v>#DIV/0!</v>
      </c>
      <c r="I730" s="20" t="e">
        <f t="shared" ca="1" si="11"/>
        <v>#DIV/0!</v>
      </c>
      <c r="J730" s="20" t="str">
        <f ca="1">IFERROR(__xludf.DUMMYFUNCTION("IF(OR($I730=2, $I730=3), 0, IFERROR(COUNTIFS($C$2:C730, $C730, $A$2:A731, ""&gt;""&amp;IFERROR(MAX(FILTER($A$2:A731, $C$2:C730=$C730, $I$2:I730&lt;&gt;1)), 0), $I$2:I730, 1),1))
"),"#DIV/0!")</f>
        <v>#DIV/0!</v>
      </c>
      <c r="K730" s="7" t="e">
        <f t="shared" ca="1" si="12"/>
        <v>#DIV/0!</v>
      </c>
      <c r="L730" s="20" t="e">
        <f t="shared" ca="1" si="13"/>
        <v>#DIV/0!</v>
      </c>
      <c r="M730" s="21" t="e">
        <f t="shared" ca="1" si="14"/>
        <v>#DIV/0!</v>
      </c>
      <c r="N730" s="20" t="str">
        <f ca="1">IFERROR(__xludf.DUMMYFUNCTION("IF(COUNTIFS($C$2:C730, C730, $A$2:A730, ""&lt;="" &amp; A730) &lt; 30, STDEV.P(FILTER($G$2:G730, $C$2:C730 = C730)), STDEV.P(FILTER($G$2:G730, $C$2:C730 = C730, $A$2:A730 &gt;= A730 - 30)))
"),"#DIV/0!")</f>
        <v>#DIV/0!</v>
      </c>
    </row>
    <row r="731" spans="1:14" x14ac:dyDescent="0.2">
      <c r="A731" s="41"/>
      <c r="B731" s="32"/>
      <c r="C731" s="32"/>
      <c r="D731" s="33"/>
      <c r="E731" s="33"/>
      <c r="F731" s="33"/>
      <c r="G731" s="19" t="e">
        <f t="shared" si="10"/>
        <v>#DIV/0!</v>
      </c>
      <c r="H731" s="20" t="str">
        <f ca="1">IFERROR(__xludf.DUMMYFUNCTION("IF(COUNTIFS($C$2:C731, C731, $A$2:A731, ""&lt;="" &amp; A731) &lt; 30, AVERAGEIF($C$2:C731, C731, $G$2:G731), AVERAGE(FILTER($G$2:G731, $C$2:C731 = C731, $A$2:A731 &gt;= A731 - 30)))
"),"#DIV/0!")</f>
        <v>#DIV/0!</v>
      </c>
      <c r="I731" s="20" t="e">
        <f t="shared" ca="1" si="11"/>
        <v>#DIV/0!</v>
      </c>
      <c r="J731" s="20" t="str">
        <f ca="1">IFERROR(__xludf.DUMMYFUNCTION("IF(OR($I731=2, $I731=3), 0, IFERROR(COUNTIFS($C$2:C731, $C731, $A$2:A732, ""&gt;""&amp;IFERROR(MAX(FILTER($A$2:A732, $C$2:C731=$C731, $I$2:I731&lt;&gt;1)), 0), $I$2:I731, 1),1))
"),"#DIV/0!")</f>
        <v>#DIV/0!</v>
      </c>
      <c r="K731" s="7" t="e">
        <f t="shared" ca="1" si="12"/>
        <v>#DIV/0!</v>
      </c>
      <c r="L731" s="20" t="e">
        <f t="shared" ca="1" si="13"/>
        <v>#DIV/0!</v>
      </c>
      <c r="M731" s="21" t="e">
        <f t="shared" ca="1" si="14"/>
        <v>#DIV/0!</v>
      </c>
      <c r="N731" s="20" t="str">
        <f ca="1">IFERROR(__xludf.DUMMYFUNCTION("IF(COUNTIFS($C$2:C731, C731, $A$2:A731, ""&lt;="" &amp; A731) &lt; 30, STDEV.P(FILTER($G$2:G731, $C$2:C731 = C731)), STDEV.P(FILTER($G$2:G731, $C$2:C731 = C731, $A$2:A731 &gt;= A731 - 30)))
"),"#DIV/0!")</f>
        <v>#DIV/0!</v>
      </c>
    </row>
    <row r="732" spans="1:14" x14ac:dyDescent="0.2">
      <c r="A732" s="41"/>
      <c r="B732" s="32"/>
      <c r="C732" s="32"/>
      <c r="D732" s="33"/>
      <c r="E732" s="33"/>
      <c r="F732" s="33"/>
      <c r="G732" s="19" t="e">
        <f t="shared" si="10"/>
        <v>#DIV/0!</v>
      </c>
      <c r="H732" s="20" t="str">
        <f ca="1">IFERROR(__xludf.DUMMYFUNCTION("IF(COUNTIFS($C$2:C732, C732, $A$2:A732, ""&lt;="" &amp; A732) &lt; 30, AVERAGEIF($C$2:C732, C732, $G$2:G732), AVERAGE(FILTER($G$2:G732, $C$2:C732 = C732, $A$2:A732 &gt;= A732 - 30)))
"),"#DIV/0!")</f>
        <v>#DIV/0!</v>
      </c>
      <c r="I732" s="20" t="e">
        <f t="shared" ca="1" si="11"/>
        <v>#DIV/0!</v>
      </c>
      <c r="J732" s="20" t="str">
        <f ca="1">IFERROR(__xludf.DUMMYFUNCTION("IF(OR($I732=2, $I732=3), 0, IFERROR(COUNTIFS($C$2:C732, $C732, $A$2:A733, ""&gt;""&amp;IFERROR(MAX(FILTER($A$2:A733, $C$2:C732=$C732, $I$2:I732&lt;&gt;1)), 0), $I$2:I732, 1),1))
"),"#DIV/0!")</f>
        <v>#DIV/0!</v>
      </c>
      <c r="K732" s="7" t="e">
        <f t="shared" ca="1" si="12"/>
        <v>#DIV/0!</v>
      </c>
      <c r="L732" s="20" t="e">
        <f t="shared" ca="1" si="13"/>
        <v>#DIV/0!</v>
      </c>
      <c r="M732" s="21" t="e">
        <f t="shared" ca="1" si="14"/>
        <v>#DIV/0!</v>
      </c>
      <c r="N732" s="20" t="str">
        <f ca="1">IFERROR(__xludf.DUMMYFUNCTION("IF(COUNTIFS($C$2:C732, C732, $A$2:A732, ""&lt;="" &amp; A732) &lt; 30, STDEV.P(FILTER($G$2:G732, $C$2:C732 = C732)), STDEV.P(FILTER($G$2:G732, $C$2:C732 = C732, $A$2:A732 &gt;= A732 - 30)))
"),"#DIV/0!")</f>
        <v>#DIV/0!</v>
      </c>
    </row>
    <row r="733" spans="1:14" x14ac:dyDescent="0.2">
      <c r="A733" s="41"/>
      <c r="B733" s="32"/>
      <c r="C733" s="32"/>
      <c r="D733" s="33"/>
      <c r="E733" s="33"/>
      <c r="F733" s="33"/>
      <c r="G733" s="19" t="e">
        <f t="shared" si="10"/>
        <v>#DIV/0!</v>
      </c>
      <c r="H733" s="20" t="str">
        <f ca="1">IFERROR(__xludf.DUMMYFUNCTION("IF(COUNTIFS($C$2:C733, C733, $A$2:A733, ""&lt;="" &amp; A733) &lt; 30, AVERAGEIF($C$2:C733, C733, $G$2:G733), AVERAGE(FILTER($G$2:G733, $C$2:C733 = C733, $A$2:A733 &gt;= A733 - 30)))
"),"#DIV/0!")</f>
        <v>#DIV/0!</v>
      </c>
      <c r="I733" s="20" t="e">
        <f t="shared" ca="1" si="11"/>
        <v>#DIV/0!</v>
      </c>
      <c r="J733" s="20" t="str">
        <f ca="1">IFERROR(__xludf.DUMMYFUNCTION("IF(OR($I733=2, $I733=3), 0, IFERROR(COUNTIFS($C$2:C733, $C733, $A$2:A734, ""&gt;""&amp;IFERROR(MAX(FILTER($A$2:A734, $C$2:C733=$C733, $I$2:I733&lt;&gt;1)), 0), $I$2:I733, 1),1))
"),"#DIV/0!")</f>
        <v>#DIV/0!</v>
      </c>
      <c r="K733" s="7" t="e">
        <f t="shared" ca="1" si="12"/>
        <v>#DIV/0!</v>
      </c>
      <c r="L733" s="20" t="e">
        <f t="shared" ca="1" si="13"/>
        <v>#DIV/0!</v>
      </c>
      <c r="M733" s="21" t="e">
        <f t="shared" ca="1" si="14"/>
        <v>#DIV/0!</v>
      </c>
      <c r="N733" s="20" t="str">
        <f ca="1">IFERROR(__xludf.DUMMYFUNCTION("IF(COUNTIFS($C$2:C733, C733, $A$2:A733, ""&lt;="" &amp; A733) &lt; 30, STDEV.P(FILTER($G$2:G733, $C$2:C733 = C733)), STDEV.P(FILTER($G$2:G733, $C$2:C733 = C733, $A$2:A733 &gt;= A733 - 30)))
"),"#DIV/0!")</f>
        <v>#DIV/0!</v>
      </c>
    </row>
    <row r="734" spans="1:14" x14ac:dyDescent="0.2">
      <c r="A734" s="41"/>
      <c r="B734" s="32"/>
      <c r="C734" s="32"/>
      <c r="D734" s="33"/>
      <c r="E734" s="33"/>
      <c r="F734" s="33"/>
      <c r="G734" s="19" t="e">
        <f t="shared" si="10"/>
        <v>#DIV/0!</v>
      </c>
      <c r="H734" s="20" t="str">
        <f ca="1">IFERROR(__xludf.DUMMYFUNCTION("IF(COUNTIFS($C$2:C734, C734, $A$2:A734, ""&lt;="" &amp; A734) &lt; 30, AVERAGEIF($C$2:C734, C734, $G$2:G734), AVERAGE(FILTER($G$2:G734, $C$2:C734 = C734, $A$2:A734 &gt;= A734 - 30)))
"),"#DIV/0!")</f>
        <v>#DIV/0!</v>
      </c>
      <c r="I734" s="20" t="e">
        <f t="shared" ca="1" si="11"/>
        <v>#DIV/0!</v>
      </c>
      <c r="J734" s="20" t="str">
        <f ca="1">IFERROR(__xludf.DUMMYFUNCTION("IF(OR($I734=2, $I734=3), 0, IFERROR(COUNTIFS($C$2:C734, $C734, $A$2:A735, ""&gt;""&amp;IFERROR(MAX(FILTER($A$2:A735, $C$2:C734=$C734, $I$2:I734&lt;&gt;1)), 0), $I$2:I734, 1),1))
"),"#DIV/0!")</f>
        <v>#DIV/0!</v>
      </c>
      <c r="K734" s="7" t="e">
        <f t="shared" ca="1" si="12"/>
        <v>#DIV/0!</v>
      </c>
      <c r="L734" s="20" t="e">
        <f t="shared" ca="1" si="13"/>
        <v>#DIV/0!</v>
      </c>
      <c r="M734" s="21" t="e">
        <f t="shared" ca="1" si="14"/>
        <v>#DIV/0!</v>
      </c>
      <c r="N734" s="20" t="str">
        <f ca="1">IFERROR(__xludf.DUMMYFUNCTION("IF(COUNTIFS($C$2:C734, C734, $A$2:A734, ""&lt;="" &amp; A734) &lt; 30, STDEV.P(FILTER($G$2:G734, $C$2:C734 = C734)), STDEV.P(FILTER($G$2:G734, $C$2:C734 = C734, $A$2:A734 &gt;= A734 - 30)))
"),"#DIV/0!")</f>
        <v>#DIV/0!</v>
      </c>
    </row>
    <row r="735" spans="1:14" x14ac:dyDescent="0.2">
      <c r="A735" s="41"/>
      <c r="B735" s="32"/>
      <c r="C735" s="32"/>
      <c r="D735" s="33"/>
      <c r="E735" s="33"/>
      <c r="F735" s="33"/>
      <c r="G735" s="19" t="e">
        <f t="shared" si="10"/>
        <v>#DIV/0!</v>
      </c>
      <c r="H735" s="20" t="str">
        <f ca="1">IFERROR(__xludf.DUMMYFUNCTION("IF(COUNTIFS($C$2:C735, C735, $A$2:A735, ""&lt;="" &amp; A735) &lt; 30, AVERAGEIF($C$2:C735, C735, $G$2:G735), AVERAGE(FILTER($G$2:G735, $C$2:C735 = C735, $A$2:A735 &gt;= A735 - 30)))
"),"#DIV/0!")</f>
        <v>#DIV/0!</v>
      </c>
      <c r="I735" s="20" t="e">
        <f t="shared" ca="1" si="11"/>
        <v>#DIV/0!</v>
      </c>
      <c r="J735" s="20" t="str">
        <f ca="1">IFERROR(__xludf.DUMMYFUNCTION("IF(OR($I735=2, $I735=3), 0, IFERROR(COUNTIFS($C$2:C735, $C735, $A$2:A736, ""&gt;""&amp;IFERROR(MAX(FILTER($A$2:A736, $C$2:C735=$C735, $I$2:I735&lt;&gt;1)), 0), $I$2:I735, 1),1))
"),"#DIV/0!")</f>
        <v>#DIV/0!</v>
      </c>
      <c r="K735" s="7" t="e">
        <f t="shared" ca="1" si="12"/>
        <v>#DIV/0!</v>
      </c>
      <c r="L735" s="20" t="e">
        <f t="shared" ca="1" si="13"/>
        <v>#DIV/0!</v>
      </c>
      <c r="M735" s="21" t="e">
        <f t="shared" ca="1" si="14"/>
        <v>#DIV/0!</v>
      </c>
      <c r="N735" s="20" t="str">
        <f ca="1">IFERROR(__xludf.DUMMYFUNCTION("IF(COUNTIFS($C$2:C735, C735, $A$2:A735, ""&lt;="" &amp; A735) &lt; 30, STDEV.P(FILTER($G$2:G735, $C$2:C735 = C735)), STDEV.P(FILTER($G$2:G735, $C$2:C735 = C735, $A$2:A735 &gt;= A735 - 30)))
"),"#DIV/0!")</f>
        <v>#DIV/0!</v>
      </c>
    </row>
    <row r="736" spans="1:14" x14ac:dyDescent="0.2">
      <c r="A736" s="41"/>
      <c r="B736" s="32"/>
      <c r="C736" s="32"/>
      <c r="D736" s="33"/>
      <c r="E736" s="33"/>
      <c r="F736" s="33"/>
      <c r="G736" s="19" t="e">
        <f t="shared" si="10"/>
        <v>#DIV/0!</v>
      </c>
      <c r="H736" s="20" t="str">
        <f ca="1">IFERROR(__xludf.DUMMYFUNCTION("IF(COUNTIFS($C$2:C736, C736, $A$2:A736, ""&lt;="" &amp; A736) &lt; 30, AVERAGEIF($C$2:C736, C736, $G$2:G736), AVERAGE(FILTER($G$2:G736, $C$2:C736 = C736, $A$2:A736 &gt;= A736 - 30)))
"),"#DIV/0!")</f>
        <v>#DIV/0!</v>
      </c>
      <c r="I736" s="20" t="e">
        <f t="shared" ca="1" si="11"/>
        <v>#DIV/0!</v>
      </c>
      <c r="J736" s="20" t="str">
        <f ca="1">IFERROR(__xludf.DUMMYFUNCTION("IF(OR($I736=2, $I736=3), 0, IFERROR(COUNTIFS($C$2:C736, $C736, $A$2:A737, ""&gt;""&amp;IFERROR(MAX(FILTER($A$2:A737, $C$2:C736=$C736, $I$2:I736&lt;&gt;1)), 0), $I$2:I736, 1),1))
"),"#DIV/0!")</f>
        <v>#DIV/0!</v>
      </c>
      <c r="K736" s="7" t="e">
        <f t="shared" ca="1" si="12"/>
        <v>#DIV/0!</v>
      </c>
      <c r="L736" s="20" t="e">
        <f t="shared" ca="1" si="13"/>
        <v>#DIV/0!</v>
      </c>
      <c r="M736" s="21" t="e">
        <f t="shared" ca="1" si="14"/>
        <v>#DIV/0!</v>
      </c>
      <c r="N736" s="20" t="str">
        <f ca="1">IFERROR(__xludf.DUMMYFUNCTION("IF(COUNTIFS($C$2:C736, C736, $A$2:A736, ""&lt;="" &amp; A736) &lt; 30, STDEV.P(FILTER($G$2:G736, $C$2:C736 = C736)), STDEV.P(FILTER($G$2:G736, $C$2:C736 = C736, $A$2:A736 &gt;= A736 - 30)))
"),"#DIV/0!")</f>
        <v>#DIV/0!</v>
      </c>
    </row>
    <row r="737" spans="1:14" x14ac:dyDescent="0.2">
      <c r="A737" s="41"/>
      <c r="B737" s="32"/>
      <c r="C737" s="32"/>
      <c r="D737" s="33"/>
      <c r="E737" s="33"/>
      <c r="F737" s="33"/>
      <c r="G737" s="19" t="e">
        <f t="shared" si="10"/>
        <v>#DIV/0!</v>
      </c>
      <c r="H737" s="20" t="str">
        <f ca="1">IFERROR(__xludf.DUMMYFUNCTION("IF(COUNTIFS($C$2:C737, C737, $A$2:A737, ""&lt;="" &amp; A737) &lt; 30, AVERAGEIF($C$2:C737, C737, $G$2:G737), AVERAGE(FILTER($G$2:G737, $C$2:C737 = C737, $A$2:A737 &gt;= A737 - 30)))
"),"#DIV/0!")</f>
        <v>#DIV/0!</v>
      </c>
      <c r="I737" s="20" t="e">
        <f t="shared" ca="1" si="11"/>
        <v>#DIV/0!</v>
      </c>
      <c r="J737" s="20" t="str">
        <f ca="1">IFERROR(__xludf.DUMMYFUNCTION("IF(OR($I737=2, $I737=3), 0, IFERROR(COUNTIFS($C$2:C737, $C737, $A$2:A738, ""&gt;""&amp;IFERROR(MAX(FILTER($A$2:A738, $C$2:C737=$C737, $I$2:I737&lt;&gt;1)), 0), $I$2:I737, 1),1))
"),"#DIV/0!")</f>
        <v>#DIV/0!</v>
      </c>
      <c r="K737" s="7" t="e">
        <f t="shared" ca="1" si="12"/>
        <v>#DIV/0!</v>
      </c>
      <c r="L737" s="20" t="e">
        <f t="shared" ca="1" si="13"/>
        <v>#DIV/0!</v>
      </c>
      <c r="M737" s="21" t="e">
        <f t="shared" ca="1" si="14"/>
        <v>#DIV/0!</v>
      </c>
      <c r="N737" s="20" t="str">
        <f ca="1">IFERROR(__xludf.DUMMYFUNCTION("IF(COUNTIFS($C$2:C737, C737, $A$2:A737, ""&lt;="" &amp; A737) &lt; 30, STDEV.P(FILTER($G$2:G737, $C$2:C737 = C737)), STDEV.P(FILTER($G$2:G737, $C$2:C737 = C737, $A$2:A737 &gt;= A737 - 30)))
"),"#DIV/0!")</f>
        <v>#DIV/0!</v>
      </c>
    </row>
    <row r="738" spans="1:14" x14ac:dyDescent="0.2">
      <c r="A738" s="41"/>
      <c r="B738" s="32"/>
      <c r="C738" s="32"/>
      <c r="D738" s="33"/>
      <c r="E738" s="33"/>
      <c r="F738" s="33"/>
      <c r="G738" s="19" t="e">
        <f t="shared" si="10"/>
        <v>#DIV/0!</v>
      </c>
      <c r="H738" s="20" t="str">
        <f ca="1">IFERROR(__xludf.DUMMYFUNCTION("IF(COUNTIFS($C$2:C738, C738, $A$2:A738, ""&lt;="" &amp; A738) &lt; 30, AVERAGEIF($C$2:C738, C738, $G$2:G738), AVERAGE(FILTER($G$2:G738, $C$2:C738 = C738, $A$2:A738 &gt;= A738 - 30)))
"),"#DIV/0!")</f>
        <v>#DIV/0!</v>
      </c>
      <c r="I738" s="20" t="e">
        <f t="shared" ca="1" si="11"/>
        <v>#DIV/0!</v>
      </c>
      <c r="J738" s="20" t="str">
        <f ca="1">IFERROR(__xludf.DUMMYFUNCTION("IF(OR($I738=2, $I738=3), 0, IFERROR(COUNTIFS($C$2:C738, $C738, $A$2:A739, ""&gt;""&amp;IFERROR(MAX(FILTER($A$2:A739, $C$2:C738=$C738, $I$2:I738&lt;&gt;1)), 0), $I$2:I738, 1),1))
"),"#DIV/0!")</f>
        <v>#DIV/0!</v>
      </c>
      <c r="K738" s="7" t="e">
        <f t="shared" ca="1" si="12"/>
        <v>#DIV/0!</v>
      </c>
      <c r="L738" s="20" t="e">
        <f t="shared" ca="1" si="13"/>
        <v>#DIV/0!</v>
      </c>
      <c r="M738" s="21" t="e">
        <f t="shared" ca="1" si="14"/>
        <v>#DIV/0!</v>
      </c>
      <c r="N738" s="20" t="str">
        <f ca="1">IFERROR(__xludf.DUMMYFUNCTION("IF(COUNTIFS($C$2:C738, C738, $A$2:A738, ""&lt;="" &amp; A738) &lt; 30, STDEV.P(FILTER($G$2:G738, $C$2:C738 = C738)), STDEV.P(FILTER($G$2:G738, $C$2:C738 = C738, $A$2:A738 &gt;= A738 - 30)))
"),"#DIV/0!")</f>
        <v>#DIV/0!</v>
      </c>
    </row>
    <row r="739" spans="1:14" x14ac:dyDescent="0.2">
      <c r="A739" s="41"/>
      <c r="B739" s="32"/>
      <c r="C739" s="32"/>
      <c r="D739" s="33"/>
      <c r="E739" s="33"/>
      <c r="F739" s="33"/>
      <c r="G739" s="19" t="e">
        <f t="shared" si="10"/>
        <v>#DIV/0!</v>
      </c>
      <c r="H739" s="20" t="str">
        <f ca="1">IFERROR(__xludf.DUMMYFUNCTION("IF(COUNTIFS($C$2:C739, C739, $A$2:A739, ""&lt;="" &amp; A739) &lt; 30, AVERAGEIF($C$2:C739, C739, $G$2:G739), AVERAGE(FILTER($G$2:G739, $C$2:C739 = C739, $A$2:A739 &gt;= A739 - 30)))
"),"#DIV/0!")</f>
        <v>#DIV/0!</v>
      </c>
      <c r="I739" s="20" t="e">
        <f t="shared" ca="1" si="11"/>
        <v>#DIV/0!</v>
      </c>
      <c r="J739" s="20" t="str">
        <f ca="1">IFERROR(__xludf.DUMMYFUNCTION("IF(OR($I739=2, $I739=3), 0, IFERROR(COUNTIFS($C$2:C739, $C739, $A$2:A740, ""&gt;""&amp;IFERROR(MAX(FILTER($A$2:A740, $C$2:C739=$C739, $I$2:I739&lt;&gt;1)), 0), $I$2:I739, 1),1))
"),"#DIV/0!")</f>
        <v>#DIV/0!</v>
      </c>
      <c r="K739" s="7" t="e">
        <f t="shared" ca="1" si="12"/>
        <v>#DIV/0!</v>
      </c>
      <c r="L739" s="20" t="e">
        <f t="shared" ca="1" si="13"/>
        <v>#DIV/0!</v>
      </c>
      <c r="M739" s="21" t="e">
        <f t="shared" ca="1" si="14"/>
        <v>#DIV/0!</v>
      </c>
      <c r="N739" s="20" t="str">
        <f ca="1">IFERROR(__xludf.DUMMYFUNCTION("IF(COUNTIFS($C$2:C739, C739, $A$2:A739, ""&lt;="" &amp; A739) &lt; 30, STDEV.P(FILTER($G$2:G739, $C$2:C739 = C739)), STDEV.P(FILTER($G$2:G739, $C$2:C739 = C739, $A$2:A739 &gt;= A739 - 30)))
"),"#DIV/0!")</f>
        <v>#DIV/0!</v>
      </c>
    </row>
    <row r="740" spans="1:14" x14ac:dyDescent="0.2">
      <c r="A740" s="41"/>
      <c r="B740" s="32"/>
      <c r="C740" s="32"/>
      <c r="D740" s="33"/>
      <c r="E740" s="33"/>
      <c r="F740" s="33"/>
      <c r="G740" s="19" t="e">
        <f t="shared" si="10"/>
        <v>#DIV/0!</v>
      </c>
      <c r="H740" s="20" t="str">
        <f ca="1">IFERROR(__xludf.DUMMYFUNCTION("IF(COUNTIFS($C$2:C740, C740, $A$2:A740, ""&lt;="" &amp; A740) &lt; 30, AVERAGEIF($C$2:C740, C740, $G$2:G740), AVERAGE(FILTER($G$2:G740, $C$2:C740 = C740, $A$2:A740 &gt;= A740 - 30)))
"),"#DIV/0!")</f>
        <v>#DIV/0!</v>
      </c>
      <c r="I740" s="20" t="e">
        <f t="shared" ca="1" si="11"/>
        <v>#DIV/0!</v>
      </c>
      <c r="J740" s="20" t="str">
        <f ca="1">IFERROR(__xludf.DUMMYFUNCTION("IF(OR($I740=2, $I740=3), 0, IFERROR(COUNTIFS($C$2:C740, $C740, $A$2:A741, ""&gt;""&amp;IFERROR(MAX(FILTER($A$2:A741, $C$2:C740=$C740, $I$2:I740&lt;&gt;1)), 0), $I$2:I740, 1),1))
"),"#DIV/0!")</f>
        <v>#DIV/0!</v>
      </c>
      <c r="K740" s="7" t="e">
        <f t="shared" ca="1" si="12"/>
        <v>#DIV/0!</v>
      </c>
      <c r="L740" s="20" t="e">
        <f t="shared" ca="1" si="13"/>
        <v>#DIV/0!</v>
      </c>
      <c r="M740" s="21" t="e">
        <f t="shared" ca="1" si="14"/>
        <v>#DIV/0!</v>
      </c>
      <c r="N740" s="20" t="str">
        <f ca="1">IFERROR(__xludf.DUMMYFUNCTION("IF(COUNTIFS($C$2:C740, C740, $A$2:A740, ""&lt;="" &amp; A740) &lt; 30, STDEV.P(FILTER($G$2:G740, $C$2:C740 = C740)), STDEV.P(FILTER($G$2:G740, $C$2:C740 = C740, $A$2:A740 &gt;= A740 - 30)))
"),"#DIV/0!")</f>
        <v>#DIV/0!</v>
      </c>
    </row>
    <row r="741" spans="1:14" x14ac:dyDescent="0.2">
      <c r="A741" s="41"/>
      <c r="B741" s="32"/>
      <c r="C741" s="32"/>
      <c r="D741" s="33"/>
      <c r="E741" s="33"/>
      <c r="F741" s="33"/>
      <c r="G741" s="19" t="e">
        <f t="shared" si="10"/>
        <v>#DIV/0!</v>
      </c>
      <c r="H741" s="20" t="str">
        <f ca="1">IFERROR(__xludf.DUMMYFUNCTION("IF(COUNTIFS($C$2:C741, C741, $A$2:A741, ""&lt;="" &amp; A741) &lt; 30, AVERAGEIF($C$2:C741, C741, $G$2:G741), AVERAGE(FILTER($G$2:G741, $C$2:C741 = C741, $A$2:A741 &gt;= A741 - 30)))
"),"#DIV/0!")</f>
        <v>#DIV/0!</v>
      </c>
      <c r="I741" s="20" t="e">
        <f t="shared" ca="1" si="11"/>
        <v>#DIV/0!</v>
      </c>
      <c r="J741" s="20" t="str">
        <f ca="1">IFERROR(__xludf.DUMMYFUNCTION("IF(OR($I741=2, $I741=3), 0, IFERROR(COUNTIFS($C$2:C741, $C741, $A$2:A742, ""&gt;""&amp;IFERROR(MAX(FILTER($A$2:A742, $C$2:C741=$C741, $I$2:I741&lt;&gt;1)), 0), $I$2:I741, 1),1))
"),"#DIV/0!")</f>
        <v>#DIV/0!</v>
      </c>
      <c r="K741" s="7" t="e">
        <f t="shared" ca="1" si="12"/>
        <v>#DIV/0!</v>
      </c>
      <c r="L741" s="20" t="e">
        <f t="shared" ca="1" si="13"/>
        <v>#DIV/0!</v>
      </c>
      <c r="M741" s="21" t="e">
        <f t="shared" ca="1" si="14"/>
        <v>#DIV/0!</v>
      </c>
      <c r="N741" s="20" t="str">
        <f ca="1">IFERROR(__xludf.DUMMYFUNCTION("IF(COUNTIFS($C$2:C741, C741, $A$2:A741, ""&lt;="" &amp; A741) &lt; 30, STDEV.P(FILTER($G$2:G741, $C$2:C741 = C741)), STDEV.P(FILTER($G$2:G741, $C$2:C741 = C741, $A$2:A741 &gt;= A741 - 30)))
"),"#DIV/0!")</f>
        <v>#DIV/0!</v>
      </c>
    </row>
    <row r="742" spans="1:14" x14ac:dyDescent="0.2">
      <c r="A742" s="41"/>
      <c r="B742" s="40"/>
      <c r="C742" s="40"/>
      <c r="D742" s="31"/>
      <c r="E742" s="31"/>
      <c r="F742" s="31"/>
      <c r="G742" s="19" t="e">
        <f t="shared" si="10"/>
        <v>#DIV/0!</v>
      </c>
      <c r="H742" s="20" t="str">
        <f ca="1">IFERROR(__xludf.DUMMYFUNCTION("IF(COUNTIFS($C$2:C742, C742, $A$2:A742, ""&lt;="" &amp; A742) &lt; 30, AVERAGEIF($C$2:C742, C742, $G$2:G742), AVERAGE(FILTER($G$2:G742, $C$2:C742 = C742, $A$2:A742 &gt;= A742 - 30)))
"),"#DIV/0!")</f>
        <v>#DIV/0!</v>
      </c>
      <c r="I742" s="20" t="e">
        <f t="shared" ca="1" si="11"/>
        <v>#DIV/0!</v>
      </c>
      <c r="J742" s="20" t="str">
        <f ca="1">IFERROR(__xludf.DUMMYFUNCTION("IF(OR($I742=2, $I742=3), 0, IFERROR(COUNTIFS($C$2:C742, $C742, $A$2:A743, ""&gt;""&amp;IFERROR(MAX(FILTER($A$2:A743, $C$2:C742=$C742, $I$2:I742&lt;&gt;1)), 0), $I$2:I742, 1),1))
"),"#DIV/0!")</f>
        <v>#DIV/0!</v>
      </c>
      <c r="K742" s="7" t="e">
        <f t="shared" ca="1" si="12"/>
        <v>#DIV/0!</v>
      </c>
      <c r="L742" s="20" t="e">
        <f t="shared" ca="1" si="13"/>
        <v>#DIV/0!</v>
      </c>
      <c r="M742" s="21" t="e">
        <f t="shared" ca="1" si="14"/>
        <v>#DIV/0!</v>
      </c>
      <c r="N742" s="20" t="str">
        <f ca="1">IFERROR(__xludf.DUMMYFUNCTION("IF(COUNTIFS($C$2:C742, C742, $A$2:A742, ""&lt;="" &amp; A742) &lt; 30, STDEV.P(FILTER($G$2:G742, $C$2:C742 = C742)), STDEV.P(FILTER($G$2:G742, $C$2:C742 = C742, $A$2:A742 &gt;= A742 - 30)))
"),"#DIV/0!")</f>
        <v>#DIV/0!</v>
      </c>
    </row>
    <row r="743" spans="1:14" x14ac:dyDescent="0.2">
      <c r="A743" s="41"/>
      <c r="B743" s="40"/>
      <c r="C743" s="40"/>
      <c r="D743" s="31"/>
      <c r="E743" s="31"/>
      <c r="F743" s="31"/>
      <c r="G743" s="19" t="e">
        <f t="shared" si="10"/>
        <v>#DIV/0!</v>
      </c>
      <c r="H743" s="20" t="str">
        <f ca="1">IFERROR(__xludf.DUMMYFUNCTION("IF(COUNTIFS($C$2:C743, C743, $A$2:A743, ""&lt;="" &amp; A743) &lt; 30, AVERAGEIF($C$2:C743, C743, $G$2:G743), AVERAGE(FILTER($G$2:G743, $C$2:C743 = C743, $A$2:A743 &gt;= A743 - 30)))
"),"#DIV/0!")</f>
        <v>#DIV/0!</v>
      </c>
      <c r="I743" s="20" t="e">
        <f t="shared" ca="1" si="11"/>
        <v>#DIV/0!</v>
      </c>
      <c r="J743" s="20" t="str">
        <f ca="1">IFERROR(__xludf.DUMMYFUNCTION("IF(OR($I743=2, $I743=3), 0, IFERROR(COUNTIFS($C$2:C743, $C743, $A$2:A744, ""&gt;""&amp;IFERROR(MAX(FILTER($A$2:A744, $C$2:C743=$C743, $I$2:I743&lt;&gt;1)), 0), $I$2:I743, 1),1))
"),"#DIV/0!")</f>
        <v>#DIV/0!</v>
      </c>
      <c r="K743" s="7" t="e">
        <f t="shared" ca="1" si="12"/>
        <v>#DIV/0!</v>
      </c>
      <c r="L743" s="20" t="e">
        <f t="shared" ca="1" si="13"/>
        <v>#DIV/0!</v>
      </c>
      <c r="M743" s="21" t="e">
        <f t="shared" ca="1" si="14"/>
        <v>#DIV/0!</v>
      </c>
      <c r="N743" s="20" t="str">
        <f ca="1">IFERROR(__xludf.DUMMYFUNCTION("IF(COUNTIFS($C$2:C743, C743, $A$2:A743, ""&lt;="" &amp; A743) &lt; 30, STDEV.P(FILTER($G$2:G743, $C$2:C743 = C743)), STDEV.P(FILTER($G$2:G743, $C$2:C743 = C743, $A$2:A743 &gt;= A743 - 30)))
"),"#DIV/0!")</f>
        <v>#DIV/0!</v>
      </c>
    </row>
    <row r="744" spans="1:14" x14ac:dyDescent="0.2">
      <c r="A744" s="41"/>
      <c r="B744" s="40"/>
      <c r="C744" s="40"/>
      <c r="D744" s="31"/>
      <c r="E744" s="31"/>
      <c r="F744" s="31"/>
      <c r="G744" s="19" t="e">
        <f t="shared" si="10"/>
        <v>#DIV/0!</v>
      </c>
      <c r="H744" s="20" t="str">
        <f ca="1">IFERROR(__xludf.DUMMYFUNCTION("IF(COUNTIFS($C$2:C744, C744, $A$2:A744, ""&lt;="" &amp; A744) &lt; 30, AVERAGEIF($C$2:C744, C744, $G$2:G744), AVERAGE(FILTER($G$2:G744, $C$2:C744 = C744, $A$2:A744 &gt;= A744 - 30)))
"),"#DIV/0!")</f>
        <v>#DIV/0!</v>
      </c>
      <c r="I744" s="20" t="e">
        <f t="shared" ca="1" si="11"/>
        <v>#DIV/0!</v>
      </c>
      <c r="J744" s="20" t="str">
        <f ca="1">IFERROR(__xludf.DUMMYFUNCTION("IF(OR($I744=2, $I744=3), 0, IFERROR(COUNTIFS($C$2:C744, $C744, $A$2:A745, ""&gt;""&amp;IFERROR(MAX(FILTER($A$2:A745, $C$2:C744=$C744, $I$2:I744&lt;&gt;1)), 0), $I$2:I744, 1),1))
"),"#DIV/0!")</f>
        <v>#DIV/0!</v>
      </c>
      <c r="K744" s="7" t="e">
        <f t="shared" ca="1" si="12"/>
        <v>#DIV/0!</v>
      </c>
      <c r="L744" s="20" t="e">
        <f t="shared" ca="1" si="13"/>
        <v>#DIV/0!</v>
      </c>
      <c r="M744" s="21" t="e">
        <f t="shared" ca="1" si="14"/>
        <v>#DIV/0!</v>
      </c>
      <c r="N744" s="20" t="str">
        <f ca="1">IFERROR(__xludf.DUMMYFUNCTION("IF(COUNTIFS($C$2:C744, C744, $A$2:A744, ""&lt;="" &amp; A744) &lt; 30, STDEV.P(FILTER($G$2:G744, $C$2:C744 = C744)), STDEV.P(FILTER($G$2:G744, $C$2:C744 = C744, $A$2:A744 &gt;= A744 - 30)))
"),"#DIV/0!")</f>
        <v>#DIV/0!</v>
      </c>
    </row>
    <row r="745" spans="1:14" x14ac:dyDescent="0.2">
      <c r="A745" s="41"/>
      <c r="B745" s="40"/>
      <c r="C745" s="40"/>
      <c r="D745" s="31"/>
      <c r="E745" s="31"/>
      <c r="F745" s="31"/>
      <c r="G745" s="19" t="e">
        <f t="shared" si="10"/>
        <v>#DIV/0!</v>
      </c>
      <c r="H745" s="20" t="str">
        <f ca="1">IFERROR(__xludf.DUMMYFUNCTION("IF(COUNTIFS($C$2:C745, C745, $A$2:A745, ""&lt;="" &amp; A745) &lt; 30, AVERAGEIF($C$2:C745, C745, $G$2:G745), AVERAGE(FILTER($G$2:G745, $C$2:C745 = C745, $A$2:A745 &gt;= A745 - 30)))
"),"#DIV/0!")</f>
        <v>#DIV/0!</v>
      </c>
      <c r="I745" s="20" t="e">
        <f t="shared" ca="1" si="11"/>
        <v>#DIV/0!</v>
      </c>
      <c r="J745" s="20" t="str">
        <f ca="1">IFERROR(__xludf.DUMMYFUNCTION("IF(OR($I745=2, $I745=3), 0, IFERROR(COUNTIFS($C$2:C745, $C745, $A$2:A746, ""&gt;""&amp;IFERROR(MAX(FILTER($A$2:A746, $C$2:C745=$C745, $I$2:I745&lt;&gt;1)), 0), $I$2:I745, 1),1))
"),"#DIV/0!")</f>
        <v>#DIV/0!</v>
      </c>
      <c r="K745" s="7" t="e">
        <f t="shared" ca="1" si="12"/>
        <v>#DIV/0!</v>
      </c>
      <c r="L745" s="20" t="e">
        <f t="shared" ca="1" si="13"/>
        <v>#DIV/0!</v>
      </c>
      <c r="M745" s="21" t="e">
        <f t="shared" ca="1" si="14"/>
        <v>#DIV/0!</v>
      </c>
      <c r="N745" s="20" t="str">
        <f ca="1">IFERROR(__xludf.DUMMYFUNCTION("IF(COUNTIFS($C$2:C745, C745, $A$2:A745, ""&lt;="" &amp; A745) &lt; 30, STDEV.P(FILTER($G$2:G745, $C$2:C745 = C745)), STDEV.P(FILTER($G$2:G745, $C$2:C745 = C745, $A$2:A745 &gt;= A745 - 30)))
"),"#DIV/0!")</f>
        <v>#DIV/0!</v>
      </c>
    </row>
    <row r="746" spans="1:14" x14ac:dyDescent="0.2">
      <c r="A746" s="41"/>
      <c r="B746" s="40"/>
      <c r="C746" s="40"/>
      <c r="D746" s="31"/>
      <c r="E746" s="31"/>
      <c r="F746" s="31"/>
      <c r="G746" s="19" t="e">
        <f t="shared" si="10"/>
        <v>#DIV/0!</v>
      </c>
      <c r="H746" s="20" t="str">
        <f ca="1">IFERROR(__xludf.DUMMYFUNCTION("IF(COUNTIFS($C$2:C746, C746, $A$2:A746, ""&lt;="" &amp; A746) &lt; 30, AVERAGEIF($C$2:C746, C746, $G$2:G746), AVERAGE(FILTER($G$2:G746, $C$2:C746 = C746, $A$2:A746 &gt;= A746 - 30)))
"),"#DIV/0!")</f>
        <v>#DIV/0!</v>
      </c>
      <c r="I746" s="20" t="e">
        <f t="shared" ca="1" si="11"/>
        <v>#DIV/0!</v>
      </c>
      <c r="J746" s="20" t="str">
        <f ca="1">IFERROR(__xludf.DUMMYFUNCTION("IF(OR($I746=2, $I746=3), 0, IFERROR(COUNTIFS($C$2:C746, $C746, $A$2:A747, ""&gt;""&amp;IFERROR(MAX(FILTER($A$2:A747, $C$2:C746=$C746, $I$2:I746&lt;&gt;1)), 0), $I$2:I746, 1),1))
"),"#DIV/0!")</f>
        <v>#DIV/0!</v>
      </c>
      <c r="K746" s="7" t="e">
        <f t="shared" ca="1" si="12"/>
        <v>#DIV/0!</v>
      </c>
      <c r="L746" s="20" t="e">
        <f t="shared" ca="1" si="13"/>
        <v>#DIV/0!</v>
      </c>
      <c r="M746" s="21" t="e">
        <f t="shared" ca="1" si="14"/>
        <v>#DIV/0!</v>
      </c>
      <c r="N746" s="20" t="str">
        <f ca="1">IFERROR(__xludf.DUMMYFUNCTION("IF(COUNTIFS($C$2:C746, C746, $A$2:A746, ""&lt;="" &amp; A746) &lt; 30, STDEV.P(FILTER($G$2:G746, $C$2:C746 = C746)), STDEV.P(FILTER($G$2:G746, $C$2:C746 = C746, $A$2:A746 &gt;= A746 - 30)))
"),"#DIV/0!")</f>
        <v>#DIV/0!</v>
      </c>
    </row>
    <row r="747" spans="1:14" x14ac:dyDescent="0.2">
      <c r="A747" s="41"/>
      <c r="B747" s="40"/>
      <c r="C747" s="40"/>
      <c r="D747" s="31"/>
      <c r="E747" s="31"/>
      <c r="F747" s="31"/>
      <c r="G747" s="19" t="e">
        <f t="shared" si="10"/>
        <v>#DIV/0!</v>
      </c>
      <c r="H747" s="20" t="str">
        <f ca="1">IFERROR(__xludf.DUMMYFUNCTION("IF(COUNTIFS($C$2:C747, C747, $A$2:A747, ""&lt;="" &amp; A747) &lt; 30, AVERAGEIF($C$2:C747, C747, $G$2:G747), AVERAGE(FILTER($G$2:G747, $C$2:C747 = C747, $A$2:A747 &gt;= A747 - 30)))
"),"#DIV/0!")</f>
        <v>#DIV/0!</v>
      </c>
      <c r="I747" s="20" t="e">
        <f t="shared" ca="1" si="11"/>
        <v>#DIV/0!</v>
      </c>
      <c r="J747" s="20" t="str">
        <f ca="1">IFERROR(__xludf.DUMMYFUNCTION("IF(OR($I747=2, $I747=3), 0, IFERROR(COUNTIFS($C$2:C747, $C747, $A$2:A748, ""&gt;""&amp;IFERROR(MAX(FILTER($A$2:A748, $C$2:C747=$C747, $I$2:I747&lt;&gt;1)), 0), $I$2:I747, 1),1))
"),"#DIV/0!")</f>
        <v>#DIV/0!</v>
      </c>
      <c r="K747" s="7" t="e">
        <f t="shared" ca="1" si="12"/>
        <v>#DIV/0!</v>
      </c>
      <c r="L747" s="20" t="e">
        <f t="shared" ca="1" si="13"/>
        <v>#DIV/0!</v>
      </c>
      <c r="M747" s="21" t="e">
        <f t="shared" ca="1" si="14"/>
        <v>#DIV/0!</v>
      </c>
      <c r="N747" s="20" t="str">
        <f ca="1">IFERROR(__xludf.DUMMYFUNCTION("IF(COUNTIFS($C$2:C747, C747, $A$2:A747, ""&lt;="" &amp; A747) &lt; 30, STDEV.P(FILTER($G$2:G747, $C$2:C747 = C747)), STDEV.P(FILTER($G$2:G747, $C$2:C747 = C747, $A$2:A747 &gt;= A747 - 30)))
"),"#DIV/0!")</f>
        <v>#DIV/0!</v>
      </c>
    </row>
    <row r="748" spans="1:14" x14ac:dyDescent="0.2">
      <c r="A748" s="41"/>
      <c r="B748" s="32"/>
      <c r="C748" s="32"/>
      <c r="D748" s="33"/>
      <c r="E748" s="33"/>
      <c r="F748" s="33"/>
      <c r="G748" s="19" t="e">
        <f t="shared" si="10"/>
        <v>#DIV/0!</v>
      </c>
      <c r="H748" s="20" t="str">
        <f ca="1">IFERROR(__xludf.DUMMYFUNCTION("IF(COUNTIFS($C$2:C748, C748, $A$2:A748, ""&lt;="" &amp; A748) &lt; 30, AVERAGEIF($C$2:C748, C748, $G$2:G748), AVERAGE(FILTER($G$2:G748, $C$2:C748 = C748, $A$2:A748 &gt;= A748 - 30)))
"),"#DIV/0!")</f>
        <v>#DIV/0!</v>
      </c>
      <c r="I748" s="20" t="e">
        <f t="shared" ca="1" si="11"/>
        <v>#DIV/0!</v>
      </c>
      <c r="J748" s="20" t="str">
        <f ca="1">IFERROR(__xludf.DUMMYFUNCTION("IF(OR($I748=2, $I748=3), 0, IFERROR(COUNTIFS($C$2:C748, $C748, $A$2:A749, ""&gt;""&amp;IFERROR(MAX(FILTER($A$2:A749, $C$2:C748=$C748, $I$2:I748&lt;&gt;1)), 0), $I$2:I748, 1),1))
"),"#DIV/0!")</f>
        <v>#DIV/0!</v>
      </c>
      <c r="K748" s="7" t="e">
        <f t="shared" ca="1" si="12"/>
        <v>#DIV/0!</v>
      </c>
      <c r="L748" s="20" t="e">
        <f t="shared" ca="1" si="13"/>
        <v>#DIV/0!</v>
      </c>
      <c r="M748" s="21" t="e">
        <f t="shared" ca="1" si="14"/>
        <v>#DIV/0!</v>
      </c>
      <c r="N748" s="20" t="str">
        <f ca="1">IFERROR(__xludf.DUMMYFUNCTION("IF(COUNTIFS($C$2:C748, C748, $A$2:A748, ""&lt;="" &amp; A748) &lt; 30, STDEV.P(FILTER($G$2:G748, $C$2:C748 = C748)), STDEV.P(FILTER($G$2:G748, $C$2:C748 = C748, $A$2:A748 &gt;= A748 - 30)))
"),"#DIV/0!")</f>
        <v>#DIV/0!</v>
      </c>
    </row>
    <row r="749" spans="1:14" x14ac:dyDescent="0.2">
      <c r="A749" s="41"/>
      <c r="B749" s="32"/>
      <c r="C749" s="32"/>
      <c r="D749" s="33"/>
      <c r="E749" s="33"/>
      <c r="F749" s="33"/>
      <c r="G749" s="19" t="e">
        <f t="shared" si="10"/>
        <v>#DIV/0!</v>
      </c>
      <c r="H749" s="20" t="str">
        <f ca="1">IFERROR(__xludf.DUMMYFUNCTION("IF(COUNTIFS($C$2:C749, C749, $A$2:A749, ""&lt;="" &amp; A749) &lt; 30, AVERAGEIF($C$2:C749, C749, $G$2:G749), AVERAGE(FILTER($G$2:G749, $C$2:C749 = C749, $A$2:A749 &gt;= A749 - 30)))
"),"#DIV/0!")</f>
        <v>#DIV/0!</v>
      </c>
      <c r="I749" s="20" t="e">
        <f t="shared" ca="1" si="11"/>
        <v>#DIV/0!</v>
      </c>
      <c r="J749" s="20" t="str">
        <f ca="1">IFERROR(__xludf.DUMMYFUNCTION("IF(OR($I749=2, $I749=3), 0, IFERROR(COUNTIFS($C$2:C749, $C749, $A$2:A750, ""&gt;""&amp;IFERROR(MAX(FILTER($A$2:A750, $C$2:C749=$C749, $I$2:I749&lt;&gt;1)), 0), $I$2:I749, 1),1))
"),"#DIV/0!")</f>
        <v>#DIV/0!</v>
      </c>
      <c r="K749" s="7" t="e">
        <f t="shared" ca="1" si="12"/>
        <v>#DIV/0!</v>
      </c>
      <c r="L749" s="20" t="e">
        <f t="shared" ca="1" si="13"/>
        <v>#DIV/0!</v>
      </c>
      <c r="M749" s="21" t="e">
        <f t="shared" ca="1" si="14"/>
        <v>#DIV/0!</v>
      </c>
      <c r="N749" s="20" t="str">
        <f ca="1">IFERROR(__xludf.DUMMYFUNCTION("IF(COUNTIFS($C$2:C749, C749, $A$2:A749, ""&lt;="" &amp; A749) &lt; 30, STDEV.P(FILTER($G$2:G749, $C$2:C749 = C749)), STDEV.P(FILTER($G$2:G749, $C$2:C749 = C749, $A$2:A749 &gt;= A749 - 30)))
"),"#DIV/0!")</f>
        <v>#DIV/0!</v>
      </c>
    </row>
    <row r="750" spans="1:14" x14ac:dyDescent="0.2">
      <c r="A750" s="41"/>
      <c r="B750" s="32"/>
      <c r="C750" s="32"/>
      <c r="D750" s="33"/>
      <c r="E750" s="33"/>
      <c r="F750" s="33"/>
      <c r="G750" s="19" t="e">
        <f t="shared" si="10"/>
        <v>#DIV/0!</v>
      </c>
      <c r="H750" s="20" t="str">
        <f ca="1">IFERROR(__xludf.DUMMYFUNCTION("IF(COUNTIFS($C$2:C750, C750, $A$2:A750, ""&lt;="" &amp; A750) &lt; 30, AVERAGEIF($C$2:C750, C750, $G$2:G750), AVERAGE(FILTER($G$2:G750, $C$2:C750 = C750, $A$2:A750 &gt;= A750 - 30)))
"),"#DIV/0!")</f>
        <v>#DIV/0!</v>
      </c>
      <c r="I750" s="20" t="e">
        <f t="shared" ca="1" si="11"/>
        <v>#DIV/0!</v>
      </c>
      <c r="J750" s="20" t="str">
        <f ca="1">IFERROR(__xludf.DUMMYFUNCTION("IF(OR($I750=2, $I750=3), 0, IFERROR(COUNTIFS($C$2:C750, $C750, $A$2:A751, ""&gt;""&amp;IFERROR(MAX(FILTER($A$2:A751, $C$2:C750=$C750, $I$2:I750&lt;&gt;1)), 0), $I$2:I750, 1),1))
"),"#DIV/0!")</f>
        <v>#DIV/0!</v>
      </c>
      <c r="K750" s="7" t="e">
        <f t="shared" ca="1" si="12"/>
        <v>#DIV/0!</v>
      </c>
      <c r="L750" s="20" t="e">
        <f t="shared" ca="1" si="13"/>
        <v>#DIV/0!</v>
      </c>
      <c r="M750" s="21" t="e">
        <f t="shared" ca="1" si="14"/>
        <v>#DIV/0!</v>
      </c>
      <c r="N750" s="20" t="str">
        <f ca="1">IFERROR(__xludf.DUMMYFUNCTION("IF(COUNTIFS($C$2:C750, C750, $A$2:A750, ""&lt;="" &amp; A750) &lt; 30, STDEV.P(FILTER($G$2:G750, $C$2:C750 = C750)), STDEV.P(FILTER($G$2:G750, $C$2:C750 = C750, $A$2:A750 &gt;= A750 - 30)))
"),"#DIV/0!")</f>
        <v>#DIV/0!</v>
      </c>
    </row>
    <row r="751" spans="1:14" x14ac:dyDescent="0.2">
      <c r="A751" s="41"/>
      <c r="B751" s="32"/>
      <c r="C751" s="32"/>
      <c r="D751" s="33"/>
      <c r="E751" s="33"/>
      <c r="F751" s="33"/>
      <c r="G751" s="19" t="e">
        <f t="shared" si="10"/>
        <v>#DIV/0!</v>
      </c>
      <c r="H751" s="20" t="str">
        <f ca="1">IFERROR(__xludf.DUMMYFUNCTION("IF(COUNTIFS($C$2:C751, C751, $A$2:A751, ""&lt;="" &amp; A751) &lt; 30, AVERAGEIF($C$2:C751, C751, $G$2:G751), AVERAGE(FILTER($G$2:G751, $C$2:C751 = C751, $A$2:A751 &gt;= A751 - 30)))
"),"#DIV/0!")</f>
        <v>#DIV/0!</v>
      </c>
      <c r="I751" s="20" t="e">
        <f t="shared" ca="1" si="11"/>
        <v>#DIV/0!</v>
      </c>
      <c r="J751" s="20" t="str">
        <f ca="1">IFERROR(__xludf.DUMMYFUNCTION("IF(OR($I751=2, $I751=3), 0, IFERROR(COUNTIFS($C$2:C751, $C751, $A$2:A752, ""&gt;""&amp;IFERROR(MAX(FILTER($A$2:A752, $C$2:C751=$C751, $I$2:I751&lt;&gt;1)), 0), $I$2:I751, 1),1))
"),"#DIV/0!")</f>
        <v>#DIV/0!</v>
      </c>
      <c r="K751" s="7" t="e">
        <f t="shared" ca="1" si="12"/>
        <v>#DIV/0!</v>
      </c>
      <c r="L751" s="20" t="e">
        <f t="shared" ca="1" si="13"/>
        <v>#DIV/0!</v>
      </c>
      <c r="M751" s="21" t="e">
        <f t="shared" ca="1" si="14"/>
        <v>#DIV/0!</v>
      </c>
      <c r="N751" s="20" t="str">
        <f ca="1">IFERROR(__xludf.DUMMYFUNCTION("IF(COUNTIFS($C$2:C751, C751, $A$2:A751, ""&lt;="" &amp; A751) &lt; 30, STDEV.P(FILTER($G$2:G751, $C$2:C751 = C751)), STDEV.P(FILTER($G$2:G751, $C$2:C751 = C751, $A$2:A751 &gt;= A751 - 30)))
"),"#DIV/0!")</f>
        <v>#DIV/0!</v>
      </c>
    </row>
    <row r="752" spans="1:14" x14ac:dyDescent="0.2">
      <c r="A752" s="41"/>
      <c r="B752" s="32"/>
      <c r="C752" s="32"/>
      <c r="D752" s="33"/>
      <c r="E752" s="33"/>
      <c r="F752" s="33"/>
      <c r="G752" s="19" t="e">
        <f t="shared" si="10"/>
        <v>#DIV/0!</v>
      </c>
      <c r="H752" s="20" t="str">
        <f ca="1">IFERROR(__xludf.DUMMYFUNCTION("IF(COUNTIFS($C$2:C752, C752, $A$2:A752, ""&lt;="" &amp; A752) &lt; 30, AVERAGEIF($C$2:C752, C752, $G$2:G752), AVERAGE(FILTER($G$2:G752, $C$2:C752 = C752, $A$2:A752 &gt;= A752 - 30)))
"),"#DIV/0!")</f>
        <v>#DIV/0!</v>
      </c>
      <c r="I752" s="20" t="e">
        <f t="shared" ca="1" si="11"/>
        <v>#DIV/0!</v>
      </c>
      <c r="J752" s="20" t="str">
        <f ca="1">IFERROR(__xludf.DUMMYFUNCTION("IF(OR($I752=2, $I752=3), 0, IFERROR(COUNTIFS($C$2:C752, $C752, $A$2:A753, ""&gt;""&amp;IFERROR(MAX(FILTER($A$2:A753, $C$2:C752=$C752, $I$2:I752&lt;&gt;1)), 0), $I$2:I752, 1),1))
"),"#DIV/0!")</f>
        <v>#DIV/0!</v>
      </c>
      <c r="K752" s="7" t="e">
        <f t="shared" ca="1" si="12"/>
        <v>#DIV/0!</v>
      </c>
      <c r="L752" s="20" t="e">
        <f t="shared" ca="1" si="13"/>
        <v>#DIV/0!</v>
      </c>
      <c r="M752" s="21" t="e">
        <f t="shared" ca="1" si="14"/>
        <v>#DIV/0!</v>
      </c>
      <c r="N752" s="20" t="str">
        <f ca="1">IFERROR(__xludf.DUMMYFUNCTION("IF(COUNTIFS($C$2:C752, C752, $A$2:A752, ""&lt;="" &amp; A752) &lt; 30, STDEV.P(FILTER($G$2:G752, $C$2:C752 = C752)), STDEV.P(FILTER($G$2:G752, $C$2:C752 = C752, $A$2:A752 &gt;= A752 - 30)))
"),"#DIV/0!")</f>
        <v>#DIV/0!</v>
      </c>
    </row>
    <row r="753" spans="1:14" x14ac:dyDescent="0.2">
      <c r="A753" s="41"/>
      <c r="B753" s="32"/>
      <c r="C753" s="32"/>
      <c r="D753" s="33"/>
      <c r="E753" s="33"/>
      <c r="F753" s="33"/>
      <c r="G753" s="19" t="e">
        <f t="shared" si="10"/>
        <v>#DIV/0!</v>
      </c>
      <c r="H753" s="20" t="str">
        <f ca="1">IFERROR(__xludf.DUMMYFUNCTION("IF(COUNTIFS($C$2:C753, C753, $A$2:A753, ""&lt;="" &amp; A753) &lt; 30, AVERAGEIF($C$2:C753, C753, $G$2:G753), AVERAGE(FILTER($G$2:G753, $C$2:C753 = C753, $A$2:A753 &gt;= A753 - 30)))
"),"#DIV/0!")</f>
        <v>#DIV/0!</v>
      </c>
      <c r="I753" s="20" t="e">
        <f t="shared" ca="1" si="11"/>
        <v>#DIV/0!</v>
      </c>
      <c r="J753" s="20" t="str">
        <f ca="1">IFERROR(__xludf.DUMMYFUNCTION("IF(OR($I753=2, $I753=3), 0, IFERROR(COUNTIFS($C$2:C753, $C753, $A$2:A754, ""&gt;""&amp;IFERROR(MAX(FILTER($A$2:A754, $C$2:C753=$C753, $I$2:I753&lt;&gt;1)), 0), $I$2:I753, 1),1))
"),"#DIV/0!")</f>
        <v>#DIV/0!</v>
      </c>
      <c r="K753" s="7" t="e">
        <f t="shared" ca="1" si="12"/>
        <v>#DIV/0!</v>
      </c>
      <c r="L753" s="20" t="e">
        <f t="shared" ca="1" si="13"/>
        <v>#DIV/0!</v>
      </c>
      <c r="M753" s="21" t="e">
        <f t="shared" ca="1" si="14"/>
        <v>#DIV/0!</v>
      </c>
      <c r="N753" s="20" t="str">
        <f ca="1">IFERROR(__xludf.DUMMYFUNCTION("IF(COUNTIFS($C$2:C753, C753, $A$2:A753, ""&lt;="" &amp; A753) &lt; 30, STDEV.P(FILTER($G$2:G753, $C$2:C753 = C753)), STDEV.P(FILTER($G$2:G753, $C$2:C753 = C753, $A$2:A753 &gt;= A753 - 30)))
"),"#DIV/0!")</f>
        <v>#DIV/0!</v>
      </c>
    </row>
    <row r="754" spans="1:14" x14ac:dyDescent="0.2">
      <c r="A754" s="41"/>
      <c r="B754" s="32"/>
      <c r="C754" s="32"/>
      <c r="D754" s="33"/>
      <c r="E754" s="33"/>
      <c r="F754" s="33"/>
      <c r="G754" s="19" t="e">
        <f t="shared" si="10"/>
        <v>#DIV/0!</v>
      </c>
      <c r="H754" s="20" t="str">
        <f ca="1">IFERROR(__xludf.DUMMYFUNCTION("IF(COUNTIFS($C$2:C754, C754, $A$2:A754, ""&lt;="" &amp; A754) &lt; 30, AVERAGEIF($C$2:C754, C754, $G$2:G754), AVERAGE(FILTER($G$2:G754, $C$2:C754 = C754, $A$2:A754 &gt;= A754 - 30)))
"),"#DIV/0!")</f>
        <v>#DIV/0!</v>
      </c>
      <c r="I754" s="20" t="e">
        <f t="shared" ca="1" si="11"/>
        <v>#DIV/0!</v>
      </c>
      <c r="J754" s="20" t="str">
        <f ca="1">IFERROR(__xludf.DUMMYFUNCTION("IF(OR($I754=2, $I754=3), 0, IFERROR(COUNTIFS($C$2:C754, $C754, $A$2:A755, ""&gt;""&amp;IFERROR(MAX(FILTER($A$2:A755, $C$2:C754=$C754, $I$2:I754&lt;&gt;1)), 0), $I$2:I754, 1),1))
"),"#DIV/0!")</f>
        <v>#DIV/0!</v>
      </c>
      <c r="K754" s="7" t="e">
        <f t="shared" ca="1" si="12"/>
        <v>#DIV/0!</v>
      </c>
      <c r="L754" s="20" t="e">
        <f t="shared" ca="1" si="13"/>
        <v>#DIV/0!</v>
      </c>
      <c r="M754" s="21" t="e">
        <f t="shared" ca="1" si="14"/>
        <v>#DIV/0!</v>
      </c>
      <c r="N754" s="20" t="str">
        <f ca="1">IFERROR(__xludf.DUMMYFUNCTION("IF(COUNTIFS($C$2:C754, C754, $A$2:A754, ""&lt;="" &amp; A754) &lt; 30, STDEV.P(FILTER($G$2:G754, $C$2:C754 = C754)), STDEV.P(FILTER($G$2:G754, $C$2:C754 = C754, $A$2:A754 &gt;= A754 - 30)))
"),"#DIV/0!")</f>
        <v>#DIV/0!</v>
      </c>
    </row>
    <row r="755" spans="1:14" x14ac:dyDescent="0.2">
      <c r="A755" s="41"/>
      <c r="B755" s="32"/>
      <c r="C755" s="32"/>
      <c r="D755" s="33"/>
      <c r="E755" s="33"/>
      <c r="F755" s="33"/>
      <c r="G755" s="19" t="e">
        <f t="shared" si="10"/>
        <v>#DIV/0!</v>
      </c>
      <c r="H755" s="20" t="str">
        <f ca="1">IFERROR(__xludf.DUMMYFUNCTION("IF(COUNTIFS($C$2:C755, C755, $A$2:A755, ""&lt;="" &amp; A755) &lt; 30, AVERAGEIF($C$2:C755, C755, $G$2:G755), AVERAGE(FILTER($G$2:G755, $C$2:C755 = C755, $A$2:A755 &gt;= A755 - 30)))
"),"#DIV/0!")</f>
        <v>#DIV/0!</v>
      </c>
      <c r="I755" s="20" t="e">
        <f t="shared" ca="1" si="11"/>
        <v>#DIV/0!</v>
      </c>
      <c r="J755" s="20" t="str">
        <f ca="1">IFERROR(__xludf.DUMMYFUNCTION("IF(OR($I755=2, $I755=3), 0, IFERROR(COUNTIFS($C$2:C755, $C755, $A$2:A756, ""&gt;""&amp;IFERROR(MAX(FILTER($A$2:A756, $C$2:C755=$C755, $I$2:I755&lt;&gt;1)), 0), $I$2:I755, 1),1))
"),"#DIV/0!")</f>
        <v>#DIV/0!</v>
      </c>
      <c r="K755" s="7" t="e">
        <f t="shared" ca="1" si="12"/>
        <v>#DIV/0!</v>
      </c>
      <c r="L755" s="20" t="e">
        <f t="shared" ca="1" si="13"/>
        <v>#DIV/0!</v>
      </c>
      <c r="M755" s="21" t="e">
        <f t="shared" ca="1" si="14"/>
        <v>#DIV/0!</v>
      </c>
      <c r="N755" s="20" t="str">
        <f ca="1">IFERROR(__xludf.DUMMYFUNCTION("IF(COUNTIFS($C$2:C755, C755, $A$2:A755, ""&lt;="" &amp; A755) &lt; 30, STDEV.P(FILTER($G$2:G755, $C$2:C755 = C755)), STDEV.P(FILTER($G$2:G755, $C$2:C755 = C755, $A$2:A755 &gt;= A755 - 30)))
"),"#DIV/0!")</f>
        <v>#DIV/0!</v>
      </c>
    </row>
    <row r="756" spans="1:14" x14ac:dyDescent="0.2">
      <c r="A756" s="41"/>
      <c r="B756" s="32"/>
      <c r="C756" s="32"/>
      <c r="D756" s="33"/>
      <c r="E756" s="33"/>
      <c r="F756" s="33"/>
      <c r="G756" s="19" t="e">
        <f t="shared" si="10"/>
        <v>#DIV/0!</v>
      </c>
      <c r="H756" s="20" t="str">
        <f ca="1">IFERROR(__xludf.DUMMYFUNCTION("IF(COUNTIFS($C$2:C756, C756, $A$2:A756, ""&lt;="" &amp; A756) &lt; 30, AVERAGEIF($C$2:C756, C756, $G$2:G756), AVERAGE(FILTER($G$2:G756, $C$2:C756 = C756, $A$2:A756 &gt;= A756 - 30)))
"),"#DIV/0!")</f>
        <v>#DIV/0!</v>
      </c>
      <c r="I756" s="20" t="e">
        <f t="shared" ca="1" si="11"/>
        <v>#DIV/0!</v>
      </c>
      <c r="J756" s="20" t="str">
        <f ca="1">IFERROR(__xludf.DUMMYFUNCTION("IF(OR($I756=2, $I756=3), 0, IFERROR(COUNTIFS($C$2:C756, $C756, $A$2:A757, ""&gt;""&amp;IFERROR(MAX(FILTER($A$2:A757, $C$2:C756=$C756, $I$2:I756&lt;&gt;1)), 0), $I$2:I756, 1),1))
"),"#DIV/0!")</f>
        <v>#DIV/0!</v>
      </c>
      <c r="K756" s="7" t="e">
        <f t="shared" ca="1" si="12"/>
        <v>#DIV/0!</v>
      </c>
      <c r="L756" s="20" t="e">
        <f t="shared" ca="1" si="13"/>
        <v>#DIV/0!</v>
      </c>
      <c r="M756" s="21" t="e">
        <f t="shared" ca="1" si="14"/>
        <v>#DIV/0!</v>
      </c>
      <c r="N756" s="20" t="str">
        <f ca="1">IFERROR(__xludf.DUMMYFUNCTION("IF(COUNTIFS($C$2:C756, C756, $A$2:A756, ""&lt;="" &amp; A756) &lt; 30, STDEV.P(FILTER($G$2:G756, $C$2:C756 = C756)), STDEV.P(FILTER($G$2:G756, $C$2:C756 = C756, $A$2:A756 &gt;= A756 - 30)))
"),"#DIV/0!")</f>
        <v>#DIV/0!</v>
      </c>
    </row>
    <row r="757" spans="1:14" x14ac:dyDescent="0.2">
      <c r="A757" s="41"/>
      <c r="B757" s="32"/>
      <c r="C757" s="32"/>
      <c r="D757" s="33"/>
      <c r="E757" s="33"/>
      <c r="F757" s="33"/>
      <c r="G757" s="19" t="e">
        <f t="shared" si="10"/>
        <v>#DIV/0!</v>
      </c>
      <c r="H757" s="20" t="str">
        <f ca="1">IFERROR(__xludf.DUMMYFUNCTION("IF(COUNTIFS($C$2:C757, C757, $A$2:A757, ""&lt;="" &amp; A757) &lt; 30, AVERAGEIF($C$2:C757, C757, $G$2:G757), AVERAGE(FILTER($G$2:G757, $C$2:C757 = C757, $A$2:A757 &gt;= A757 - 30)))
"),"#DIV/0!")</f>
        <v>#DIV/0!</v>
      </c>
      <c r="I757" s="20" t="e">
        <f t="shared" ca="1" si="11"/>
        <v>#DIV/0!</v>
      </c>
      <c r="J757" s="20" t="str">
        <f ca="1">IFERROR(__xludf.DUMMYFUNCTION("IF(OR($I757=2, $I757=3), 0, IFERROR(COUNTIFS($C$2:C757, $C757, $A$2:A758, ""&gt;""&amp;IFERROR(MAX(FILTER($A$2:A758, $C$2:C757=$C757, $I$2:I757&lt;&gt;1)), 0), $I$2:I757, 1),1))
"),"#DIV/0!")</f>
        <v>#DIV/0!</v>
      </c>
      <c r="K757" s="7" t="e">
        <f t="shared" ca="1" si="12"/>
        <v>#DIV/0!</v>
      </c>
      <c r="L757" s="20" t="e">
        <f t="shared" ca="1" si="13"/>
        <v>#DIV/0!</v>
      </c>
      <c r="M757" s="21" t="e">
        <f t="shared" ca="1" si="14"/>
        <v>#DIV/0!</v>
      </c>
      <c r="N757" s="20" t="str">
        <f ca="1">IFERROR(__xludf.DUMMYFUNCTION("IF(COUNTIFS($C$2:C757, C757, $A$2:A757, ""&lt;="" &amp; A757) &lt; 30, STDEV.P(FILTER($G$2:G757, $C$2:C757 = C757)), STDEV.P(FILTER($G$2:G757, $C$2:C757 = C757, $A$2:A757 &gt;= A757 - 30)))
"),"#DIV/0!")</f>
        <v>#DIV/0!</v>
      </c>
    </row>
    <row r="758" spans="1:14" x14ac:dyDescent="0.2">
      <c r="A758" s="41"/>
      <c r="B758" s="32"/>
      <c r="C758" s="32"/>
      <c r="D758" s="33"/>
      <c r="E758" s="33"/>
      <c r="F758" s="33"/>
      <c r="G758" s="19" t="e">
        <f t="shared" si="10"/>
        <v>#DIV/0!</v>
      </c>
      <c r="H758" s="20" t="str">
        <f ca="1">IFERROR(__xludf.DUMMYFUNCTION("IF(COUNTIFS($C$2:C758, C758, $A$2:A758, ""&lt;="" &amp; A758) &lt; 30, AVERAGEIF($C$2:C758, C758, $G$2:G758), AVERAGE(FILTER($G$2:G758, $C$2:C758 = C758, $A$2:A758 &gt;= A758 - 30)))
"),"#DIV/0!")</f>
        <v>#DIV/0!</v>
      </c>
      <c r="I758" s="20" t="e">
        <f t="shared" ca="1" si="11"/>
        <v>#DIV/0!</v>
      </c>
      <c r="J758" s="20" t="str">
        <f ca="1">IFERROR(__xludf.DUMMYFUNCTION("IF(OR($I758=2, $I758=3), 0, IFERROR(COUNTIFS($C$2:C758, $C758, $A$2:A759, ""&gt;""&amp;IFERROR(MAX(FILTER($A$2:A759, $C$2:C758=$C758, $I$2:I758&lt;&gt;1)), 0), $I$2:I758, 1),1))
"),"#DIV/0!")</f>
        <v>#DIV/0!</v>
      </c>
      <c r="K758" s="7" t="e">
        <f t="shared" ca="1" si="12"/>
        <v>#DIV/0!</v>
      </c>
      <c r="L758" s="20" t="e">
        <f t="shared" ca="1" si="13"/>
        <v>#DIV/0!</v>
      </c>
      <c r="M758" s="21" t="e">
        <f t="shared" ca="1" si="14"/>
        <v>#DIV/0!</v>
      </c>
      <c r="N758" s="20" t="str">
        <f ca="1">IFERROR(__xludf.DUMMYFUNCTION("IF(COUNTIFS($C$2:C758, C758, $A$2:A758, ""&lt;="" &amp; A758) &lt; 30, STDEV.P(FILTER($G$2:G758, $C$2:C758 = C758)), STDEV.P(FILTER($G$2:G758, $C$2:C758 = C758, $A$2:A758 &gt;= A758 - 30)))
"),"#DIV/0!")</f>
        <v>#DIV/0!</v>
      </c>
    </row>
    <row r="759" spans="1:14" x14ac:dyDescent="0.2">
      <c r="A759" s="41"/>
      <c r="B759" s="32"/>
      <c r="C759" s="32"/>
      <c r="D759" s="33"/>
      <c r="E759" s="33"/>
      <c r="F759" s="33"/>
      <c r="G759" s="19" t="e">
        <f t="shared" si="10"/>
        <v>#DIV/0!</v>
      </c>
      <c r="H759" s="20" t="str">
        <f ca="1">IFERROR(__xludf.DUMMYFUNCTION("IF(COUNTIFS($C$2:C759, C759, $A$2:A759, ""&lt;="" &amp; A759) &lt; 30, AVERAGEIF($C$2:C759, C759, $G$2:G759), AVERAGE(FILTER($G$2:G759, $C$2:C759 = C759, $A$2:A759 &gt;= A759 - 30)))
"),"#DIV/0!")</f>
        <v>#DIV/0!</v>
      </c>
      <c r="I759" s="20" t="e">
        <f t="shared" ca="1" si="11"/>
        <v>#DIV/0!</v>
      </c>
      <c r="J759" s="20" t="str">
        <f ca="1">IFERROR(__xludf.DUMMYFUNCTION("IF(OR($I759=2, $I759=3), 0, IFERROR(COUNTIFS($C$2:C759, $C759, $A$2:A760, ""&gt;""&amp;IFERROR(MAX(FILTER($A$2:A760, $C$2:C759=$C759, $I$2:I759&lt;&gt;1)), 0), $I$2:I759, 1),1))
"),"#DIV/0!")</f>
        <v>#DIV/0!</v>
      </c>
      <c r="K759" s="7" t="e">
        <f t="shared" ca="1" si="12"/>
        <v>#DIV/0!</v>
      </c>
      <c r="L759" s="20" t="e">
        <f t="shared" ca="1" si="13"/>
        <v>#DIV/0!</v>
      </c>
      <c r="M759" s="21" t="e">
        <f t="shared" ca="1" si="14"/>
        <v>#DIV/0!</v>
      </c>
      <c r="N759" s="20" t="str">
        <f ca="1">IFERROR(__xludf.DUMMYFUNCTION("IF(COUNTIFS($C$2:C759, C759, $A$2:A759, ""&lt;="" &amp; A759) &lt; 30, STDEV.P(FILTER($G$2:G759, $C$2:C759 = C759)), STDEV.P(FILTER($G$2:G759, $C$2:C759 = C759, $A$2:A759 &gt;= A759 - 30)))
"),"#DIV/0!")</f>
        <v>#DIV/0!</v>
      </c>
    </row>
    <row r="760" spans="1:14" x14ac:dyDescent="0.2">
      <c r="A760" s="41"/>
      <c r="B760" s="32"/>
      <c r="C760" s="32"/>
      <c r="D760" s="33"/>
      <c r="E760" s="33"/>
      <c r="F760" s="33"/>
      <c r="G760" s="19" t="e">
        <f t="shared" si="10"/>
        <v>#DIV/0!</v>
      </c>
      <c r="H760" s="20" t="str">
        <f ca="1">IFERROR(__xludf.DUMMYFUNCTION("IF(COUNTIFS($C$2:C760, C760, $A$2:A760, ""&lt;="" &amp; A760) &lt; 30, AVERAGEIF($C$2:C760, C760, $G$2:G760), AVERAGE(FILTER($G$2:G760, $C$2:C760 = C760, $A$2:A760 &gt;= A760 - 30)))
"),"#DIV/0!")</f>
        <v>#DIV/0!</v>
      </c>
      <c r="I760" s="20" t="e">
        <f t="shared" ca="1" si="11"/>
        <v>#DIV/0!</v>
      </c>
      <c r="J760" s="20" t="str">
        <f ca="1">IFERROR(__xludf.DUMMYFUNCTION("IF(OR($I760=2, $I760=3), 0, IFERROR(COUNTIFS($C$2:C760, $C760, $A$2:A761, ""&gt;""&amp;IFERROR(MAX(FILTER($A$2:A761, $C$2:C760=$C760, $I$2:I760&lt;&gt;1)), 0), $I$2:I760, 1),1))
"),"#DIV/0!")</f>
        <v>#DIV/0!</v>
      </c>
      <c r="K760" s="7" t="e">
        <f t="shared" ca="1" si="12"/>
        <v>#DIV/0!</v>
      </c>
      <c r="L760" s="20" t="e">
        <f t="shared" ca="1" si="13"/>
        <v>#DIV/0!</v>
      </c>
      <c r="M760" s="21" t="e">
        <f t="shared" ca="1" si="14"/>
        <v>#DIV/0!</v>
      </c>
      <c r="N760" s="20" t="str">
        <f ca="1">IFERROR(__xludf.DUMMYFUNCTION("IF(COUNTIFS($C$2:C760, C760, $A$2:A760, ""&lt;="" &amp; A760) &lt; 30, STDEV.P(FILTER($G$2:G760, $C$2:C760 = C760)), STDEV.P(FILTER($G$2:G760, $C$2:C760 = C760, $A$2:A760 &gt;= A760 - 30)))
"),"#DIV/0!")</f>
        <v>#DIV/0!</v>
      </c>
    </row>
    <row r="761" spans="1:14" x14ac:dyDescent="0.2">
      <c r="A761" s="41"/>
      <c r="B761" s="40"/>
      <c r="C761" s="40"/>
      <c r="D761" s="31"/>
      <c r="E761" s="31"/>
      <c r="F761" s="31"/>
      <c r="G761" s="19" t="e">
        <f t="shared" si="10"/>
        <v>#DIV/0!</v>
      </c>
      <c r="H761" s="20" t="str">
        <f ca="1">IFERROR(__xludf.DUMMYFUNCTION("IF(COUNTIFS($C$2:C761, C761, $A$2:A761, ""&lt;="" &amp; A761) &lt; 30, AVERAGEIF($C$2:C761, C761, $G$2:G761), AVERAGE(FILTER($G$2:G761, $C$2:C761 = C761, $A$2:A761 &gt;= A761 - 30)))
"),"#DIV/0!")</f>
        <v>#DIV/0!</v>
      </c>
      <c r="I761" s="20" t="e">
        <f t="shared" ca="1" si="11"/>
        <v>#DIV/0!</v>
      </c>
      <c r="J761" s="20" t="str">
        <f ca="1">IFERROR(__xludf.DUMMYFUNCTION("IF(OR($I761=2, $I761=3), 0, IFERROR(COUNTIFS($C$2:C761, $C761, $A$2:A762, ""&gt;""&amp;IFERROR(MAX(FILTER($A$2:A762, $C$2:C761=$C761, $I$2:I761&lt;&gt;1)), 0), $I$2:I761, 1),1))
"),"#DIV/0!")</f>
        <v>#DIV/0!</v>
      </c>
      <c r="K761" s="7" t="e">
        <f t="shared" ca="1" si="12"/>
        <v>#DIV/0!</v>
      </c>
      <c r="L761" s="20" t="e">
        <f t="shared" ca="1" si="13"/>
        <v>#DIV/0!</v>
      </c>
      <c r="M761" s="21" t="e">
        <f t="shared" ca="1" si="14"/>
        <v>#DIV/0!</v>
      </c>
      <c r="N761" s="20" t="str">
        <f ca="1">IFERROR(__xludf.DUMMYFUNCTION("IF(COUNTIFS($C$2:C761, C761, $A$2:A761, ""&lt;="" &amp; A761) &lt; 30, STDEV.P(FILTER($G$2:G761, $C$2:C761 = C761)), STDEV.P(FILTER($G$2:G761, $C$2:C761 = C761, $A$2:A761 &gt;= A761 - 30)))
"),"#DIV/0!")</f>
        <v>#DIV/0!</v>
      </c>
    </row>
    <row r="762" spans="1:14" x14ac:dyDescent="0.2">
      <c r="A762" s="41"/>
      <c r="B762" s="40"/>
      <c r="C762" s="40"/>
      <c r="D762" s="31"/>
      <c r="E762" s="31"/>
      <c r="F762" s="31"/>
      <c r="G762" s="19" t="e">
        <f t="shared" si="10"/>
        <v>#DIV/0!</v>
      </c>
      <c r="H762" s="20" t="str">
        <f ca="1">IFERROR(__xludf.DUMMYFUNCTION("IF(COUNTIFS($C$2:C762, C762, $A$2:A762, ""&lt;="" &amp; A762) &lt; 30, AVERAGEIF($C$2:C762, C762, $G$2:G762), AVERAGE(FILTER($G$2:G762, $C$2:C762 = C762, $A$2:A762 &gt;= A762 - 30)))
"),"#DIV/0!")</f>
        <v>#DIV/0!</v>
      </c>
      <c r="I762" s="20" t="e">
        <f t="shared" ca="1" si="11"/>
        <v>#DIV/0!</v>
      </c>
      <c r="J762" s="20" t="str">
        <f ca="1">IFERROR(__xludf.DUMMYFUNCTION("IF(OR($I762=2, $I762=3), 0, IFERROR(COUNTIFS($C$2:C762, $C762, $A$2:A762, ""&gt;""&amp;IFERROR(MAX(FILTER($A$2:A762, $C$2:C762=$C762, $I$2:I762&lt;&gt;1)), 0), $I$2:I762, 1),1))
"),"#DIV/0!")</f>
        <v>#DIV/0!</v>
      </c>
      <c r="K762" s="7" t="e">
        <f t="shared" ca="1" si="12"/>
        <v>#DIV/0!</v>
      </c>
      <c r="L762" s="20" t="e">
        <f t="shared" ca="1" si="13"/>
        <v>#DIV/0!</v>
      </c>
      <c r="M762" s="21" t="e">
        <f t="shared" ca="1" si="14"/>
        <v>#DIV/0!</v>
      </c>
      <c r="N762" s="20" t="str">
        <f ca="1">IFERROR(__xludf.DUMMYFUNCTION("IF(COUNTIFS($C$2:C762, C762, $A$2:A762, ""&lt;="" &amp; A762) &lt; 30, STDEV.P(FILTER($G$2:G762, $C$2:C762 = C762)), STDEV.P(FILTER($G$2:G762, $C$2:C762 = C762, $A$2:A762 &gt;= A762 - 30)))
"),"#DIV/0!")</f>
        <v>#DIV/0!</v>
      </c>
    </row>
    <row r="763" spans="1:14" x14ac:dyDescent="0.2">
      <c r="A763" s="41"/>
      <c r="B763" s="40"/>
      <c r="C763" s="40"/>
      <c r="D763" s="31"/>
      <c r="E763" s="31"/>
      <c r="F763" s="31"/>
      <c r="G763" s="19" t="e">
        <f t="shared" si="10"/>
        <v>#DIV/0!</v>
      </c>
      <c r="H763" s="20" t="str">
        <f ca="1">IFERROR(__xludf.DUMMYFUNCTION("IF(COUNTIFS($C$2:C763, C763, $A$2:A763, ""&lt;="" &amp; A763) &lt; 30, AVERAGEIF($C$2:C763, C763, $G$2:G763), AVERAGE(FILTER($G$2:G763, $C$2:C763 = C763, $A$2:A763 &gt;= A763 - 30)))
"),"#DIV/0!")</f>
        <v>#DIV/0!</v>
      </c>
      <c r="I763" s="20" t="e">
        <f t="shared" ca="1" si="11"/>
        <v>#DIV/0!</v>
      </c>
      <c r="J763" s="20" t="str">
        <f ca="1">IFERROR(__xludf.DUMMYFUNCTION("IF(OR($I763=2, $I763=3), 0, IFERROR(COUNTIFS($C$2:C763, $C763, $A$2:A763, ""&gt;""&amp;IFERROR(MAX(FILTER($A$2:A763, $C$2:C763=$C763, $I$2:I763&lt;&gt;1)), 0), $I$2:I763, 1),1))
"),"#DIV/0!")</f>
        <v>#DIV/0!</v>
      </c>
      <c r="K763" s="7" t="e">
        <f t="shared" ca="1" si="12"/>
        <v>#DIV/0!</v>
      </c>
      <c r="L763" s="20" t="e">
        <f t="shared" ca="1" si="13"/>
        <v>#DIV/0!</v>
      </c>
      <c r="M763" s="21" t="e">
        <f t="shared" ca="1" si="14"/>
        <v>#DIV/0!</v>
      </c>
      <c r="N763" s="20" t="str">
        <f ca="1">IFERROR(__xludf.DUMMYFUNCTION("IF(COUNTIFS($C$2:C763, C763, $A$2:A763, ""&lt;="" &amp; A763) &lt; 30, STDEV.P(FILTER($G$2:G763, $C$2:C763 = C763)), STDEV.P(FILTER($G$2:G763, $C$2:C763 = C763, $A$2:A763 &gt;= A763 - 30)))
"),"#DIV/0!")</f>
        <v>#DIV/0!</v>
      </c>
    </row>
    <row r="764" spans="1:14" x14ac:dyDescent="0.2">
      <c r="A764" s="41"/>
      <c r="B764" s="40"/>
      <c r="C764" s="40"/>
      <c r="D764" s="31"/>
      <c r="E764" s="31"/>
      <c r="F764" s="31"/>
      <c r="G764" s="19" t="e">
        <f t="shared" si="10"/>
        <v>#DIV/0!</v>
      </c>
      <c r="H764" s="20" t="str">
        <f ca="1">IFERROR(__xludf.DUMMYFUNCTION("IF(COUNTIFS($C$2:C764, C764, $A$2:A764, ""&lt;="" &amp; A764) &lt; 30, AVERAGEIF($C$2:C764, C764, $G$2:G764), AVERAGE(FILTER($G$2:G764, $C$2:C764 = C764, $A$2:A764 &gt;= A764 - 30)))
"),"#DIV/0!")</f>
        <v>#DIV/0!</v>
      </c>
      <c r="I764" s="20" t="e">
        <f t="shared" ca="1" si="11"/>
        <v>#DIV/0!</v>
      </c>
      <c r="J764" s="20" t="str">
        <f ca="1">IFERROR(__xludf.DUMMYFUNCTION("IF(OR($I764=2, $I764=3), 0, IFERROR(COUNTIFS($C$2:C764, $C764, $A$2:A764, ""&gt;""&amp;IFERROR(MAX(FILTER($A$2:A764, $C$2:C764=$C764, $I$2:I764&lt;&gt;1)), 0), $I$2:I764, 1),1))
"),"#DIV/0!")</f>
        <v>#DIV/0!</v>
      </c>
      <c r="K764" s="7" t="e">
        <f t="shared" ca="1" si="12"/>
        <v>#DIV/0!</v>
      </c>
      <c r="L764" s="20" t="e">
        <f t="shared" ca="1" si="13"/>
        <v>#DIV/0!</v>
      </c>
      <c r="M764" s="21" t="e">
        <f t="shared" ca="1" si="14"/>
        <v>#DIV/0!</v>
      </c>
      <c r="N764" s="20" t="str">
        <f ca="1">IFERROR(__xludf.DUMMYFUNCTION("IF(COUNTIFS($C$2:C764, C764, $A$2:A764, ""&lt;="" &amp; A764) &lt; 30, STDEV.P(FILTER($G$2:G764, $C$2:C764 = C764)), STDEV.P(FILTER($G$2:G764, $C$2:C764 = C764, $A$2:A764 &gt;= A764 - 30)))
"),"#DIV/0!")</f>
        <v>#DIV/0!</v>
      </c>
    </row>
    <row r="765" spans="1:14" x14ac:dyDescent="0.2">
      <c r="A765" s="41"/>
      <c r="B765" s="40"/>
      <c r="C765" s="40"/>
      <c r="D765" s="31"/>
      <c r="E765" s="31"/>
      <c r="F765" s="31"/>
      <c r="G765" s="19" t="e">
        <f t="shared" si="10"/>
        <v>#DIV/0!</v>
      </c>
      <c r="H765" s="20" t="str">
        <f ca="1">IFERROR(__xludf.DUMMYFUNCTION("IF(COUNTIFS($C$2:C765, C765, $A$2:A765, ""&lt;="" &amp; A765) &lt; 30, AVERAGEIF($C$2:C765, C765, $G$2:G765), AVERAGE(FILTER($G$2:G765, $C$2:C765 = C765, $A$2:A765 &gt;= A765 - 30)))
"),"#DIV/0!")</f>
        <v>#DIV/0!</v>
      </c>
      <c r="I765" s="20" t="e">
        <f t="shared" ca="1" si="11"/>
        <v>#DIV/0!</v>
      </c>
      <c r="J765" s="20" t="str">
        <f ca="1">IFERROR(__xludf.DUMMYFUNCTION("IF(OR($I765=2, $I765=3), 0, IFERROR(COUNTIFS($C$2:C765, $C765, $A$2:A765, ""&gt;""&amp;IFERROR(MAX(FILTER($A$2:A765, $C$2:C765=$C765, $I$2:I765&lt;&gt;1)), 0), $I$2:I765, 1),1))
"),"#DIV/0!")</f>
        <v>#DIV/0!</v>
      </c>
      <c r="K765" s="7" t="e">
        <f t="shared" ca="1" si="12"/>
        <v>#DIV/0!</v>
      </c>
      <c r="L765" s="20" t="e">
        <f t="shared" ca="1" si="13"/>
        <v>#DIV/0!</v>
      </c>
      <c r="M765" s="21" t="e">
        <f t="shared" ca="1" si="14"/>
        <v>#DIV/0!</v>
      </c>
      <c r="N765" s="20" t="str">
        <f ca="1">IFERROR(__xludf.DUMMYFUNCTION("IF(COUNTIFS($C$2:C765, C765, $A$2:A765, ""&lt;="" &amp; A765) &lt; 30, STDEV.P(FILTER($G$2:G765, $C$2:C765 = C765)), STDEV.P(FILTER($G$2:G765, $C$2:C765 = C765, $A$2:A765 &gt;= A765 - 30)))
"),"#DIV/0!")</f>
        <v>#DIV/0!</v>
      </c>
    </row>
    <row r="766" spans="1:14" x14ac:dyDescent="0.2">
      <c r="A766" s="41"/>
      <c r="B766" s="40"/>
      <c r="C766" s="40"/>
      <c r="D766" s="31"/>
      <c r="E766" s="31"/>
      <c r="F766" s="31"/>
      <c r="G766" s="19" t="e">
        <f t="shared" si="10"/>
        <v>#DIV/0!</v>
      </c>
      <c r="H766" s="20" t="str">
        <f ca="1">IFERROR(__xludf.DUMMYFUNCTION("IF(COUNTIFS($C$2:C766, C766, $A$2:A766, ""&lt;="" &amp; A766) &lt; 30, AVERAGEIF($C$2:C766, C766, $G$2:G766), AVERAGE(FILTER($G$2:G766, $C$2:C766 = C766, $A$2:A766 &gt;= A766 - 30)))
"),"#DIV/0!")</f>
        <v>#DIV/0!</v>
      </c>
      <c r="I766" s="20" t="e">
        <f t="shared" ca="1" si="11"/>
        <v>#DIV/0!</v>
      </c>
      <c r="J766" s="20" t="str">
        <f ca="1">IFERROR(__xludf.DUMMYFUNCTION("IF(OR($I766=2, $I766=3), 0, IFERROR(COUNTIFS($C$2:C766, $C766, $A$2:A766, ""&gt;""&amp;IFERROR(MAX(FILTER($A$2:A766, $C$2:C766=$C766, $I$2:I766&lt;&gt;1)), 0), $I$2:I766, 1),1))
"),"#DIV/0!")</f>
        <v>#DIV/0!</v>
      </c>
      <c r="K766" s="7" t="e">
        <f t="shared" ca="1" si="12"/>
        <v>#DIV/0!</v>
      </c>
      <c r="L766" s="20" t="e">
        <f t="shared" ca="1" si="13"/>
        <v>#DIV/0!</v>
      </c>
      <c r="M766" s="21" t="e">
        <f t="shared" ca="1" si="14"/>
        <v>#DIV/0!</v>
      </c>
      <c r="N766" s="20" t="str">
        <f ca="1">IFERROR(__xludf.DUMMYFUNCTION("IF(COUNTIFS($C$2:C766, C766, $A$2:A766, ""&lt;="" &amp; A766) &lt; 30, STDEV.P(FILTER($G$2:G766, $C$2:C766 = C766)), STDEV.P(FILTER($G$2:G766, $C$2:C766 = C766, $A$2:A766 &gt;= A766 - 30)))
"),"#DIV/0!")</f>
        <v>#DIV/0!</v>
      </c>
    </row>
    <row r="767" spans="1:14" x14ac:dyDescent="0.2">
      <c r="A767" s="41"/>
      <c r="B767" s="32"/>
      <c r="C767" s="32"/>
      <c r="D767" s="33"/>
      <c r="E767" s="33"/>
      <c r="F767" s="33"/>
      <c r="G767" s="19" t="e">
        <f t="shared" ref="G767:G1021" si="15">AVERAGE(D767:F767)</f>
        <v>#DIV/0!</v>
      </c>
      <c r="H767" s="20" t="str">
        <f ca="1">IFERROR(__xludf.DUMMYFUNCTION("IF(COUNTIFS($C$2:C767, C767, $A$2:A767, ""&lt;="" &amp; A767) &lt; 30, AVERAGEIF($C$2:C767, C767, $G$2:G767), AVERAGE(FILTER($G$2:G767, $C$2:C767 = C767, $A$2:A767 &gt;= A767 - 30)))
"),"#DIV/0!")</f>
        <v>#DIV/0!</v>
      </c>
      <c r="I767" s="20" t="e">
        <f t="shared" ref="I767:I1021" ca="1" si="16">IF(L767 &gt;= 1, 3, IF(L767 &lt;= -1, 1, 2))</f>
        <v>#DIV/0!</v>
      </c>
      <c r="J767" s="20" t="str">
        <f ca="1">IFERROR(__xludf.DUMMYFUNCTION("IF(OR($I767=2, $I767=3), 0, IFERROR(COUNTIFS($C$2:C767, $C767, $A$2:A767, ""&gt;""&amp;IFERROR(MAX(FILTER($A$2:A767, $C$2:C767=$C767, $I$2:I767&lt;&gt;1)), 0), $I$2:I767, 1),1))
"),"#DIV/0!")</f>
        <v>#DIV/0!</v>
      </c>
      <c r="K767" s="7" t="e">
        <f t="shared" ref="K767:K1021" ca="1" si="17">G767-H767</f>
        <v>#DIV/0!</v>
      </c>
      <c r="L767" s="20" t="e">
        <f t="shared" ref="L767:L1021" ca="1" si="18">(G767 - H767) / N767</f>
        <v>#DIV/0!</v>
      </c>
      <c r="M767" s="21" t="e">
        <f t="shared" ref="M767:M1021" ca="1" si="19">IF(H767&lt;&gt;0, ((G767-H767)/H767), 0)</f>
        <v>#DIV/0!</v>
      </c>
      <c r="N767" s="20" t="str">
        <f ca="1">IFERROR(__xludf.DUMMYFUNCTION("IF(COUNTIFS($C$2:C767, C767, $A$2:A767, ""&lt;="" &amp; A767) &lt; 30, STDEV.P(FILTER($G$2:G767, $C$2:C767 = C767)), STDEV.P(FILTER($G$2:G767, $C$2:C767 = C767, $A$2:A767 &gt;= A767 - 30)))
"),"#DIV/0!")</f>
        <v>#DIV/0!</v>
      </c>
    </row>
    <row r="768" spans="1:14" x14ac:dyDescent="0.2">
      <c r="A768" s="41"/>
      <c r="B768" s="32"/>
      <c r="C768" s="32"/>
      <c r="D768" s="33"/>
      <c r="E768" s="33"/>
      <c r="F768" s="33"/>
      <c r="G768" s="19" t="e">
        <f t="shared" si="15"/>
        <v>#DIV/0!</v>
      </c>
      <c r="H768" s="20" t="str">
        <f ca="1">IFERROR(__xludf.DUMMYFUNCTION("IF(COUNTIFS($C$2:C768, C768, $A$2:A768, ""&lt;="" &amp; A768) &lt; 30, AVERAGEIF($C$2:C768, C768, $G$2:G768), AVERAGE(FILTER($G$2:G768, $C$2:C768 = C768, $A$2:A768 &gt;= A768 - 30)))
"),"#DIV/0!")</f>
        <v>#DIV/0!</v>
      </c>
      <c r="I768" s="20" t="e">
        <f t="shared" ca="1" si="16"/>
        <v>#DIV/0!</v>
      </c>
      <c r="J768" s="20" t="str">
        <f ca="1">IFERROR(__xludf.DUMMYFUNCTION("IF(OR($I768=2, $I768=3), 0, IFERROR(COUNTIFS($C$2:C768, $C768, $A$2:A768, ""&gt;""&amp;IFERROR(MAX(FILTER($A$2:A768, $C$2:C768=$C768, $I$2:I768&lt;&gt;1)), 0), $I$2:I768, 1),1))
"),"#DIV/0!")</f>
        <v>#DIV/0!</v>
      </c>
      <c r="K768" s="7" t="e">
        <f t="shared" ca="1" si="17"/>
        <v>#DIV/0!</v>
      </c>
      <c r="L768" s="20" t="e">
        <f t="shared" ca="1" si="18"/>
        <v>#DIV/0!</v>
      </c>
      <c r="M768" s="21" t="e">
        <f t="shared" ca="1" si="19"/>
        <v>#DIV/0!</v>
      </c>
      <c r="N768" s="20" t="str">
        <f ca="1">IFERROR(__xludf.DUMMYFUNCTION("IF(COUNTIFS($C$2:C768, C768, $A$2:A768, ""&lt;="" &amp; A768) &lt; 30, STDEV.P(FILTER($G$2:G768, $C$2:C768 = C768)), STDEV.P(FILTER($G$2:G768, $C$2:C768 = C768, $A$2:A768 &gt;= A768 - 30)))
"),"#DIV/0!")</f>
        <v>#DIV/0!</v>
      </c>
    </row>
    <row r="769" spans="1:14" x14ac:dyDescent="0.2">
      <c r="A769" s="41"/>
      <c r="B769" s="32"/>
      <c r="C769" s="32"/>
      <c r="D769" s="33"/>
      <c r="E769" s="33"/>
      <c r="F769" s="33"/>
      <c r="G769" s="19" t="e">
        <f t="shared" si="15"/>
        <v>#DIV/0!</v>
      </c>
      <c r="H769" s="20" t="str">
        <f ca="1">IFERROR(__xludf.DUMMYFUNCTION("IF(COUNTIFS($C$2:C769, C769, $A$2:A769, ""&lt;="" &amp; A769) &lt; 30, AVERAGEIF($C$2:C769, C769, $G$2:G769), AVERAGE(FILTER($G$2:G769, $C$2:C769 = C769, $A$2:A769 &gt;= A769 - 30)))
"),"#DIV/0!")</f>
        <v>#DIV/0!</v>
      </c>
      <c r="I769" s="20" t="e">
        <f t="shared" ca="1" si="16"/>
        <v>#DIV/0!</v>
      </c>
      <c r="J769" s="20" t="str">
        <f ca="1">IFERROR(__xludf.DUMMYFUNCTION("IF(OR($I769=2, $I769=3), 0, IFERROR(COUNTIFS($C$2:C769, $C769, $A$2:A769, ""&gt;""&amp;IFERROR(MAX(FILTER($A$2:A769, $C$2:C769=$C769, $I$2:I769&lt;&gt;1)), 0), $I$2:I769, 1),1))
"),"#DIV/0!")</f>
        <v>#DIV/0!</v>
      </c>
      <c r="K769" s="7" t="e">
        <f t="shared" ca="1" si="17"/>
        <v>#DIV/0!</v>
      </c>
      <c r="L769" s="20" t="e">
        <f t="shared" ca="1" si="18"/>
        <v>#DIV/0!</v>
      </c>
      <c r="M769" s="21" t="e">
        <f t="shared" ca="1" si="19"/>
        <v>#DIV/0!</v>
      </c>
      <c r="N769" s="20" t="str">
        <f ca="1">IFERROR(__xludf.DUMMYFUNCTION("IF(COUNTIFS($C$2:C769, C769, $A$2:A769, ""&lt;="" &amp; A769) &lt; 30, STDEV.P(FILTER($G$2:G769, $C$2:C769 = C769)), STDEV.P(FILTER($G$2:G769, $C$2:C769 = C769, $A$2:A769 &gt;= A769 - 30)))
"),"#DIV/0!")</f>
        <v>#DIV/0!</v>
      </c>
    </row>
    <row r="770" spans="1:14" x14ac:dyDescent="0.2">
      <c r="A770" s="41"/>
      <c r="B770" s="32"/>
      <c r="C770" s="32"/>
      <c r="D770" s="33"/>
      <c r="E770" s="33"/>
      <c r="F770" s="33"/>
      <c r="G770" s="19" t="e">
        <f t="shared" si="15"/>
        <v>#DIV/0!</v>
      </c>
      <c r="H770" s="20" t="str">
        <f ca="1">IFERROR(__xludf.DUMMYFUNCTION("IF(COUNTIFS($C$2:C770, C770, $A$2:A770, ""&lt;="" &amp; A770) &lt; 30, AVERAGEIF($C$2:C770, C770, $G$2:G770), AVERAGE(FILTER($G$2:G770, $C$2:C770 = C770, $A$2:A770 &gt;= A770 - 30)))
"),"#DIV/0!")</f>
        <v>#DIV/0!</v>
      </c>
      <c r="I770" s="20" t="e">
        <f t="shared" ca="1" si="16"/>
        <v>#DIV/0!</v>
      </c>
      <c r="J770" s="20" t="str">
        <f ca="1">IFERROR(__xludf.DUMMYFUNCTION("IF(OR($I770=2, $I770=3), 0, IFERROR(COUNTIFS($C$2:C770, $C770, $A$2:A770, ""&gt;""&amp;IFERROR(MAX(FILTER($A$2:A770, $C$2:C770=$C770, $I$2:I770&lt;&gt;1)), 0), $I$2:I770, 1),1))
"),"#DIV/0!")</f>
        <v>#DIV/0!</v>
      </c>
      <c r="K770" s="7" t="e">
        <f t="shared" ca="1" si="17"/>
        <v>#DIV/0!</v>
      </c>
      <c r="L770" s="20" t="e">
        <f t="shared" ca="1" si="18"/>
        <v>#DIV/0!</v>
      </c>
      <c r="M770" s="21" t="e">
        <f t="shared" ca="1" si="19"/>
        <v>#DIV/0!</v>
      </c>
      <c r="N770" s="20" t="str">
        <f ca="1">IFERROR(__xludf.DUMMYFUNCTION("IF(COUNTIFS($C$2:C770, C770, $A$2:A770, ""&lt;="" &amp; A770) &lt; 30, STDEV.P(FILTER($G$2:G770, $C$2:C770 = C770)), STDEV.P(FILTER($G$2:G770, $C$2:C770 = C770, $A$2:A770 &gt;= A770 - 30)))
"),"#DIV/0!")</f>
        <v>#DIV/0!</v>
      </c>
    </row>
    <row r="771" spans="1:14" x14ac:dyDescent="0.2">
      <c r="A771" s="41"/>
      <c r="B771" s="32"/>
      <c r="C771" s="32"/>
      <c r="D771" s="33"/>
      <c r="E771" s="33"/>
      <c r="F771" s="33"/>
      <c r="G771" s="19" t="e">
        <f t="shared" si="15"/>
        <v>#DIV/0!</v>
      </c>
      <c r="H771" s="20" t="str">
        <f ca="1">IFERROR(__xludf.DUMMYFUNCTION("IF(COUNTIFS($C$2:C771, C771, $A$2:A771, ""&lt;="" &amp; A771) &lt; 30, AVERAGEIF($C$2:C771, C771, $G$2:G771), AVERAGE(FILTER($G$2:G771, $C$2:C771 = C771, $A$2:A771 &gt;= A771 - 30)))
"),"#DIV/0!")</f>
        <v>#DIV/0!</v>
      </c>
      <c r="I771" s="20" t="e">
        <f t="shared" ca="1" si="16"/>
        <v>#DIV/0!</v>
      </c>
      <c r="J771" s="20" t="str">
        <f ca="1">IFERROR(__xludf.DUMMYFUNCTION("IF(OR($I771=2, $I771=3), 0, IFERROR(COUNTIFS($C$2:C771, $C771, $A$2:A771, ""&gt;""&amp;IFERROR(MAX(FILTER($A$2:A771, $C$2:C771=$C771, $I$2:I771&lt;&gt;1)), 0), $I$2:I771, 1),1))
"),"#DIV/0!")</f>
        <v>#DIV/0!</v>
      </c>
      <c r="K771" s="7" t="e">
        <f t="shared" ca="1" si="17"/>
        <v>#DIV/0!</v>
      </c>
      <c r="L771" s="20" t="e">
        <f t="shared" ca="1" si="18"/>
        <v>#DIV/0!</v>
      </c>
      <c r="M771" s="21" t="e">
        <f t="shared" ca="1" si="19"/>
        <v>#DIV/0!</v>
      </c>
      <c r="N771" s="20" t="str">
        <f ca="1">IFERROR(__xludf.DUMMYFUNCTION("IF(COUNTIFS($C$2:C771, C771, $A$2:A771, ""&lt;="" &amp; A771) &lt; 30, STDEV.P(FILTER($G$2:G771, $C$2:C771 = C771)), STDEV.P(FILTER($G$2:G771, $C$2:C771 = C771, $A$2:A771 &gt;= A771 - 30)))
"),"#DIV/0!")</f>
        <v>#DIV/0!</v>
      </c>
    </row>
    <row r="772" spans="1:14" x14ac:dyDescent="0.2">
      <c r="A772" s="41"/>
      <c r="B772" s="32"/>
      <c r="C772" s="32"/>
      <c r="D772" s="33"/>
      <c r="E772" s="33"/>
      <c r="F772" s="33"/>
      <c r="G772" s="19" t="e">
        <f t="shared" si="15"/>
        <v>#DIV/0!</v>
      </c>
      <c r="H772" s="20" t="str">
        <f ca="1">IFERROR(__xludf.DUMMYFUNCTION("IF(COUNTIFS($C$2:C772, C772, $A$2:A772, ""&lt;="" &amp; A772) &lt; 30, AVERAGEIF($C$2:C772, C772, $G$2:G772), AVERAGE(FILTER($G$2:G772, $C$2:C772 = C772, $A$2:A772 &gt;= A772 - 30)))
"),"#DIV/0!")</f>
        <v>#DIV/0!</v>
      </c>
      <c r="I772" s="20" t="e">
        <f t="shared" ca="1" si="16"/>
        <v>#DIV/0!</v>
      </c>
      <c r="J772" s="20" t="str">
        <f ca="1">IFERROR(__xludf.DUMMYFUNCTION("IF(OR($I772=2, $I772=3), 0, IFERROR(COUNTIFS($C$2:C772, $C772, $A$2:A772, ""&gt;""&amp;IFERROR(MAX(FILTER($A$2:A772, $C$2:C772=$C772, $I$2:I772&lt;&gt;1)), 0), $I$2:I772, 1),1))
"),"#DIV/0!")</f>
        <v>#DIV/0!</v>
      </c>
      <c r="K772" s="7" t="e">
        <f t="shared" ca="1" si="17"/>
        <v>#DIV/0!</v>
      </c>
      <c r="L772" s="20" t="e">
        <f t="shared" ca="1" si="18"/>
        <v>#DIV/0!</v>
      </c>
      <c r="M772" s="21" t="e">
        <f t="shared" ca="1" si="19"/>
        <v>#DIV/0!</v>
      </c>
      <c r="N772" s="20" t="str">
        <f ca="1">IFERROR(__xludf.DUMMYFUNCTION("IF(COUNTIFS($C$2:C772, C772, $A$2:A772, ""&lt;="" &amp; A772) &lt; 30, STDEV.P(FILTER($G$2:G772, $C$2:C772 = C772)), STDEV.P(FILTER($G$2:G772, $C$2:C772 = C772, $A$2:A772 &gt;= A772 - 30)))
"),"#DIV/0!")</f>
        <v>#DIV/0!</v>
      </c>
    </row>
    <row r="773" spans="1:14" x14ac:dyDescent="0.2">
      <c r="A773" s="41"/>
      <c r="B773" s="32"/>
      <c r="C773" s="32"/>
      <c r="D773" s="33"/>
      <c r="E773" s="33"/>
      <c r="F773" s="33"/>
      <c r="G773" s="19" t="e">
        <f t="shared" si="15"/>
        <v>#DIV/0!</v>
      </c>
      <c r="H773" s="20" t="str">
        <f ca="1">IFERROR(__xludf.DUMMYFUNCTION("IF(COUNTIFS($C$2:C773, C773, $A$2:A773, ""&lt;="" &amp; A773) &lt; 30, AVERAGEIF($C$2:C773, C773, $G$2:G773), AVERAGE(FILTER($G$2:G773, $C$2:C773 = C773, $A$2:A773 &gt;= A773 - 30)))
"),"#DIV/0!")</f>
        <v>#DIV/0!</v>
      </c>
      <c r="I773" s="20" t="e">
        <f t="shared" ca="1" si="16"/>
        <v>#DIV/0!</v>
      </c>
      <c r="J773" s="20" t="str">
        <f ca="1">IFERROR(__xludf.DUMMYFUNCTION("IF(OR($I773=2, $I773=3), 0, IFERROR(COUNTIFS($C$2:C773, $C773, $A$2:A773, ""&gt;""&amp;IFERROR(MAX(FILTER($A$2:A773, $C$2:C773=$C773, $I$2:I773&lt;&gt;1)), 0), $I$2:I773, 1),1))
"),"#DIV/0!")</f>
        <v>#DIV/0!</v>
      </c>
      <c r="K773" s="7" t="e">
        <f t="shared" ca="1" si="17"/>
        <v>#DIV/0!</v>
      </c>
      <c r="L773" s="20" t="e">
        <f t="shared" ca="1" si="18"/>
        <v>#DIV/0!</v>
      </c>
      <c r="M773" s="21" t="e">
        <f t="shared" ca="1" si="19"/>
        <v>#DIV/0!</v>
      </c>
      <c r="N773" s="20" t="str">
        <f ca="1">IFERROR(__xludf.DUMMYFUNCTION("IF(COUNTIFS($C$2:C773, C773, $A$2:A773, ""&lt;="" &amp; A773) &lt; 30, STDEV.P(FILTER($G$2:G773, $C$2:C773 = C773)), STDEV.P(FILTER($G$2:G773, $C$2:C773 = C773, $A$2:A773 &gt;= A773 - 30)))
"),"#DIV/0!")</f>
        <v>#DIV/0!</v>
      </c>
    </row>
    <row r="774" spans="1:14" x14ac:dyDescent="0.2">
      <c r="A774" s="41"/>
      <c r="B774" s="32"/>
      <c r="C774" s="32"/>
      <c r="D774" s="33"/>
      <c r="E774" s="33"/>
      <c r="F774" s="33"/>
      <c r="G774" s="19" t="e">
        <f t="shared" si="15"/>
        <v>#DIV/0!</v>
      </c>
      <c r="H774" s="20" t="str">
        <f ca="1">IFERROR(__xludf.DUMMYFUNCTION("IF(COUNTIFS($C$2:C774, C774, $A$2:A774, ""&lt;="" &amp; A774) &lt; 30, AVERAGEIF($C$2:C774, C774, $G$2:G774), AVERAGE(FILTER($G$2:G774, $C$2:C774 = C774, $A$2:A774 &gt;= A774 - 30)))
"),"#DIV/0!")</f>
        <v>#DIV/0!</v>
      </c>
      <c r="I774" s="20" t="e">
        <f t="shared" ca="1" si="16"/>
        <v>#DIV/0!</v>
      </c>
      <c r="J774" s="20" t="str">
        <f ca="1">IFERROR(__xludf.DUMMYFUNCTION("IF(OR($I774=2, $I774=3), 0, IFERROR(COUNTIFS($C$2:C774, $C774, $A$2:A774, ""&gt;""&amp;IFERROR(MAX(FILTER($A$2:A774, $C$2:C774=$C774, $I$2:I774&lt;&gt;1)), 0), $I$2:I774, 1),1))
"),"#DIV/0!")</f>
        <v>#DIV/0!</v>
      </c>
      <c r="K774" s="7" t="e">
        <f t="shared" ca="1" si="17"/>
        <v>#DIV/0!</v>
      </c>
      <c r="L774" s="20" t="e">
        <f t="shared" ca="1" si="18"/>
        <v>#DIV/0!</v>
      </c>
      <c r="M774" s="21" t="e">
        <f t="shared" ca="1" si="19"/>
        <v>#DIV/0!</v>
      </c>
      <c r="N774" s="20" t="str">
        <f ca="1">IFERROR(__xludf.DUMMYFUNCTION("IF(COUNTIFS($C$2:C774, C774, $A$2:A774, ""&lt;="" &amp; A774) &lt; 30, STDEV.P(FILTER($G$2:G774, $C$2:C774 = C774)), STDEV.P(FILTER($G$2:G774, $C$2:C774 = C774, $A$2:A774 &gt;= A774 - 30)))
"),"#DIV/0!")</f>
        <v>#DIV/0!</v>
      </c>
    </row>
    <row r="775" spans="1:14" x14ac:dyDescent="0.2">
      <c r="A775" s="41"/>
      <c r="B775" s="32"/>
      <c r="C775" s="32"/>
      <c r="D775" s="33"/>
      <c r="E775" s="33"/>
      <c r="F775" s="33"/>
      <c r="G775" s="19" t="e">
        <f t="shared" si="15"/>
        <v>#DIV/0!</v>
      </c>
      <c r="H775" s="20" t="str">
        <f ca="1">IFERROR(__xludf.DUMMYFUNCTION("IF(COUNTIFS($C$2:C775, C775, $A$2:A775, ""&lt;="" &amp; A775) &lt; 30, AVERAGEIF($C$2:C775, C775, $G$2:G775), AVERAGE(FILTER($G$2:G775, $C$2:C775 = C775, $A$2:A775 &gt;= A775 - 30)))
"),"#DIV/0!")</f>
        <v>#DIV/0!</v>
      </c>
      <c r="I775" s="20" t="e">
        <f t="shared" ca="1" si="16"/>
        <v>#DIV/0!</v>
      </c>
      <c r="J775" s="20" t="str">
        <f ca="1">IFERROR(__xludf.DUMMYFUNCTION("IF(OR($I775=2, $I775=3), 0, IFERROR(COUNTIFS($C$2:C775, $C775, $A$2:A775, ""&gt;""&amp;IFERROR(MAX(FILTER($A$2:A775, $C$2:C775=$C775, $I$2:I775&lt;&gt;1)), 0), $I$2:I775, 1),1))
"),"#DIV/0!")</f>
        <v>#DIV/0!</v>
      </c>
      <c r="K775" s="7" t="e">
        <f t="shared" ca="1" si="17"/>
        <v>#DIV/0!</v>
      </c>
      <c r="L775" s="20" t="e">
        <f t="shared" ca="1" si="18"/>
        <v>#DIV/0!</v>
      </c>
      <c r="M775" s="21" t="e">
        <f t="shared" ca="1" si="19"/>
        <v>#DIV/0!</v>
      </c>
      <c r="N775" s="20" t="str">
        <f ca="1">IFERROR(__xludf.DUMMYFUNCTION("IF(COUNTIFS($C$2:C775, C775, $A$2:A775, ""&lt;="" &amp; A775) &lt; 30, STDEV.P(FILTER($G$2:G775, $C$2:C775 = C775)), STDEV.P(FILTER($G$2:G775, $C$2:C775 = C775, $A$2:A775 &gt;= A775 - 30)))
"),"#DIV/0!")</f>
        <v>#DIV/0!</v>
      </c>
    </row>
    <row r="776" spans="1:14" x14ac:dyDescent="0.2">
      <c r="A776" s="41"/>
      <c r="B776" s="32"/>
      <c r="C776" s="32"/>
      <c r="D776" s="33"/>
      <c r="E776" s="33"/>
      <c r="F776" s="33"/>
      <c r="G776" s="19" t="e">
        <f t="shared" si="15"/>
        <v>#DIV/0!</v>
      </c>
      <c r="H776" s="20" t="str">
        <f ca="1">IFERROR(__xludf.DUMMYFUNCTION("IF(COUNTIFS($C$2:C776, C776, $A$2:A776, ""&lt;="" &amp; A776) &lt; 30, AVERAGEIF($C$2:C776, C776, $G$2:G776), AVERAGE(FILTER($G$2:G776, $C$2:C776 = C776, $A$2:A776 &gt;= A776 - 30)))
"),"#DIV/0!")</f>
        <v>#DIV/0!</v>
      </c>
      <c r="I776" s="20" t="e">
        <f t="shared" ca="1" si="16"/>
        <v>#DIV/0!</v>
      </c>
      <c r="J776" s="20" t="str">
        <f ca="1">IFERROR(__xludf.DUMMYFUNCTION("IF(OR($I776=2, $I776=3), 0, IFERROR(COUNTIFS($C$2:C776, $C776, $A$2:A776, ""&gt;""&amp;IFERROR(MAX(FILTER($A$2:A776, $C$2:C776=$C776, $I$2:I776&lt;&gt;1)), 0), $I$2:I776, 1),1))
"),"#DIV/0!")</f>
        <v>#DIV/0!</v>
      </c>
      <c r="K776" s="7" t="e">
        <f t="shared" ca="1" si="17"/>
        <v>#DIV/0!</v>
      </c>
      <c r="L776" s="20" t="e">
        <f t="shared" ca="1" si="18"/>
        <v>#DIV/0!</v>
      </c>
      <c r="M776" s="21" t="e">
        <f t="shared" ca="1" si="19"/>
        <v>#DIV/0!</v>
      </c>
      <c r="N776" s="20" t="str">
        <f ca="1">IFERROR(__xludf.DUMMYFUNCTION("IF(COUNTIFS($C$2:C776, C776, $A$2:A776, ""&lt;="" &amp; A776) &lt; 30, STDEV.P(FILTER($G$2:G776, $C$2:C776 = C776)), STDEV.P(FILTER($G$2:G776, $C$2:C776 = C776, $A$2:A776 &gt;= A776 - 30)))
"),"#DIV/0!")</f>
        <v>#DIV/0!</v>
      </c>
    </row>
    <row r="777" spans="1:14" x14ac:dyDescent="0.2">
      <c r="A777" s="41"/>
      <c r="B777" s="32"/>
      <c r="C777" s="32"/>
      <c r="D777" s="33"/>
      <c r="E777" s="33"/>
      <c r="F777" s="33"/>
      <c r="G777" s="19" t="e">
        <f t="shared" si="15"/>
        <v>#DIV/0!</v>
      </c>
      <c r="H777" s="20" t="str">
        <f ca="1">IFERROR(__xludf.DUMMYFUNCTION("IF(COUNTIFS($C$2:C777, C777, $A$2:A777, ""&lt;="" &amp; A777) &lt; 30, AVERAGEIF($C$2:C777, C777, $G$2:G777), AVERAGE(FILTER($G$2:G777, $C$2:C777 = C777, $A$2:A777 &gt;= A777 - 30)))
"),"#DIV/0!")</f>
        <v>#DIV/0!</v>
      </c>
      <c r="I777" s="20" t="e">
        <f t="shared" ca="1" si="16"/>
        <v>#DIV/0!</v>
      </c>
      <c r="J777" s="20" t="str">
        <f ca="1">IFERROR(__xludf.DUMMYFUNCTION("IF(OR($I777=2, $I777=3), 0, IFERROR(COUNTIFS($C$2:C777, $C777, $A$2:A777, ""&gt;""&amp;IFERROR(MAX(FILTER($A$2:A777, $C$2:C777=$C777, $I$2:I777&lt;&gt;1)), 0), $I$2:I777, 1),1))
"),"#DIV/0!")</f>
        <v>#DIV/0!</v>
      </c>
      <c r="K777" s="7" t="e">
        <f t="shared" ca="1" si="17"/>
        <v>#DIV/0!</v>
      </c>
      <c r="L777" s="20" t="e">
        <f t="shared" ca="1" si="18"/>
        <v>#DIV/0!</v>
      </c>
      <c r="M777" s="21" t="e">
        <f t="shared" ca="1" si="19"/>
        <v>#DIV/0!</v>
      </c>
      <c r="N777" s="20" t="str">
        <f ca="1">IFERROR(__xludf.DUMMYFUNCTION("IF(COUNTIFS($C$2:C777, C777, $A$2:A777, ""&lt;="" &amp; A777) &lt; 30, STDEV.P(FILTER($G$2:G777, $C$2:C777 = C777)), STDEV.P(FILTER($G$2:G777, $C$2:C777 = C777, $A$2:A777 &gt;= A777 - 30)))
"),"#DIV/0!")</f>
        <v>#DIV/0!</v>
      </c>
    </row>
    <row r="778" spans="1:14" x14ac:dyDescent="0.2">
      <c r="A778" s="41"/>
      <c r="B778" s="32"/>
      <c r="C778" s="32"/>
      <c r="D778" s="33"/>
      <c r="E778" s="33"/>
      <c r="F778" s="33"/>
      <c r="G778" s="19" t="e">
        <f t="shared" si="15"/>
        <v>#DIV/0!</v>
      </c>
      <c r="H778" s="20" t="str">
        <f ca="1">IFERROR(__xludf.DUMMYFUNCTION("IF(COUNTIFS($C$2:C778, C778, $A$2:A778, ""&lt;="" &amp; A778) &lt; 30, AVERAGEIF($C$2:C778, C778, $G$2:G778), AVERAGE(FILTER($G$2:G778, $C$2:C778 = C778, $A$2:A778 &gt;= A778 - 30)))
"),"#DIV/0!")</f>
        <v>#DIV/0!</v>
      </c>
      <c r="I778" s="20" t="e">
        <f t="shared" ca="1" si="16"/>
        <v>#DIV/0!</v>
      </c>
      <c r="J778" s="20" t="str">
        <f ca="1">IFERROR(__xludf.DUMMYFUNCTION("IF(OR($I778=2, $I778=3), 0, IFERROR(COUNTIFS($C$2:C778, $C778, $A$2:A778, ""&gt;""&amp;IFERROR(MAX(FILTER($A$2:A778, $C$2:C778=$C778, $I$2:I778&lt;&gt;1)), 0), $I$2:I778, 1),1))
"),"#DIV/0!")</f>
        <v>#DIV/0!</v>
      </c>
      <c r="K778" s="7" t="e">
        <f t="shared" ca="1" si="17"/>
        <v>#DIV/0!</v>
      </c>
      <c r="L778" s="20" t="e">
        <f t="shared" ca="1" si="18"/>
        <v>#DIV/0!</v>
      </c>
      <c r="M778" s="21" t="e">
        <f t="shared" ca="1" si="19"/>
        <v>#DIV/0!</v>
      </c>
      <c r="N778" s="20" t="str">
        <f ca="1">IFERROR(__xludf.DUMMYFUNCTION("IF(COUNTIFS($C$2:C778, C778, $A$2:A778, ""&lt;="" &amp; A778) &lt; 30, STDEV.P(FILTER($G$2:G778, $C$2:C778 = C778)), STDEV.P(FILTER($G$2:G778, $C$2:C778 = C778, $A$2:A778 &gt;= A778 - 30)))
"),"#DIV/0!")</f>
        <v>#DIV/0!</v>
      </c>
    </row>
    <row r="779" spans="1:14" x14ac:dyDescent="0.2">
      <c r="A779" s="41"/>
      <c r="B779" s="32"/>
      <c r="C779" s="32"/>
      <c r="D779" s="33"/>
      <c r="E779" s="33"/>
      <c r="F779" s="33"/>
      <c r="G779" s="19" t="e">
        <f t="shared" si="15"/>
        <v>#DIV/0!</v>
      </c>
      <c r="H779" s="20" t="str">
        <f ca="1">IFERROR(__xludf.DUMMYFUNCTION("IF(COUNTIFS($C$2:C779, C779, $A$2:A779, ""&lt;="" &amp; A779) &lt; 30, AVERAGEIF($C$2:C779, C779, $G$2:G779), AVERAGE(FILTER($G$2:G779, $C$2:C779 = C779, $A$2:A779 &gt;= A779 - 30)))
"),"#DIV/0!")</f>
        <v>#DIV/0!</v>
      </c>
      <c r="I779" s="20" t="e">
        <f t="shared" ca="1" si="16"/>
        <v>#DIV/0!</v>
      </c>
      <c r="J779" s="20" t="str">
        <f ca="1">IFERROR(__xludf.DUMMYFUNCTION("IF(OR($I779=2, $I779=3), 0, IFERROR(COUNTIFS($C$2:C779, $C779, $A$2:A779, ""&gt;""&amp;IFERROR(MAX(FILTER($A$2:A779, $C$2:C779=$C779, $I$2:I779&lt;&gt;1)), 0), $I$2:I779, 1),1))
"),"#DIV/0!")</f>
        <v>#DIV/0!</v>
      </c>
      <c r="K779" s="7" t="e">
        <f t="shared" ca="1" si="17"/>
        <v>#DIV/0!</v>
      </c>
      <c r="L779" s="20" t="e">
        <f t="shared" ca="1" si="18"/>
        <v>#DIV/0!</v>
      </c>
      <c r="M779" s="21" t="e">
        <f t="shared" ca="1" si="19"/>
        <v>#DIV/0!</v>
      </c>
      <c r="N779" s="20" t="str">
        <f ca="1">IFERROR(__xludf.DUMMYFUNCTION("IF(COUNTIFS($C$2:C779, C779, $A$2:A779, ""&lt;="" &amp; A779) &lt; 30, STDEV.P(FILTER($G$2:G779, $C$2:C779 = C779)), STDEV.P(FILTER($G$2:G779, $C$2:C779 = C779, $A$2:A779 &gt;= A779 - 30)))
"),"#DIV/0!")</f>
        <v>#DIV/0!</v>
      </c>
    </row>
    <row r="780" spans="1:14" x14ac:dyDescent="0.2">
      <c r="A780" s="41"/>
      <c r="B780" s="40"/>
      <c r="C780" s="40"/>
      <c r="D780" s="31"/>
      <c r="E780" s="31"/>
      <c r="F780" s="31"/>
      <c r="G780" s="19" t="e">
        <f t="shared" si="15"/>
        <v>#DIV/0!</v>
      </c>
      <c r="H780" s="20" t="str">
        <f ca="1">IFERROR(__xludf.DUMMYFUNCTION("IF(COUNTIFS($C$2:C780, C780, $A$2:A780, ""&lt;="" &amp; A780) &lt; 30, AVERAGEIF($C$2:C780, C780, $G$2:G780), AVERAGE(FILTER($G$2:G780, $C$2:C780 = C780, $A$2:A780 &gt;= A780 - 30)))
"),"#DIV/0!")</f>
        <v>#DIV/0!</v>
      </c>
      <c r="I780" s="20" t="e">
        <f t="shared" ca="1" si="16"/>
        <v>#DIV/0!</v>
      </c>
      <c r="J780" s="20" t="str">
        <f ca="1">IFERROR(__xludf.DUMMYFUNCTION("IF(OR($I780=2, $I780=3), 0, IFERROR(COUNTIFS($C$2:C780, $C780, $A$2:A781, ""&gt;""&amp;IFERROR(MAX(FILTER($A$2:A781, $C$2:C780=$C780, $I$2:I780&lt;&gt;1)), 0), $I$2:I780, 1),1))
"),"#DIV/0!")</f>
        <v>#DIV/0!</v>
      </c>
      <c r="K780" s="7" t="e">
        <f t="shared" ca="1" si="17"/>
        <v>#DIV/0!</v>
      </c>
      <c r="L780" s="20" t="e">
        <f t="shared" ca="1" si="18"/>
        <v>#DIV/0!</v>
      </c>
      <c r="M780" s="21" t="e">
        <f t="shared" ca="1" si="19"/>
        <v>#DIV/0!</v>
      </c>
      <c r="N780" s="20" t="str">
        <f ca="1">IFERROR(__xludf.DUMMYFUNCTION("IF(COUNTIFS($C$2:C780, C780, $A$2:A780, ""&lt;="" &amp; A780) &lt; 30, STDEV.P(FILTER($G$2:G780, $C$2:C780 = C780)), STDEV.P(FILTER($G$2:G780, $C$2:C780 = C780, $A$2:A780 &gt;= A780 - 30)))
"),"#DIV/0!")</f>
        <v>#DIV/0!</v>
      </c>
    </row>
    <row r="781" spans="1:14" x14ac:dyDescent="0.2">
      <c r="A781" s="41"/>
      <c r="B781" s="40"/>
      <c r="C781" s="40"/>
      <c r="D781" s="31"/>
      <c r="E781" s="31"/>
      <c r="F781" s="31"/>
      <c r="G781" s="19" t="e">
        <f t="shared" si="15"/>
        <v>#DIV/0!</v>
      </c>
      <c r="H781" s="20" t="str">
        <f ca="1">IFERROR(__xludf.DUMMYFUNCTION("IF(COUNTIFS($C$2:C781, C781, $A$2:A781, ""&lt;="" &amp; A781) &lt; 30, AVERAGEIF($C$2:C781, C781, $G$2:G781), AVERAGE(FILTER($G$2:G781, $C$2:C781 = C781, $A$2:A781 &gt;= A781 - 30)))
"),"#DIV/0!")</f>
        <v>#DIV/0!</v>
      </c>
      <c r="I781" s="20" t="e">
        <f t="shared" ca="1" si="16"/>
        <v>#DIV/0!</v>
      </c>
      <c r="J781" s="20" t="str">
        <f ca="1">IFERROR(__xludf.DUMMYFUNCTION("IF(OR($I781=2, $I781=3), 0, IFERROR(COUNTIFS($C$2:C781, $C781, $A$2:A781, ""&gt;""&amp;IFERROR(MAX(FILTER($A$2:A781, $C$2:C781=$C781, $I$2:I781&lt;&gt;1)), 0), $I$2:I781, 1),1))
"),"#DIV/0!")</f>
        <v>#DIV/0!</v>
      </c>
      <c r="K781" s="7" t="e">
        <f t="shared" ca="1" si="17"/>
        <v>#DIV/0!</v>
      </c>
      <c r="L781" s="20" t="e">
        <f t="shared" ca="1" si="18"/>
        <v>#DIV/0!</v>
      </c>
      <c r="M781" s="21" t="e">
        <f t="shared" ca="1" si="19"/>
        <v>#DIV/0!</v>
      </c>
      <c r="N781" s="20" t="str">
        <f ca="1">IFERROR(__xludf.DUMMYFUNCTION("IF(COUNTIFS($C$2:C781, C781, $A$2:A781, ""&lt;="" &amp; A781) &lt; 30, STDEV.P(FILTER($G$2:G781, $C$2:C781 = C781)), STDEV.P(FILTER($G$2:G781, $C$2:C781 = C781, $A$2:A781 &gt;= A781 - 30)))
"),"#DIV/0!")</f>
        <v>#DIV/0!</v>
      </c>
    </row>
    <row r="782" spans="1:14" x14ac:dyDescent="0.2">
      <c r="A782" s="41"/>
      <c r="B782" s="40"/>
      <c r="C782" s="40"/>
      <c r="D782" s="31"/>
      <c r="E782" s="31"/>
      <c r="F782" s="31"/>
      <c r="G782" s="19" t="e">
        <f t="shared" si="15"/>
        <v>#DIV/0!</v>
      </c>
      <c r="H782" s="20" t="str">
        <f ca="1">IFERROR(__xludf.DUMMYFUNCTION("IF(COUNTIFS($C$2:C782, C782, $A$2:A782, ""&lt;="" &amp; A782) &lt; 30, AVERAGEIF($C$2:C782, C782, $G$2:G782), AVERAGE(FILTER($G$2:G782, $C$2:C782 = C782, $A$2:A782 &gt;= A782 - 30)))
"),"#DIV/0!")</f>
        <v>#DIV/0!</v>
      </c>
      <c r="I782" s="20" t="e">
        <f t="shared" ca="1" si="16"/>
        <v>#DIV/0!</v>
      </c>
      <c r="J782" s="20" t="str">
        <f ca="1">IFERROR(__xludf.DUMMYFUNCTION("IF(OR($I782=2, $I782=3), 0, IFERROR(COUNTIFS($C$2:C782, $C782, $A$2:A782, ""&gt;""&amp;IFERROR(MAX(FILTER($A$2:A782, $C$2:C782=$C782, $I$2:I782&lt;&gt;1)), 0), $I$2:I782, 1),1))
"),"#DIV/0!")</f>
        <v>#DIV/0!</v>
      </c>
      <c r="K782" s="7" t="e">
        <f t="shared" ca="1" si="17"/>
        <v>#DIV/0!</v>
      </c>
      <c r="L782" s="20" t="e">
        <f t="shared" ca="1" si="18"/>
        <v>#DIV/0!</v>
      </c>
      <c r="M782" s="21" t="e">
        <f t="shared" ca="1" si="19"/>
        <v>#DIV/0!</v>
      </c>
      <c r="N782" s="20" t="str">
        <f ca="1">IFERROR(__xludf.DUMMYFUNCTION("IF(COUNTIFS($C$2:C782, C782, $A$2:A782, ""&lt;="" &amp; A782) &lt; 30, STDEV.P(FILTER($G$2:G782, $C$2:C782 = C782)), STDEV.P(FILTER($G$2:G782, $C$2:C782 = C782, $A$2:A782 &gt;= A782 - 30)))
"),"#DIV/0!")</f>
        <v>#DIV/0!</v>
      </c>
    </row>
    <row r="783" spans="1:14" x14ac:dyDescent="0.2">
      <c r="A783" s="41"/>
      <c r="B783" s="40"/>
      <c r="C783" s="40"/>
      <c r="D783" s="31"/>
      <c r="E783" s="31"/>
      <c r="F783" s="31"/>
      <c r="G783" s="19" t="e">
        <f t="shared" si="15"/>
        <v>#DIV/0!</v>
      </c>
      <c r="H783" s="20" t="str">
        <f ca="1">IFERROR(__xludf.DUMMYFUNCTION("IF(COUNTIFS($C$2:C783, C783, $A$2:A783, ""&lt;="" &amp; A783) &lt; 30, AVERAGEIF($C$2:C783, C783, $G$2:G783), AVERAGE(FILTER($G$2:G783, $C$2:C783 = C783, $A$2:A783 &gt;= A783 - 30)))
"),"#DIV/0!")</f>
        <v>#DIV/0!</v>
      </c>
      <c r="I783" s="20" t="e">
        <f t="shared" ca="1" si="16"/>
        <v>#DIV/0!</v>
      </c>
      <c r="J783" s="20" t="str">
        <f ca="1">IFERROR(__xludf.DUMMYFUNCTION("IF(OR($I783=2, $I783=3), 0, IFERROR(COUNTIFS($C$2:C783, $C783, $A$2:A783, ""&gt;""&amp;IFERROR(MAX(FILTER($A$2:A783, $C$2:C783=$C783, $I$2:I783&lt;&gt;1)), 0), $I$2:I783, 1),1))
"),"#DIV/0!")</f>
        <v>#DIV/0!</v>
      </c>
      <c r="K783" s="7" t="e">
        <f t="shared" ca="1" si="17"/>
        <v>#DIV/0!</v>
      </c>
      <c r="L783" s="20" t="e">
        <f t="shared" ca="1" si="18"/>
        <v>#DIV/0!</v>
      </c>
      <c r="M783" s="21" t="e">
        <f t="shared" ca="1" si="19"/>
        <v>#DIV/0!</v>
      </c>
      <c r="N783" s="20" t="str">
        <f ca="1">IFERROR(__xludf.DUMMYFUNCTION("IF(COUNTIFS($C$2:C783, C783, $A$2:A783, ""&lt;="" &amp; A783) &lt; 30, STDEV.P(FILTER($G$2:G783, $C$2:C783 = C783)), STDEV.P(FILTER($G$2:G783, $C$2:C783 = C783, $A$2:A783 &gt;= A783 - 30)))
"),"#DIV/0!")</f>
        <v>#DIV/0!</v>
      </c>
    </row>
    <row r="784" spans="1:14" x14ac:dyDescent="0.2">
      <c r="A784" s="41"/>
      <c r="B784" s="40"/>
      <c r="C784" s="40"/>
      <c r="D784" s="31"/>
      <c r="E784" s="31"/>
      <c r="F784" s="31"/>
      <c r="G784" s="19" t="e">
        <f t="shared" si="15"/>
        <v>#DIV/0!</v>
      </c>
      <c r="H784" s="20" t="str">
        <f ca="1">IFERROR(__xludf.DUMMYFUNCTION("IF(COUNTIFS($C$2:C784, C784, $A$2:A784, ""&lt;="" &amp; A784) &lt; 30, AVERAGEIF($C$2:C784, C784, $G$2:G784), AVERAGE(FILTER($G$2:G784, $C$2:C784 = C784, $A$2:A784 &gt;= A784 - 30)))
"),"#DIV/0!")</f>
        <v>#DIV/0!</v>
      </c>
      <c r="I784" s="20" t="e">
        <f t="shared" ca="1" si="16"/>
        <v>#DIV/0!</v>
      </c>
      <c r="J784" s="20" t="str">
        <f ca="1">IFERROR(__xludf.DUMMYFUNCTION("IF(OR($I784=2, $I784=3), 0, IFERROR(COUNTIFS($C$2:C784, $C784, $A$2:A784, ""&gt;""&amp;IFERROR(MAX(FILTER($A$2:A784, $C$2:C784=$C784, $I$2:I784&lt;&gt;1)), 0), $I$2:I784, 1),1))
"),"#DIV/0!")</f>
        <v>#DIV/0!</v>
      </c>
      <c r="K784" s="7" t="e">
        <f t="shared" ca="1" si="17"/>
        <v>#DIV/0!</v>
      </c>
      <c r="L784" s="20" t="e">
        <f t="shared" ca="1" si="18"/>
        <v>#DIV/0!</v>
      </c>
      <c r="M784" s="21" t="e">
        <f t="shared" ca="1" si="19"/>
        <v>#DIV/0!</v>
      </c>
      <c r="N784" s="20" t="str">
        <f ca="1">IFERROR(__xludf.DUMMYFUNCTION("IF(COUNTIFS($C$2:C784, C784, $A$2:A784, ""&lt;="" &amp; A784) &lt; 30, STDEV.P(FILTER($G$2:G784, $C$2:C784 = C784)), STDEV.P(FILTER($G$2:G784, $C$2:C784 = C784, $A$2:A784 &gt;= A784 - 30)))
"),"#DIV/0!")</f>
        <v>#DIV/0!</v>
      </c>
    </row>
    <row r="785" spans="1:14" x14ac:dyDescent="0.2">
      <c r="A785" s="41"/>
      <c r="B785" s="40"/>
      <c r="C785" s="40"/>
      <c r="D785" s="31"/>
      <c r="E785" s="31"/>
      <c r="F785" s="31"/>
      <c r="G785" s="19" t="e">
        <f t="shared" si="15"/>
        <v>#DIV/0!</v>
      </c>
      <c r="H785" s="20" t="str">
        <f ca="1">IFERROR(__xludf.DUMMYFUNCTION("IF(COUNTIFS($C$2:C785, C785, $A$2:A785, ""&lt;="" &amp; A785) &lt; 30, AVERAGEIF($C$2:C785, C785, $G$2:G785), AVERAGE(FILTER($G$2:G785, $C$2:C785 = C785, $A$2:A785 &gt;= A785 - 30)))
"),"#DIV/0!")</f>
        <v>#DIV/0!</v>
      </c>
      <c r="I785" s="20" t="e">
        <f t="shared" ca="1" si="16"/>
        <v>#DIV/0!</v>
      </c>
      <c r="J785" s="20" t="str">
        <f ca="1">IFERROR(__xludf.DUMMYFUNCTION("IF(OR($I785=2, $I785=3), 0, IFERROR(COUNTIFS($C$2:C785, $C785, $A$2:A785, ""&gt;""&amp;IFERROR(MAX(FILTER($A$2:A785, $C$2:C785=$C785, $I$2:I785&lt;&gt;1)), 0), $I$2:I785, 1),1))
"),"#DIV/0!")</f>
        <v>#DIV/0!</v>
      </c>
      <c r="K785" s="7" t="e">
        <f t="shared" ca="1" si="17"/>
        <v>#DIV/0!</v>
      </c>
      <c r="L785" s="20" t="e">
        <f t="shared" ca="1" si="18"/>
        <v>#DIV/0!</v>
      </c>
      <c r="M785" s="21" t="e">
        <f t="shared" ca="1" si="19"/>
        <v>#DIV/0!</v>
      </c>
      <c r="N785" s="20" t="str">
        <f ca="1">IFERROR(__xludf.DUMMYFUNCTION("IF(COUNTIFS($C$2:C785, C785, $A$2:A785, ""&lt;="" &amp; A785) &lt; 30, STDEV.P(FILTER($G$2:G785, $C$2:C785 = C785)), STDEV.P(FILTER($G$2:G785, $C$2:C785 = C785, $A$2:A785 &gt;= A785 - 30)))
"),"#DIV/0!")</f>
        <v>#DIV/0!</v>
      </c>
    </row>
    <row r="786" spans="1:14" x14ac:dyDescent="0.2">
      <c r="A786" s="41"/>
      <c r="B786" s="32"/>
      <c r="C786" s="32"/>
      <c r="D786" s="33"/>
      <c r="E786" s="33"/>
      <c r="F786" s="33"/>
      <c r="G786" s="19" t="e">
        <f t="shared" si="15"/>
        <v>#DIV/0!</v>
      </c>
      <c r="H786" s="20" t="str">
        <f ca="1">IFERROR(__xludf.DUMMYFUNCTION("IF(COUNTIFS($C$2:C786, C786, $A$2:A786, ""&lt;="" &amp; A786) &lt; 30, AVERAGEIF($C$2:C786, C786, $G$2:G786), AVERAGE(FILTER($G$2:G786, $C$2:C786 = C786, $A$2:A786 &gt;= A786 - 30)))
"),"#DIV/0!")</f>
        <v>#DIV/0!</v>
      </c>
      <c r="I786" s="20" t="e">
        <f t="shared" ca="1" si="16"/>
        <v>#DIV/0!</v>
      </c>
      <c r="J786" s="20" t="str">
        <f ca="1">IFERROR(__xludf.DUMMYFUNCTION("IF(OR($I786=2, $I786=3), 0, IFERROR(COUNTIFS($C$2:C786, $C786, $A$2:A786, ""&gt;""&amp;IFERROR(MAX(FILTER($A$2:A786, $C$2:C786=$C786, $I$2:I786&lt;&gt;1)), 0), $I$2:I786, 1),1))
"),"#DIV/0!")</f>
        <v>#DIV/0!</v>
      </c>
      <c r="K786" s="7" t="e">
        <f t="shared" ca="1" si="17"/>
        <v>#DIV/0!</v>
      </c>
      <c r="L786" s="20" t="e">
        <f t="shared" ca="1" si="18"/>
        <v>#DIV/0!</v>
      </c>
      <c r="M786" s="21" t="e">
        <f t="shared" ca="1" si="19"/>
        <v>#DIV/0!</v>
      </c>
      <c r="N786" s="20" t="str">
        <f ca="1">IFERROR(__xludf.DUMMYFUNCTION("IF(COUNTIFS($C$2:C786, C786, $A$2:A786, ""&lt;="" &amp; A786) &lt; 30, STDEV.P(FILTER($G$2:G786, $C$2:C786 = C786)), STDEV.P(FILTER($G$2:G786, $C$2:C786 = C786, $A$2:A786 &gt;= A786 - 30)))
"),"#DIV/0!")</f>
        <v>#DIV/0!</v>
      </c>
    </row>
    <row r="787" spans="1:14" x14ac:dyDescent="0.2">
      <c r="A787" s="41"/>
      <c r="B787" s="32"/>
      <c r="C787" s="32"/>
      <c r="D787" s="33"/>
      <c r="E787" s="33"/>
      <c r="F787" s="33"/>
      <c r="G787" s="19" t="e">
        <f t="shared" si="15"/>
        <v>#DIV/0!</v>
      </c>
      <c r="H787" s="20" t="str">
        <f ca="1">IFERROR(__xludf.DUMMYFUNCTION("IF(COUNTIFS($C$2:C787, C787, $A$2:A787, ""&lt;="" &amp; A787) &lt; 30, AVERAGEIF($C$2:C787, C787, $G$2:G787), AVERAGE(FILTER($G$2:G787, $C$2:C787 = C787, $A$2:A787 &gt;= A787 - 30)))
"),"#DIV/0!")</f>
        <v>#DIV/0!</v>
      </c>
      <c r="I787" s="20" t="e">
        <f t="shared" ca="1" si="16"/>
        <v>#DIV/0!</v>
      </c>
      <c r="J787" s="20" t="str">
        <f ca="1">IFERROR(__xludf.DUMMYFUNCTION("IF(OR($I787=2, $I787=3), 0, IFERROR(COUNTIFS($C$2:C787, $C787, $A$2:A787, ""&gt;""&amp;IFERROR(MAX(FILTER($A$2:A787, $C$2:C787=$C787, $I$2:I787&lt;&gt;1)), 0), $I$2:I787, 1),1))
"),"#DIV/0!")</f>
        <v>#DIV/0!</v>
      </c>
      <c r="K787" s="7" t="e">
        <f t="shared" ca="1" si="17"/>
        <v>#DIV/0!</v>
      </c>
      <c r="L787" s="20" t="e">
        <f t="shared" ca="1" si="18"/>
        <v>#DIV/0!</v>
      </c>
      <c r="M787" s="21" t="e">
        <f t="shared" ca="1" si="19"/>
        <v>#DIV/0!</v>
      </c>
      <c r="N787" s="20" t="str">
        <f ca="1">IFERROR(__xludf.DUMMYFUNCTION("IF(COUNTIFS($C$2:C787, C787, $A$2:A787, ""&lt;="" &amp; A787) &lt; 30, STDEV.P(FILTER($G$2:G787, $C$2:C787 = C787)), STDEV.P(FILTER($G$2:G787, $C$2:C787 = C787, $A$2:A787 &gt;= A787 - 30)))
"),"#DIV/0!")</f>
        <v>#DIV/0!</v>
      </c>
    </row>
    <row r="788" spans="1:14" x14ac:dyDescent="0.2">
      <c r="A788" s="41"/>
      <c r="B788" s="32"/>
      <c r="C788" s="32"/>
      <c r="D788" s="33"/>
      <c r="E788" s="33"/>
      <c r="F788" s="33"/>
      <c r="G788" s="19" t="e">
        <f t="shared" si="15"/>
        <v>#DIV/0!</v>
      </c>
      <c r="H788" s="20" t="str">
        <f ca="1">IFERROR(__xludf.DUMMYFUNCTION("IF(COUNTIFS($C$2:C788, C788, $A$2:A788, ""&lt;="" &amp; A788) &lt; 30, AVERAGEIF($C$2:C788, C788, $G$2:G788), AVERAGE(FILTER($G$2:G788, $C$2:C788 = C788, $A$2:A788 &gt;= A788 - 30)))
"),"#DIV/0!")</f>
        <v>#DIV/0!</v>
      </c>
      <c r="I788" s="20" t="e">
        <f t="shared" ca="1" si="16"/>
        <v>#DIV/0!</v>
      </c>
      <c r="J788" s="20" t="str">
        <f ca="1">IFERROR(__xludf.DUMMYFUNCTION("IF(OR($I788=2, $I788=3), 0, IFERROR(COUNTIFS($C$2:C788, $C788, $A$2:A788, ""&gt;""&amp;IFERROR(MAX(FILTER($A$2:A788, $C$2:C788=$C788, $I$2:I788&lt;&gt;1)), 0), $I$2:I788, 1),1))
"),"#DIV/0!")</f>
        <v>#DIV/0!</v>
      </c>
      <c r="K788" s="7" t="e">
        <f t="shared" ca="1" si="17"/>
        <v>#DIV/0!</v>
      </c>
      <c r="L788" s="20" t="e">
        <f t="shared" ca="1" si="18"/>
        <v>#DIV/0!</v>
      </c>
      <c r="M788" s="21" t="e">
        <f t="shared" ca="1" si="19"/>
        <v>#DIV/0!</v>
      </c>
      <c r="N788" s="20" t="str">
        <f ca="1">IFERROR(__xludf.DUMMYFUNCTION("IF(COUNTIFS($C$2:C788, C788, $A$2:A788, ""&lt;="" &amp; A788) &lt; 30, STDEV.P(FILTER($G$2:G788, $C$2:C788 = C788)), STDEV.P(FILTER($G$2:G788, $C$2:C788 = C788, $A$2:A788 &gt;= A788 - 30)))
"),"#DIV/0!")</f>
        <v>#DIV/0!</v>
      </c>
    </row>
    <row r="789" spans="1:14" x14ac:dyDescent="0.2">
      <c r="A789" s="41"/>
      <c r="B789" s="32"/>
      <c r="C789" s="32"/>
      <c r="D789" s="33"/>
      <c r="E789" s="33"/>
      <c r="F789" s="33"/>
      <c r="G789" s="19" t="e">
        <f t="shared" si="15"/>
        <v>#DIV/0!</v>
      </c>
      <c r="H789" s="20" t="str">
        <f ca="1">IFERROR(__xludf.DUMMYFUNCTION("IF(COUNTIFS($C$2:C789, C789, $A$2:A789, ""&lt;="" &amp; A789) &lt; 30, AVERAGEIF($C$2:C789, C789, $G$2:G789), AVERAGE(FILTER($G$2:G789, $C$2:C789 = C789, $A$2:A789 &gt;= A789 - 30)))
"),"#DIV/0!")</f>
        <v>#DIV/0!</v>
      </c>
      <c r="I789" s="20" t="e">
        <f t="shared" ca="1" si="16"/>
        <v>#DIV/0!</v>
      </c>
      <c r="J789" s="20" t="str">
        <f ca="1">IFERROR(__xludf.DUMMYFUNCTION("IF(OR($I789=2, $I789=3), 0, IFERROR(COUNTIFS($C$2:C789, $C789, $A$2:A789, ""&gt;""&amp;IFERROR(MAX(FILTER($A$2:A789, $C$2:C789=$C789, $I$2:I789&lt;&gt;1)), 0), $I$2:I789, 1),1))
"),"#DIV/0!")</f>
        <v>#DIV/0!</v>
      </c>
      <c r="K789" s="7" t="e">
        <f t="shared" ca="1" si="17"/>
        <v>#DIV/0!</v>
      </c>
      <c r="L789" s="20" t="e">
        <f t="shared" ca="1" si="18"/>
        <v>#DIV/0!</v>
      </c>
      <c r="M789" s="21" t="e">
        <f t="shared" ca="1" si="19"/>
        <v>#DIV/0!</v>
      </c>
      <c r="N789" s="20" t="str">
        <f ca="1">IFERROR(__xludf.DUMMYFUNCTION("IF(COUNTIFS($C$2:C789, C789, $A$2:A789, ""&lt;="" &amp; A789) &lt; 30, STDEV.P(FILTER($G$2:G789, $C$2:C789 = C789)), STDEV.P(FILTER($G$2:G789, $C$2:C789 = C789, $A$2:A789 &gt;= A789 - 30)))
"),"#DIV/0!")</f>
        <v>#DIV/0!</v>
      </c>
    </row>
    <row r="790" spans="1:14" x14ac:dyDescent="0.2">
      <c r="A790" s="41"/>
      <c r="B790" s="32"/>
      <c r="C790" s="32"/>
      <c r="D790" s="33"/>
      <c r="E790" s="33"/>
      <c r="F790" s="33"/>
      <c r="G790" s="19" t="e">
        <f t="shared" si="15"/>
        <v>#DIV/0!</v>
      </c>
      <c r="H790" s="20" t="str">
        <f ca="1">IFERROR(__xludf.DUMMYFUNCTION("IF(COUNTIFS($C$2:C790, C790, $A$2:A790, ""&lt;="" &amp; A790) &lt; 30, AVERAGEIF($C$2:C790, C790, $G$2:G790), AVERAGE(FILTER($G$2:G790, $C$2:C790 = C790, $A$2:A790 &gt;= A790 - 30)))
"),"#DIV/0!")</f>
        <v>#DIV/0!</v>
      </c>
      <c r="I790" s="20" t="e">
        <f t="shared" ca="1" si="16"/>
        <v>#DIV/0!</v>
      </c>
      <c r="J790" s="20" t="str">
        <f ca="1">IFERROR(__xludf.DUMMYFUNCTION("IF(OR($I790=2, $I790=3), 0, IFERROR(COUNTIFS($C$2:C790, $C790, $A$2:A790, ""&gt;""&amp;IFERROR(MAX(FILTER($A$2:A790, $C$2:C790=$C790, $I$2:I790&lt;&gt;1)), 0), $I$2:I790, 1),1))
"),"#DIV/0!")</f>
        <v>#DIV/0!</v>
      </c>
      <c r="K790" s="7" t="e">
        <f t="shared" ca="1" si="17"/>
        <v>#DIV/0!</v>
      </c>
      <c r="L790" s="20" t="e">
        <f t="shared" ca="1" si="18"/>
        <v>#DIV/0!</v>
      </c>
      <c r="M790" s="21" t="e">
        <f t="shared" ca="1" si="19"/>
        <v>#DIV/0!</v>
      </c>
      <c r="N790" s="20" t="str">
        <f ca="1">IFERROR(__xludf.DUMMYFUNCTION("IF(COUNTIFS($C$2:C790, C790, $A$2:A790, ""&lt;="" &amp; A790) &lt; 30, STDEV.P(FILTER($G$2:G790, $C$2:C790 = C790)), STDEV.P(FILTER($G$2:G790, $C$2:C790 = C790, $A$2:A790 &gt;= A790 - 30)))
"),"#DIV/0!")</f>
        <v>#DIV/0!</v>
      </c>
    </row>
    <row r="791" spans="1:14" x14ac:dyDescent="0.2">
      <c r="A791" s="41"/>
      <c r="B791" s="32"/>
      <c r="C791" s="32"/>
      <c r="D791" s="33"/>
      <c r="E791" s="33"/>
      <c r="F791" s="33"/>
      <c r="G791" s="19" t="e">
        <f t="shared" si="15"/>
        <v>#DIV/0!</v>
      </c>
      <c r="H791" s="20" t="str">
        <f ca="1">IFERROR(__xludf.DUMMYFUNCTION("IF(COUNTIFS($C$2:C791, C791, $A$2:A791, ""&lt;="" &amp; A791) &lt; 30, AVERAGEIF($C$2:C791, C791, $G$2:G791), AVERAGE(FILTER($G$2:G791, $C$2:C791 = C791, $A$2:A791 &gt;= A791 - 30)))
"),"#DIV/0!")</f>
        <v>#DIV/0!</v>
      </c>
      <c r="I791" s="20" t="e">
        <f t="shared" ca="1" si="16"/>
        <v>#DIV/0!</v>
      </c>
      <c r="J791" s="20" t="str">
        <f ca="1">IFERROR(__xludf.DUMMYFUNCTION("IF(OR($I791=2, $I791=3), 0, IFERROR(COUNTIFS($C$2:C791, $C791, $A$2:A791, ""&gt;""&amp;IFERROR(MAX(FILTER($A$2:A791, $C$2:C791=$C791, $I$2:I791&lt;&gt;1)), 0), $I$2:I791, 1),1))
"),"#DIV/0!")</f>
        <v>#DIV/0!</v>
      </c>
      <c r="K791" s="7" t="e">
        <f t="shared" ca="1" si="17"/>
        <v>#DIV/0!</v>
      </c>
      <c r="L791" s="20" t="e">
        <f t="shared" ca="1" si="18"/>
        <v>#DIV/0!</v>
      </c>
      <c r="M791" s="21" t="e">
        <f t="shared" ca="1" si="19"/>
        <v>#DIV/0!</v>
      </c>
      <c r="N791" s="20" t="str">
        <f ca="1">IFERROR(__xludf.DUMMYFUNCTION("IF(COUNTIFS($C$2:C791, C791, $A$2:A791, ""&lt;="" &amp; A791) &lt; 30, STDEV.P(FILTER($G$2:G791, $C$2:C791 = C791)), STDEV.P(FILTER($G$2:G791, $C$2:C791 = C791, $A$2:A791 &gt;= A791 - 30)))
"),"#DIV/0!")</f>
        <v>#DIV/0!</v>
      </c>
    </row>
    <row r="792" spans="1:14" x14ac:dyDescent="0.2">
      <c r="A792" s="41"/>
      <c r="B792" s="32"/>
      <c r="C792" s="32"/>
      <c r="D792" s="33"/>
      <c r="E792" s="33"/>
      <c r="F792" s="33"/>
      <c r="G792" s="19" t="e">
        <f t="shared" si="15"/>
        <v>#DIV/0!</v>
      </c>
      <c r="H792" s="20" t="str">
        <f ca="1">IFERROR(__xludf.DUMMYFUNCTION("IF(COUNTIFS($C$2:C792, C792, $A$2:A792, ""&lt;="" &amp; A792) &lt; 30, AVERAGEIF($C$2:C792, C792, $G$2:G792), AVERAGE(FILTER($G$2:G792, $C$2:C792 = C792, $A$2:A792 &gt;= A792 - 30)))
"),"#DIV/0!")</f>
        <v>#DIV/0!</v>
      </c>
      <c r="I792" s="20" t="e">
        <f t="shared" ca="1" si="16"/>
        <v>#DIV/0!</v>
      </c>
      <c r="J792" s="20" t="str">
        <f ca="1">IFERROR(__xludf.DUMMYFUNCTION("IF(OR($I792=2, $I792=3), 0, IFERROR(COUNTIFS($C$2:C792, $C792, $A$2:A792, ""&gt;""&amp;IFERROR(MAX(FILTER($A$2:A792, $C$2:C792=$C792, $I$2:I792&lt;&gt;1)), 0), $I$2:I792, 1),1))
"),"#DIV/0!")</f>
        <v>#DIV/0!</v>
      </c>
      <c r="K792" s="7" t="e">
        <f t="shared" ca="1" si="17"/>
        <v>#DIV/0!</v>
      </c>
      <c r="L792" s="20" t="e">
        <f t="shared" ca="1" si="18"/>
        <v>#DIV/0!</v>
      </c>
      <c r="M792" s="21" t="e">
        <f t="shared" ca="1" si="19"/>
        <v>#DIV/0!</v>
      </c>
      <c r="N792" s="20" t="str">
        <f ca="1">IFERROR(__xludf.DUMMYFUNCTION("IF(COUNTIFS($C$2:C792, C792, $A$2:A792, ""&lt;="" &amp; A792) &lt; 30, STDEV.P(FILTER($G$2:G792, $C$2:C792 = C792)), STDEV.P(FILTER($G$2:G792, $C$2:C792 = C792, $A$2:A792 &gt;= A792 - 30)))
"),"#DIV/0!")</f>
        <v>#DIV/0!</v>
      </c>
    </row>
    <row r="793" spans="1:14" x14ac:dyDescent="0.2">
      <c r="A793" s="41"/>
      <c r="B793" s="32"/>
      <c r="C793" s="32"/>
      <c r="D793" s="33"/>
      <c r="E793" s="33"/>
      <c r="F793" s="33"/>
      <c r="G793" s="19" t="e">
        <f t="shared" si="15"/>
        <v>#DIV/0!</v>
      </c>
      <c r="H793" s="20" t="str">
        <f ca="1">IFERROR(__xludf.DUMMYFUNCTION("IF(COUNTIFS($C$2:C793, C793, $A$2:A793, ""&lt;="" &amp; A793) &lt; 30, AVERAGEIF($C$2:C793, C793, $G$2:G793), AVERAGE(FILTER($G$2:G793, $C$2:C793 = C793, $A$2:A793 &gt;= A793 - 30)))
"),"#DIV/0!")</f>
        <v>#DIV/0!</v>
      </c>
      <c r="I793" s="20" t="e">
        <f t="shared" ca="1" si="16"/>
        <v>#DIV/0!</v>
      </c>
      <c r="J793" s="20" t="str">
        <f ca="1">IFERROR(__xludf.DUMMYFUNCTION("IF(OR($I793=2, $I793=3), 0, IFERROR(COUNTIFS($C$2:C793, $C793, $A$2:A793, ""&gt;""&amp;IFERROR(MAX(FILTER($A$2:A793, $C$2:C793=$C793, $I$2:I793&lt;&gt;1)), 0), $I$2:I793, 1),1))
"),"#DIV/0!")</f>
        <v>#DIV/0!</v>
      </c>
      <c r="K793" s="7" t="e">
        <f t="shared" ca="1" si="17"/>
        <v>#DIV/0!</v>
      </c>
      <c r="L793" s="20" t="e">
        <f t="shared" ca="1" si="18"/>
        <v>#DIV/0!</v>
      </c>
      <c r="M793" s="21" t="e">
        <f t="shared" ca="1" si="19"/>
        <v>#DIV/0!</v>
      </c>
      <c r="N793" s="20" t="str">
        <f ca="1">IFERROR(__xludf.DUMMYFUNCTION("IF(COUNTIFS($C$2:C793, C793, $A$2:A793, ""&lt;="" &amp; A793) &lt; 30, STDEV.P(FILTER($G$2:G793, $C$2:C793 = C793)), STDEV.P(FILTER($G$2:G793, $C$2:C793 = C793, $A$2:A793 &gt;= A793 - 30)))
"),"#DIV/0!")</f>
        <v>#DIV/0!</v>
      </c>
    </row>
    <row r="794" spans="1:14" x14ac:dyDescent="0.2">
      <c r="A794" s="41"/>
      <c r="B794" s="32"/>
      <c r="C794" s="32"/>
      <c r="D794" s="33"/>
      <c r="E794" s="33"/>
      <c r="F794" s="33"/>
      <c r="G794" s="19" t="e">
        <f t="shared" si="15"/>
        <v>#DIV/0!</v>
      </c>
      <c r="H794" s="20" t="str">
        <f ca="1">IFERROR(__xludf.DUMMYFUNCTION("IF(COUNTIFS($C$2:C794, C794, $A$2:A794, ""&lt;="" &amp; A794) &lt; 30, AVERAGEIF($C$2:C794, C794, $G$2:G794), AVERAGE(FILTER($G$2:G794, $C$2:C794 = C794, $A$2:A794 &gt;= A794 - 30)))
"),"#DIV/0!")</f>
        <v>#DIV/0!</v>
      </c>
      <c r="I794" s="20" t="e">
        <f t="shared" ca="1" si="16"/>
        <v>#DIV/0!</v>
      </c>
      <c r="J794" s="20" t="str">
        <f ca="1">IFERROR(__xludf.DUMMYFUNCTION("IF(OR($I794=2, $I794=3), 0, IFERROR(COUNTIFS($C$2:C794, $C794, $A$2:A794, ""&gt;""&amp;IFERROR(MAX(FILTER($A$2:A794, $C$2:C794=$C794, $I$2:I794&lt;&gt;1)), 0), $I$2:I794, 1),1))
"),"#DIV/0!")</f>
        <v>#DIV/0!</v>
      </c>
      <c r="K794" s="7" t="e">
        <f t="shared" ca="1" si="17"/>
        <v>#DIV/0!</v>
      </c>
      <c r="L794" s="20" t="e">
        <f t="shared" ca="1" si="18"/>
        <v>#DIV/0!</v>
      </c>
      <c r="M794" s="21" t="e">
        <f t="shared" ca="1" si="19"/>
        <v>#DIV/0!</v>
      </c>
      <c r="N794" s="20" t="str">
        <f ca="1">IFERROR(__xludf.DUMMYFUNCTION("IF(COUNTIFS($C$2:C794, C794, $A$2:A794, ""&lt;="" &amp; A794) &lt; 30, STDEV.P(FILTER($G$2:G794, $C$2:C794 = C794)), STDEV.P(FILTER($G$2:G794, $C$2:C794 = C794, $A$2:A794 &gt;= A794 - 30)))
"),"#DIV/0!")</f>
        <v>#DIV/0!</v>
      </c>
    </row>
    <row r="795" spans="1:14" x14ac:dyDescent="0.2">
      <c r="A795" s="41"/>
      <c r="B795" s="32"/>
      <c r="C795" s="32"/>
      <c r="D795" s="33"/>
      <c r="E795" s="33"/>
      <c r="F795" s="33"/>
      <c r="G795" s="19" t="e">
        <f t="shared" si="15"/>
        <v>#DIV/0!</v>
      </c>
      <c r="H795" s="20" t="str">
        <f ca="1">IFERROR(__xludf.DUMMYFUNCTION("IF(COUNTIFS($C$2:C795, C795, $A$2:A795, ""&lt;="" &amp; A795) &lt; 30, AVERAGEIF($C$2:C795, C795, $G$2:G795), AVERAGE(FILTER($G$2:G795, $C$2:C795 = C795, $A$2:A795 &gt;= A795 - 30)))
"),"#DIV/0!")</f>
        <v>#DIV/0!</v>
      </c>
      <c r="I795" s="20" t="e">
        <f t="shared" ca="1" si="16"/>
        <v>#DIV/0!</v>
      </c>
      <c r="J795" s="20" t="str">
        <f ca="1">IFERROR(__xludf.DUMMYFUNCTION("IF(OR($I795=2, $I795=3), 0, IFERROR(COUNTIFS($C$2:C795, $C795, $A$2:A795, ""&gt;""&amp;IFERROR(MAX(FILTER($A$2:A795, $C$2:C795=$C795, $I$2:I795&lt;&gt;1)), 0), $I$2:I795, 1),1))
"),"#DIV/0!")</f>
        <v>#DIV/0!</v>
      </c>
      <c r="K795" s="7" t="e">
        <f t="shared" ca="1" si="17"/>
        <v>#DIV/0!</v>
      </c>
      <c r="L795" s="20" t="e">
        <f t="shared" ca="1" si="18"/>
        <v>#DIV/0!</v>
      </c>
      <c r="M795" s="21" t="e">
        <f t="shared" ca="1" si="19"/>
        <v>#DIV/0!</v>
      </c>
      <c r="N795" s="20" t="str">
        <f ca="1">IFERROR(__xludf.DUMMYFUNCTION("IF(COUNTIFS($C$2:C795, C795, $A$2:A795, ""&lt;="" &amp; A795) &lt; 30, STDEV.P(FILTER($G$2:G795, $C$2:C795 = C795)), STDEV.P(FILTER($G$2:G795, $C$2:C795 = C795, $A$2:A795 &gt;= A795 - 30)))
"),"#DIV/0!")</f>
        <v>#DIV/0!</v>
      </c>
    </row>
    <row r="796" spans="1:14" x14ac:dyDescent="0.2">
      <c r="A796" s="41"/>
      <c r="B796" s="32"/>
      <c r="C796" s="32"/>
      <c r="D796" s="33"/>
      <c r="E796" s="33"/>
      <c r="F796" s="33"/>
      <c r="G796" s="19" t="e">
        <f t="shared" si="15"/>
        <v>#DIV/0!</v>
      </c>
      <c r="H796" s="20" t="str">
        <f ca="1">IFERROR(__xludf.DUMMYFUNCTION("IF(COUNTIFS($C$2:C796, C796, $A$2:A796, ""&lt;="" &amp; A796) &lt; 30, AVERAGEIF($C$2:C796, C796, $G$2:G796), AVERAGE(FILTER($G$2:G796, $C$2:C796 = C796, $A$2:A796 &gt;= A796 - 30)))
"),"#DIV/0!")</f>
        <v>#DIV/0!</v>
      </c>
      <c r="I796" s="20" t="e">
        <f t="shared" ca="1" si="16"/>
        <v>#DIV/0!</v>
      </c>
      <c r="J796" s="20" t="str">
        <f ca="1">IFERROR(__xludf.DUMMYFUNCTION("IF(OR($I796=2, $I796=3), 0, IFERROR(COUNTIFS($C$2:C796, $C796, $A$2:A796, ""&gt;""&amp;IFERROR(MAX(FILTER($A$2:A796, $C$2:C796=$C796, $I$2:I796&lt;&gt;1)), 0), $I$2:I796, 1),1))
"),"#DIV/0!")</f>
        <v>#DIV/0!</v>
      </c>
      <c r="K796" s="7" t="e">
        <f t="shared" ca="1" si="17"/>
        <v>#DIV/0!</v>
      </c>
      <c r="L796" s="20" t="e">
        <f t="shared" ca="1" si="18"/>
        <v>#DIV/0!</v>
      </c>
      <c r="M796" s="21" t="e">
        <f t="shared" ca="1" si="19"/>
        <v>#DIV/0!</v>
      </c>
      <c r="N796" s="20" t="str">
        <f ca="1">IFERROR(__xludf.DUMMYFUNCTION("IF(COUNTIFS($C$2:C796, C796, $A$2:A796, ""&lt;="" &amp; A796) &lt; 30, STDEV.P(FILTER($G$2:G796, $C$2:C796 = C796)), STDEV.P(FILTER($G$2:G796, $C$2:C796 = C796, $A$2:A796 &gt;= A796 - 30)))
"),"#DIV/0!")</f>
        <v>#DIV/0!</v>
      </c>
    </row>
    <row r="797" spans="1:14" x14ac:dyDescent="0.2">
      <c r="A797" s="41"/>
      <c r="B797" s="32"/>
      <c r="C797" s="32"/>
      <c r="D797" s="33"/>
      <c r="E797" s="33"/>
      <c r="F797" s="33"/>
      <c r="G797" s="19" t="e">
        <f t="shared" si="15"/>
        <v>#DIV/0!</v>
      </c>
      <c r="H797" s="20" t="str">
        <f ca="1">IFERROR(__xludf.DUMMYFUNCTION("IF(COUNTIFS($C$2:C797, C797, $A$2:A797, ""&lt;="" &amp; A797) &lt; 30, AVERAGEIF($C$2:C797, C797, $G$2:G797), AVERAGE(FILTER($G$2:G797, $C$2:C797 = C797, $A$2:A797 &gt;= A797 - 30)))
"),"#DIV/0!")</f>
        <v>#DIV/0!</v>
      </c>
      <c r="I797" s="20" t="e">
        <f t="shared" ca="1" si="16"/>
        <v>#DIV/0!</v>
      </c>
      <c r="J797" s="20" t="str">
        <f ca="1">IFERROR(__xludf.DUMMYFUNCTION("IF(OR($I797=2, $I797=3), 0, IFERROR(COUNTIFS($C$2:C797, $C797, $A$2:A797, ""&gt;""&amp;IFERROR(MAX(FILTER($A$2:A797, $C$2:C797=$C797, $I$2:I797&lt;&gt;1)), 0), $I$2:I797, 1),1))
"),"#DIV/0!")</f>
        <v>#DIV/0!</v>
      </c>
      <c r="K797" s="7" t="e">
        <f t="shared" ca="1" si="17"/>
        <v>#DIV/0!</v>
      </c>
      <c r="L797" s="20" t="e">
        <f t="shared" ca="1" si="18"/>
        <v>#DIV/0!</v>
      </c>
      <c r="M797" s="21" t="e">
        <f t="shared" ca="1" si="19"/>
        <v>#DIV/0!</v>
      </c>
      <c r="N797" s="20" t="str">
        <f ca="1">IFERROR(__xludf.DUMMYFUNCTION("IF(COUNTIFS($C$2:C797, C797, $A$2:A797, ""&lt;="" &amp; A797) &lt; 30, STDEV.P(FILTER($G$2:G797, $C$2:C797 = C797)), STDEV.P(FILTER($G$2:G797, $C$2:C797 = C797, $A$2:A797 &gt;= A797 - 30)))
"),"#DIV/0!")</f>
        <v>#DIV/0!</v>
      </c>
    </row>
    <row r="798" spans="1:14" x14ac:dyDescent="0.2">
      <c r="A798" s="42"/>
      <c r="B798" s="32"/>
      <c r="C798" s="32"/>
      <c r="D798" s="33"/>
      <c r="E798" s="33"/>
      <c r="F798" s="33"/>
      <c r="G798" s="19" t="e">
        <f t="shared" si="15"/>
        <v>#DIV/0!</v>
      </c>
      <c r="H798" s="20" t="str">
        <f ca="1">IFERROR(__xludf.DUMMYFUNCTION("IF(COUNTIFS($C$2:C798, C798, $A$2:A798, ""&lt;="" &amp; A798) &lt; 30, AVERAGEIF($C$2:C798, C798, $G$2:G798), AVERAGE(FILTER($G$2:G798, $C$2:C798 = C798, $A$2:A798 &gt;= A798 - 30)))
"),"#DIV/0!")</f>
        <v>#DIV/0!</v>
      </c>
      <c r="I798" s="20" t="e">
        <f t="shared" ca="1" si="16"/>
        <v>#DIV/0!</v>
      </c>
      <c r="J798" s="20" t="str">
        <f ca="1">IFERROR(__xludf.DUMMYFUNCTION("IF(OR($I798=2, $I798=3), 0, IFERROR(COUNTIFS($C$2:C798, $C798, $A$2:A798, ""&gt;""&amp;IFERROR(MAX(FILTER($A$2:A798, $C$2:C798=$C798, $I$2:I798&lt;&gt;1)), 0), $I$2:I798, 1),1))
"),"#DIV/0!")</f>
        <v>#DIV/0!</v>
      </c>
      <c r="K798" s="7" t="e">
        <f t="shared" ca="1" si="17"/>
        <v>#DIV/0!</v>
      </c>
      <c r="L798" s="20" t="e">
        <f t="shared" ca="1" si="18"/>
        <v>#DIV/0!</v>
      </c>
      <c r="M798" s="21" t="e">
        <f t="shared" ca="1" si="19"/>
        <v>#DIV/0!</v>
      </c>
      <c r="N798" s="20" t="str">
        <f ca="1">IFERROR(__xludf.DUMMYFUNCTION("IF(COUNTIFS($C$2:C798, C798, $A$2:A798, ""&lt;="" &amp; A798) &lt; 30, STDEV.P(FILTER($G$2:G798, $C$2:C798 = C798)), STDEV.P(FILTER($G$2:G798, $C$2:C798 = C798, $A$2:A798 &gt;= A798 - 30)))
"),"#DIV/0!")</f>
        <v>#DIV/0!</v>
      </c>
    </row>
    <row r="799" spans="1:14" x14ac:dyDescent="0.2">
      <c r="A799" s="41"/>
      <c r="B799" s="32"/>
      <c r="C799" s="40"/>
      <c r="D799" s="31"/>
      <c r="E799" s="31"/>
      <c r="F799" s="31"/>
      <c r="G799" s="19" t="e">
        <f t="shared" si="15"/>
        <v>#DIV/0!</v>
      </c>
      <c r="H799" s="20" t="str">
        <f ca="1">IFERROR(__xludf.DUMMYFUNCTION("IF(COUNTIFS($C$2:C799, C799, $A$2:A799, ""&lt;="" &amp; A799) &lt; 30, AVERAGEIF($C$2:C799, C799, $G$2:G799), AVERAGE(FILTER($G$2:G799, $C$2:C799 = C799, $A$2:A799 &gt;= A799 - 30)))
"),"#DIV/0!")</f>
        <v>#DIV/0!</v>
      </c>
      <c r="I799" s="20" t="e">
        <f t="shared" ca="1" si="16"/>
        <v>#DIV/0!</v>
      </c>
      <c r="J799" s="20" t="str">
        <f ca="1">IFERROR(__xludf.DUMMYFUNCTION("IF(OR($I799=2, $I799=3), 0, IFERROR(COUNTIFS($C$2:C799, $C799, $A$2:A799, ""&gt;""&amp;IFERROR(MAX(FILTER($A$2:A799, $C$2:C799=$C799, $I$2:I799&lt;&gt;1)), 0), $I$2:I799, 1),1))
"),"#DIV/0!")</f>
        <v>#DIV/0!</v>
      </c>
      <c r="K799" s="7" t="e">
        <f t="shared" ca="1" si="17"/>
        <v>#DIV/0!</v>
      </c>
      <c r="L799" s="20" t="e">
        <f t="shared" ca="1" si="18"/>
        <v>#DIV/0!</v>
      </c>
      <c r="M799" s="21" t="e">
        <f t="shared" ca="1" si="19"/>
        <v>#DIV/0!</v>
      </c>
      <c r="N799" s="20" t="str">
        <f ca="1">IFERROR(__xludf.DUMMYFUNCTION("IF(COUNTIFS($C$2:C799, C799, $A$2:A799, ""&lt;="" &amp; A799) &lt; 30, STDEV.P(FILTER($G$2:G799, $C$2:C799 = C799)), STDEV.P(FILTER($G$2:G799, $C$2:C799 = C799, $A$2:A799 &gt;= A799 - 30)))
"),"#DIV/0!")</f>
        <v>#DIV/0!</v>
      </c>
    </row>
    <row r="800" spans="1:14" x14ac:dyDescent="0.2">
      <c r="A800" s="41"/>
      <c r="B800" s="32"/>
      <c r="C800" s="40"/>
      <c r="D800" s="31"/>
      <c r="E800" s="31"/>
      <c r="F800" s="31"/>
      <c r="G800" s="19" t="e">
        <f t="shared" si="15"/>
        <v>#DIV/0!</v>
      </c>
      <c r="H800" s="20" t="str">
        <f ca="1">IFERROR(__xludf.DUMMYFUNCTION("IF(COUNTIFS($C$2:C800, C800, $A$2:A800, ""&lt;="" &amp; A800) &lt; 30, AVERAGEIF($C$2:C800, C800, $G$2:G800), AVERAGE(FILTER($G$2:G800, $C$2:C800 = C800, $A$2:A800 &gt;= A800 - 30)))
"),"#DIV/0!")</f>
        <v>#DIV/0!</v>
      </c>
      <c r="I800" s="20" t="e">
        <f t="shared" ca="1" si="16"/>
        <v>#DIV/0!</v>
      </c>
      <c r="J800" s="20" t="str">
        <f ca="1">IFERROR(__xludf.DUMMYFUNCTION("IF(OR($I800=2, $I800=3), 0, IFERROR(COUNTIFS($C$2:C800, $C800, $A$2:A800, ""&gt;""&amp;IFERROR(MAX(FILTER($A$2:A800, $C$2:C800=$C800, $I$2:I800&lt;&gt;1)), 0), $I$2:I800, 1),1))
"),"#DIV/0!")</f>
        <v>#DIV/0!</v>
      </c>
      <c r="K800" s="7" t="e">
        <f t="shared" ca="1" si="17"/>
        <v>#DIV/0!</v>
      </c>
      <c r="L800" s="20" t="e">
        <f t="shared" ca="1" si="18"/>
        <v>#DIV/0!</v>
      </c>
      <c r="M800" s="21" t="e">
        <f t="shared" ca="1" si="19"/>
        <v>#DIV/0!</v>
      </c>
      <c r="N800" s="20" t="str">
        <f ca="1">IFERROR(__xludf.DUMMYFUNCTION("IF(COUNTIFS($C$2:C800, C800, $A$2:A800, ""&lt;="" &amp; A800) &lt; 30, STDEV.P(FILTER($G$2:G800, $C$2:C800 = C800)), STDEV.P(FILTER($G$2:G800, $C$2:C800 = C800, $A$2:A800 &gt;= A800 - 30)))
"),"#DIV/0!")</f>
        <v>#DIV/0!</v>
      </c>
    </row>
    <row r="801" spans="1:14" x14ac:dyDescent="0.2">
      <c r="A801" s="41"/>
      <c r="B801" s="32"/>
      <c r="C801" s="40"/>
      <c r="D801" s="31"/>
      <c r="E801" s="31"/>
      <c r="F801" s="31"/>
      <c r="G801" s="19" t="e">
        <f t="shared" si="15"/>
        <v>#DIV/0!</v>
      </c>
      <c r="H801" s="20" t="str">
        <f ca="1">IFERROR(__xludf.DUMMYFUNCTION("IF(COUNTIFS($C$2:C801, C801, $A$2:A801, ""&lt;="" &amp; A801) &lt; 30, AVERAGEIF($C$2:C801, C801, $G$2:G801), AVERAGE(FILTER($G$2:G801, $C$2:C801 = C801, $A$2:A801 &gt;= A801 - 30)))
"),"#DIV/0!")</f>
        <v>#DIV/0!</v>
      </c>
      <c r="I801" s="20" t="e">
        <f t="shared" ca="1" si="16"/>
        <v>#DIV/0!</v>
      </c>
      <c r="J801" s="20" t="str">
        <f ca="1">IFERROR(__xludf.DUMMYFUNCTION("IF(OR($I801=2, $I801=3), 0, IFERROR(COUNTIFS($C$2:C801, $C801, $A$2:A801, ""&gt;""&amp;IFERROR(MAX(FILTER($A$2:A801, $C$2:C801=$C801, $I$2:I801&lt;&gt;1)), 0), $I$2:I801, 1),1))
"),"#DIV/0!")</f>
        <v>#DIV/0!</v>
      </c>
      <c r="K801" s="7" t="e">
        <f t="shared" ca="1" si="17"/>
        <v>#DIV/0!</v>
      </c>
      <c r="L801" s="20" t="e">
        <f t="shared" ca="1" si="18"/>
        <v>#DIV/0!</v>
      </c>
      <c r="M801" s="21" t="e">
        <f t="shared" ca="1" si="19"/>
        <v>#DIV/0!</v>
      </c>
      <c r="N801" s="20" t="str">
        <f ca="1">IFERROR(__xludf.DUMMYFUNCTION("IF(COUNTIFS($C$2:C801, C801, $A$2:A801, ""&lt;="" &amp; A801) &lt; 30, STDEV.P(FILTER($G$2:G801, $C$2:C801 = C801)), STDEV.P(FILTER($G$2:G801, $C$2:C801 = C801, $A$2:A801 &gt;= A801 - 30)))
"),"#DIV/0!")</f>
        <v>#DIV/0!</v>
      </c>
    </row>
    <row r="802" spans="1:14" x14ac:dyDescent="0.2">
      <c r="A802" s="41"/>
      <c r="B802" s="32"/>
      <c r="C802" s="40"/>
      <c r="D802" s="31"/>
      <c r="E802" s="31"/>
      <c r="F802" s="31"/>
      <c r="G802" s="19" t="e">
        <f t="shared" si="15"/>
        <v>#DIV/0!</v>
      </c>
      <c r="H802" s="20" t="str">
        <f ca="1">IFERROR(__xludf.DUMMYFUNCTION("IF(COUNTIFS($C$2:C802, C802, $A$2:A802, ""&lt;="" &amp; A802) &lt; 30, AVERAGEIF($C$2:C802, C802, $G$2:G802), AVERAGE(FILTER($G$2:G802, $C$2:C802 = C802, $A$2:A802 &gt;= A802 - 30)))
"),"#DIV/0!")</f>
        <v>#DIV/0!</v>
      </c>
      <c r="I802" s="20" t="e">
        <f t="shared" ca="1" si="16"/>
        <v>#DIV/0!</v>
      </c>
      <c r="J802" s="20" t="str">
        <f ca="1">IFERROR(__xludf.DUMMYFUNCTION("IF(OR($I802=2, $I802=3), 0, IFERROR(COUNTIFS($C$2:C802, $C802, $A$2:A802, ""&gt;""&amp;IFERROR(MAX(FILTER($A$2:A802, $C$2:C802=$C802, $I$2:I802&lt;&gt;1)), 0), $I$2:I802, 1),1))
"),"#DIV/0!")</f>
        <v>#DIV/0!</v>
      </c>
      <c r="K802" s="7" t="e">
        <f t="shared" ca="1" si="17"/>
        <v>#DIV/0!</v>
      </c>
      <c r="L802" s="20" t="e">
        <f t="shared" ca="1" si="18"/>
        <v>#DIV/0!</v>
      </c>
      <c r="M802" s="21" t="e">
        <f t="shared" ca="1" si="19"/>
        <v>#DIV/0!</v>
      </c>
      <c r="N802" s="20" t="str">
        <f ca="1">IFERROR(__xludf.DUMMYFUNCTION("IF(COUNTIFS($C$2:C802, C802, $A$2:A802, ""&lt;="" &amp; A802) &lt; 30, STDEV.P(FILTER($G$2:G802, $C$2:C802 = C802)), STDEV.P(FILTER($G$2:G802, $C$2:C802 = C802, $A$2:A802 &gt;= A802 - 30)))
"),"#DIV/0!")</f>
        <v>#DIV/0!</v>
      </c>
    </row>
    <row r="803" spans="1:14" x14ac:dyDescent="0.2">
      <c r="A803" s="41"/>
      <c r="B803" s="32"/>
      <c r="C803" s="40"/>
      <c r="D803" s="31"/>
      <c r="E803" s="31"/>
      <c r="F803" s="31"/>
      <c r="G803" s="19" t="e">
        <f t="shared" si="15"/>
        <v>#DIV/0!</v>
      </c>
      <c r="H803" s="20" t="str">
        <f ca="1">IFERROR(__xludf.DUMMYFUNCTION("IF(COUNTIFS($C$2:C803, C803, $A$2:A803, ""&lt;="" &amp; A803) &lt; 30, AVERAGEIF($C$2:C803, C803, $G$2:G803), AVERAGE(FILTER($G$2:G803, $C$2:C803 = C803, $A$2:A803 &gt;= A803 - 30)))
"),"#DIV/0!")</f>
        <v>#DIV/0!</v>
      </c>
      <c r="I803" s="20" t="e">
        <f t="shared" ca="1" si="16"/>
        <v>#DIV/0!</v>
      </c>
      <c r="J803" s="20" t="str">
        <f ca="1">IFERROR(__xludf.DUMMYFUNCTION("IF(OR($I803=2, $I803=3), 0, IFERROR(COUNTIFS($C$2:C803, $C803, $A$2:A803, ""&gt;""&amp;IFERROR(MAX(FILTER($A$2:A803, $C$2:C803=$C803, $I$2:I803&lt;&gt;1)), 0), $I$2:I803, 1),1))
"),"#DIV/0!")</f>
        <v>#DIV/0!</v>
      </c>
      <c r="K803" s="7" t="e">
        <f t="shared" ca="1" si="17"/>
        <v>#DIV/0!</v>
      </c>
      <c r="L803" s="20" t="e">
        <f t="shared" ca="1" si="18"/>
        <v>#DIV/0!</v>
      </c>
      <c r="M803" s="21" t="e">
        <f t="shared" ca="1" si="19"/>
        <v>#DIV/0!</v>
      </c>
      <c r="N803" s="20" t="str">
        <f ca="1">IFERROR(__xludf.DUMMYFUNCTION("IF(COUNTIFS($C$2:C803, C803, $A$2:A803, ""&lt;="" &amp; A803) &lt; 30, STDEV.P(FILTER($G$2:G803, $C$2:C803 = C803)), STDEV.P(FILTER($G$2:G803, $C$2:C803 = C803, $A$2:A803 &gt;= A803 - 30)))
"),"#DIV/0!")</f>
        <v>#DIV/0!</v>
      </c>
    </row>
    <row r="804" spans="1:14" x14ac:dyDescent="0.2">
      <c r="A804" s="41"/>
      <c r="B804" s="32"/>
      <c r="C804" s="40"/>
      <c r="D804" s="31"/>
      <c r="E804" s="31"/>
      <c r="F804" s="31"/>
      <c r="G804" s="19" t="e">
        <f t="shared" si="15"/>
        <v>#DIV/0!</v>
      </c>
      <c r="H804" s="20" t="str">
        <f ca="1">IFERROR(__xludf.DUMMYFUNCTION("IF(COUNTIFS($C$2:C804, C804, $A$2:A804, ""&lt;="" &amp; A804) &lt; 30, AVERAGEIF($C$2:C804, C804, $G$2:G804), AVERAGE(FILTER($G$2:G804, $C$2:C804 = C804, $A$2:A804 &gt;= A804 - 30)))
"),"#DIV/0!")</f>
        <v>#DIV/0!</v>
      </c>
      <c r="I804" s="20" t="e">
        <f t="shared" ca="1" si="16"/>
        <v>#DIV/0!</v>
      </c>
      <c r="J804" s="20" t="str">
        <f ca="1">IFERROR(__xludf.DUMMYFUNCTION("IF(OR($I804=2, $I804=3), 0, IFERROR(COUNTIFS($C$2:C804, $C804, $A$2:A804, ""&gt;""&amp;IFERROR(MAX(FILTER($A$2:A804, $C$2:C804=$C804, $I$2:I804&lt;&gt;1)), 0), $I$2:I804, 1),1))
"),"#DIV/0!")</f>
        <v>#DIV/0!</v>
      </c>
      <c r="K804" s="7" t="e">
        <f t="shared" ca="1" si="17"/>
        <v>#DIV/0!</v>
      </c>
      <c r="L804" s="20" t="e">
        <f t="shared" ca="1" si="18"/>
        <v>#DIV/0!</v>
      </c>
      <c r="M804" s="21" t="e">
        <f t="shared" ca="1" si="19"/>
        <v>#DIV/0!</v>
      </c>
      <c r="N804" s="20" t="str">
        <f ca="1">IFERROR(__xludf.DUMMYFUNCTION("IF(COUNTIFS($C$2:C804, C804, $A$2:A804, ""&lt;="" &amp; A804) &lt; 30, STDEV.P(FILTER($G$2:G804, $C$2:C804 = C804)), STDEV.P(FILTER($G$2:G804, $C$2:C804 = C804, $A$2:A804 &gt;= A804 - 30)))
"),"#DIV/0!")</f>
        <v>#DIV/0!</v>
      </c>
    </row>
    <row r="805" spans="1:14" x14ac:dyDescent="0.2">
      <c r="A805" s="41"/>
      <c r="B805" s="32"/>
      <c r="C805" s="32"/>
      <c r="D805" s="33"/>
      <c r="E805" s="33"/>
      <c r="F805" s="33"/>
      <c r="G805" s="19" t="e">
        <f t="shared" si="15"/>
        <v>#DIV/0!</v>
      </c>
      <c r="H805" s="20" t="str">
        <f ca="1">IFERROR(__xludf.DUMMYFUNCTION("IF(COUNTIFS($C$2:C805, C805, $A$2:A805, ""&lt;="" &amp; A805) &lt; 30, AVERAGEIF($C$2:C805, C805, $G$2:G805), AVERAGE(FILTER($G$2:G805, $C$2:C805 = C805, $A$2:A805 &gt;= A805 - 30)))
"),"#DIV/0!")</f>
        <v>#DIV/0!</v>
      </c>
      <c r="I805" s="20" t="e">
        <f t="shared" ca="1" si="16"/>
        <v>#DIV/0!</v>
      </c>
      <c r="J805" s="20" t="str">
        <f ca="1">IFERROR(__xludf.DUMMYFUNCTION("IF(OR($I805=2, $I805=3), 0, IFERROR(COUNTIFS($C$2:C805, $C805, $A$2:A805, ""&gt;""&amp;IFERROR(MAX(FILTER($A$2:A805, $C$2:C805=$C805, $I$2:I805&lt;&gt;1)), 0), $I$2:I805, 1),1))
"),"#DIV/0!")</f>
        <v>#DIV/0!</v>
      </c>
      <c r="K805" s="7" t="e">
        <f t="shared" ca="1" si="17"/>
        <v>#DIV/0!</v>
      </c>
      <c r="L805" s="20" t="e">
        <f t="shared" ca="1" si="18"/>
        <v>#DIV/0!</v>
      </c>
      <c r="M805" s="21" t="e">
        <f t="shared" ca="1" si="19"/>
        <v>#DIV/0!</v>
      </c>
      <c r="N805" s="20" t="str">
        <f ca="1">IFERROR(__xludf.DUMMYFUNCTION("IF(COUNTIFS($C$2:C805, C805, $A$2:A805, ""&lt;="" &amp; A805) &lt; 30, STDEV.P(FILTER($G$2:G805, $C$2:C805 = C805)), STDEV.P(FILTER($G$2:G805, $C$2:C805 = C805, $A$2:A805 &gt;= A805 - 30)))
"),"#DIV/0!")</f>
        <v>#DIV/0!</v>
      </c>
    </row>
    <row r="806" spans="1:14" x14ac:dyDescent="0.2">
      <c r="A806" s="41"/>
      <c r="B806" s="32"/>
      <c r="C806" s="32"/>
      <c r="D806" s="33"/>
      <c r="E806" s="33"/>
      <c r="F806" s="33"/>
      <c r="G806" s="19" t="e">
        <f t="shared" si="15"/>
        <v>#DIV/0!</v>
      </c>
      <c r="H806" s="20" t="str">
        <f ca="1">IFERROR(__xludf.DUMMYFUNCTION("IF(COUNTIFS($C$2:C806, C806, $A$2:A806, ""&lt;="" &amp; A806) &lt; 30, AVERAGEIF($C$2:C806, C806, $G$2:G806), AVERAGE(FILTER($G$2:G806, $C$2:C806 = C806, $A$2:A806 &gt;= A806 - 30)))
"),"#DIV/0!")</f>
        <v>#DIV/0!</v>
      </c>
      <c r="I806" s="20" t="e">
        <f t="shared" ca="1" si="16"/>
        <v>#DIV/0!</v>
      </c>
      <c r="J806" s="20" t="str">
        <f ca="1">IFERROR(__xludf.DUMMYFUNCTION("IF(OR($I806=2, $I806=3), 0, IFERROR(COUNTIFS($C$2:C806, $C806, $A$2:A806, ""&gt;""&amp;IFERROR(MAX(FILTER($A$2:A806, $C$2:C806=$C806, $I$2:I806&lt;&gt;1)), 0), $I$2:I806, 1),1))
"),"#DIV/0!")</f>
        <v>#DIV/0!</v>
      </c>
      <c r="K806" s="7" t="e">
        <f t="shared" ca="1" si="17"/>
        <v>#DIV/0!</v>
      </c>
      <c r="L806" s="20" t="e">
        <f t="shared" ca="1" si="18"/>
        <v>#DIV/0!</v>
      </c>
      <c r="M806" s="21" t="e">
        <f t="shared" ca="1" si="19"/>
        <v>#DIV/0!</v>
      </c>
      <c r="N806" s="20" t="str">
        <f ca="1">IFERROR(__xludf.DUMMYFUNCTION("IF(COUNTIFS($C$2:C806, C806, $A$2:A806, ""&lt;="" &amp; A806) &lt; 30, STDEV.P(FILTER($G$2:G806, $C$2:C806 = C806)), STDEV.P(FILTER($G$2:G806, $C$2:C806 = C806, $A$2:A806 &gt;= A806 - 30)))
"),"#DIV/0!")</f>
        <v>#DIV/0!</v>
      </c>
    </row>
    <row r="807" spans="1:14" x14ac:dyDescent="0.2">
      <c r="A807" s="41"/>
      <c r="B807" s="32"/>
      <c r="C807" s="32"/>
      <c r="D807" s="33"/>
      <c r="E807" s="33"/>
      <c r="F807" s="33"/>
      <c r="G807" s="19" t="e">
        <f t="shared" si="15"/>
        <v>#DIV/0!</v>
      </c>
      <c r="H807" s="20" t="str">
        <f ca="1">IFERROR(__xludf.DUMMYFUNCTION("IF(COUNTIFS($C$2:C807, C807, $A$2:A807, ""&lt;="" &amp; A807) &lt; 30, AVERAGEIF($C$2:C807, C807, $G$2:G807), AVERAGE(FILTER($G$2:G807, $C$2:C807 = C807, $A$2:A807 &gt;= A807 - 30)))
"),"#DIV/0!")</f>
        <v>#DIV/0!</v>
      </c>
      <c r="I807" s="20" t="e">
        <f t="shared" ca="1" si="16"/>
        <v>#DIV/0!</v>
      </c>
      <c r="J807" s="20" t="str">
        <f ca="1">IFERROR(__xludf.DUMMYFUNCTION("IF(OR($I807=2, $I807=3), 0, IFERROR(COUNTIFS($C$2:C807, $C807, $A$2:A807, ""&gt;""&amp;IFERROR(MAX(FILTER($A$2:A807, $C$2:C807=$C807, $I$2:I807&lt;&gt;1)), 0), $I$2:I807, 1),1))
"),"#DIV/0!")</f>
        <v>#DIV/0!</v>
      </c>
      <c r="K807" s="7" t="e">
        <f t="shared" ca="1" si="17"/>
        <v>#DIV/0!</v>
      </c>
      <c r="L807" s="20" t="e">
        <f t="shared" ca="1" si="18"/>
        <v>#DIV/0!</v>
      </c>
      <c r="M807" s="21" t="e">
        <f t="shared" ca="1" si="19"/>
        <v>#DIV/0!</v>
      </c>
      <c r="N807" s="20" t="str">
        <f ca="1">IFERROR(__xludf.DUMMYFUNCTION("IF(COUNTIFS($C$2:C807, C807, $A$2:A807, ""&lt;="" &amp; A807) &lt; 30, STDEV.P(FILTER($G$2:G807, $C$2:C807 = C807)), STDEV.P(FILTER($G$2:G807, $C$2:C807 = C807, $A$2:A807 &gt;= A807 - 30)))
"),"#DIV/0!")</f>
        <v>#DIV/0!</v>
      </c>
    </row>
    <row r="808" spans="1:14" x14ac:dyDescent="0.2">
      <c r="A808" s="41"/>
      <c r="B808" s="32"/>
      <c r="C808" s="32"/>
      <c r="D808" s="33"/>
      <c r="E808" s="33"/>
      <c r="F808" s="33"/>
      <c r="G808" s="19" t="e">
        <f t="shared" si="15"/>
        <v>#DIV/0!</v>
      </c>
      <c r="H808" s="20" t="str">
        <f ca="1">IFERROR(__xludf.DUMMYFUNCTION("IF(COUNTIFS($C$2:C808, C808, $A$2:A808, ""&lt;="" &amp; A808) &lt; 30, AVERAGEIF($C$2:C808, C808, $G$2:G808), AVERAGE(FILTER($G$2:G808, $C$2:C808 = C808, $A$2:A808 &gt;= A808 - 30)))
"),"#DIV/0!")</f>
        <v>#DIV/0!</v>
      </c>
      <c r="I808" s="20" t="e">
        <f t="shared" ca="1" si="16"/>
        <v>#DIV/0!</v>
      </c>
      <c r="J808" s="20" t="str">
        <f ca="1">IFERROR(__xludf.DUMMYFUNCTION("IF(OR($I808=2, $I808=3), 0, IFERROR(COUNTIFS($C$2:C808, $C808, $A$2:A808, ""&gt;""&amp;IFERROR(MAX(FILTER($A$2:A808, $C$2:C808=$C808, $I$2:I808&lt;&gt;1)), 0), $I$2:I808, 1),1))
"),"#DIV/0!")</f>
        <v>#DIV/0!</v>
      </c>
      <c r="K808" s="7" t="e">
        <f t="shared" ca="1" si="17"/>
        <v>#DIV/0!</v>
      </c>
      <c r="L808" s="20" t="e">
        <f t="shared" ca="1" si="18"/>
        <v>#DIV/0!</v>
      </c>
      <c r="M808" s="21" t="e">
        <f t="shared" ca="1" si="19"/>
        <v>#DIV/0!</v>
      </c>
      <c r="N808" s="20" t="str">
        <f ca="1">IFERROR(__xludf.DUMMYFUNCTION("IF(COUNTIFS($C$2:C808, C808, $A$2:A808, ""&lt;="" &amp; A808) &lt; 30, STDEV.P(FILTER($G$2:G808, $C$2:C808 = C808)), STDEV.P(FILTER($G$2:G808, $C$2:C808 = C808, $A$2:A808 &gt;= A808 - 30)))
"),"#DIV/0!")</f>
        <v>#DIV/0!</v>
      </c>
    </row>
    <row r="809" spans="1:14" x14ac:dyDescent="0.2">
      <c r="A809" s="41"/>
      <c r="B809" s="32"/>
      <c r="C809" s="32"/>
      <c r="D809" s="33"/>
      <c r="E809" s="33"/>
      <c r="F809" s="33"/>
      <c r="G809" s="19" t="e">
        <f t="shared" si="15"/>
        <v>#DIV/0!</v>
      </c>
      <c r="H809" s="20" t="str">
        <f ca="1">IFERROR(__xludf.DUMMYFUNCTION("IF(COUNTIFS($C$2:C809, C809, $A$2:A809, ""&lt;="" &amp; A809) &lt; 30, AVERAGEIF($C$2:C809, C809, $G$2:G809), AVERAGE(FILTER($G$2:G809, $C$2:C809 = C809, $A$2:A809 &gt;= A809 - 30)))
"),"#DIV/0!")</f>
        <v>#DIV/0!</v>
      </c>
      <c r="I809" s="20" t="e">
        <f t="shared" ca="1" si="16"/>
        <v>#DIV/0!</v>
      </c>
      <c r="J809" s="20" t="str">
        <f ca="1">IFERROR(__xludf.DUMMYFUNCTION("IF(OR($I809=2, $I809=3), 0, IFERROR(COUNTIFS($C$2:C809, $C809, $A$2:A809, ""&gt;""&amp;IFERROR(MAX(FILTER($A$2:A809, $C$2:C809=$C809, $I$2:I809&lt;&gt;1)), 0), $I$2:I809, 1),1))
"),"#DIV/0!")</f>
        <v>#DIV/0!</v>
      </c>
      <c r="K809" s="7" t="e">
        <f t="shared" ca="1" si="17"/>
        <v>#DIV/0!</v>
      </c>
      <c r="L809" s="20" t="e">
        <f t="shared" ca="1" si="18"/>
        <v>#DIV/0!</v>
      </c>
      <c r="M809" s="21" t="e">
        <f t="shared" ca="1" si="19"/>
        <v>#DIV/0!</v>
      </c>
      <c r="N809" s="20" t="str">
        <f ca="1">IFERROR(__xludf.DUMMYFUNCTION("IF(COUNTIFS($C$2:C809, C809, $A$2:A809, ""&lt;="" &amp; A809) &lt; 30, STDEV.P(FILTER($G$2:G809, $C$2:C809 = C809)), STDEV.P(FILTER($G$2:G809, $C$2:C809 = C809, $A$2:A809 &gt;= A809 - 30)))
"),"#DIV/0!")</f>
        <v>#DIV/0!</v>
      </c>
    </row>
    <row r="810" spans="1:14" x14ac:dyDescent="0.2">
      <c r="A810" s="41"/>
      <c r="B810" s="32"/>
      <c r="C810" s="32"/>
      <c r="D810" s="33"/>
      <c r="E810" s="33"/>
      <c r="F810" s="33"/>
      <c r="G810" s="19" t="e">
        <f t="shared" si="15"/>
        <v>#DIV/0!</v>
      </c>
      <c r="H810" s="20" t="str">
        <f ca="1">IFERROR(__xludf.DUMMYFUNCTION("IF(COUNTIFS($C$2:C810, C810, $A$2:A810, ""&lt;="" &amp; A810) &lt; 30, AVERAGEIF($C$2:C810, C810, $G$2:G810), AVERAGE(FILTER($G$2:G810, $C$2:C810 = C810, $A$2:A810 &gt;= A810 - 30)))
"),"#DIV/0!")</f>
        <v>#DIV/0!</v>
      </c>
      <c r="I810" s="20" t="e">
        <f t="shared" ca="1" si="16"/>
        <v>#DIV/0!</v>
      </c>
      <c r="J810" s="20" t="str">
        <f ca="1">IFERROR(__xludf.DUMMYFUNCTION("IF(OR($I810=2, $I810=3), 0, IFERROR(COUNTIFS($C$2:C810, $C810, $A$2:A810, ""&gt;""&amp;IFERROR(MAX(FILTER($A$2:A810, $C$2:C810=$C810, $I$2:I810&lt;&gt;1)), 0), $I$2:I810, 1),1))
"),"#DIV/0!")</f>
        <v>#DIV/0!</v>
      </c>
      <c r="K810" s="7" t="e">
        <f t="shared" ca="1" si="17"/>
        <v>#DIV/0!</v>
      </c>
      <c r="L810" s="20" t="e">
        <f t="shared" ca="1" si="18"/>
        <v>#DIV/0!</v>
      </c>
      <c r="M810" s="21" t="e">
        <f t="shared" ca="1" si="19"/>
        <v>#DIV/0!</v>
      </c>
      <c r="N810" s="20" t="str">
        <f ca="1">IFERROR(__xludf.DUMMYFUNCTION("IF(COUNTIFS($C$2:C810, C810, $A$2:A810, ""&lt;="" &amp; A810) &lt; 30, STDEV.P(FILTER($G$2:G810, $C$2:C810 = C810)), STDEV.P(FILTER($G$2:G810, $C$2:C810 = C810, $A$2:A810 &gt;= A810 - 30)))
"),"#DIV/0!")</f>
        <v>#DIV/0!</v>
      </c>
    </row>
    <row r="811" spans="1:14" x14ac:dyDescent="0.2">
      <c r="A811" s="41"/>
      <c r="B811" s="32"/>
      <c r="C811" s="32"/>
      <c r="D811" s="33"/>
      <c r="E811" s="33"/>
      <c r="F811" s="33"/>
      <c r="G811" s="19" t="e">
        <f t="shared" si="15"/>
        <v>#DIV/0!</v>
      </c>
      <c r="H811" s="20" t="str">
        <f ca="1">IFERROR(__xludf.DUMMYFUNCTION("IF(COUNTIFS($C$2:C811, C811, $A$2:A811, ""&lt;="" &amp; A811) &lt; 30, AVERAGEIF($C$2:C811, C811, $G$2:G811), AVERAGE(FILTER($G$2:G811, $C$2:C811 = C811, $A$2:A811 &gt;= A811 - 30)))
"),"#DIV/0!")</f>
        <v>#DIV/0!</v>
      </c>
      <c r="I811" s="20" t="e">
        <f t="shared" ca="1" si="16"/>
        <v>#DIV/0!</v>
      </c>
      <c r="J811" s="20" t="str">
        <f ca="1">IFERROR(__xludf.DUMMYFUNCTION("IF(OR($I811=2, $I811=3), 0, IFERROR(COUNTIFS($C$2:C811, $C811, $A$2:A811, ""&gt;""&amp;IFERROR(MAX(FILTER($A$2:A811, $C$2:C811=$C811, $I$2:I811&lt;&gt;1)), 0), $I$2:I811, 1),1))
"),"#DIV/0!")</f>
        <v>#DIV/0!</v>
      </c>
      <c r="K811" s="7" t="e">
        <f t="shared" ca="1" si="17"/>
        <v>#DIV/0!</v>
      </c>
      <c r="L811" s="20" t="e">
        <f t="shared" ca="1" si="18"/>
        <v>#DIV/0!</v>
      </c>
      <c r="M811" s="21" t="e">
        <f t="shared" ca="1" si="19"/>
        <v>#DIV/0!</v>
      </c>
      <c r="N811" s="20" t="str">
        <f ca="1">IFERROR(__xludf.DUMMYFUNCTION("IF(COUNTIFS($C$2:C811, C811, $A$2:A811, ""&lt;="" &amp; A811) &lt; 30, STDEV.P(FILTER($G$2:G811, $C$2:C811 = C811)), STDEV.P(FILTER($G$2:G811, $C$2:C811 = C811, $A$2:A811 &gt;= A811 - 30)))
"),"#DIV/0!")</f>
        <v>#DIV/0!</v>
      </c>
    </row>
    <row r="812" spans="1:14" x14ac:dyDescent="0.2">
      <c r="A812" s="41"/>
      <c r="B812" s="32"/>
      <c r="C812" s="32"/>
      <c r="D812" s="33"/>
      <c r="E812" s="33"/>
      <c r="F812" s="33"/>
      <c r="G812" s="19" t="e">
        <f t="shared" si="15"/>
        <v>#DIV/0!</v>
      </c>
      <c r="H812" s="20" t="str">
        <f ca="1">IFERROR(__xludf.DUMMYFUNCTION("IF(COUNTIFS($C$2:C812, C812, $A$2:A812, ""&lt;="" &amp; A812) &lt; 30, AVERAGEIF($C$2:C812, C812, $G$2:G812), AVERAGE(FILTER($G$2:G812, $C$2:C812 = C812, $A$2:A812 &gt;= A812 - 30)))
"),"#DIV/0!")</f>
        <v>#DIV/0!</v>
      </c>
      <c r="I812" s="20" t="e">
        <f t="shared" ca="1" si="16"/>
        <v>#DIV/0!</v>
      </c>
      <c r="J812" s="20" t="str">
        <f ca="1">IFERROR(__xludf.DUMMYFUNCTION("IF(OR($I812=2, $I812=3), 0, IFERROR(COUNTIFS($C$2:C812, $C812, $A$2:A812, ""&gt;""&amp;IFERROR(MAX(FILTER($A$2:A812, $C$2:C812=$C812, $I$2:I812&lt;&gt;1)), 0), $I$2:I812, 1),1))
"),"#DIV/0!")</f>
        <v>#DIV/0!</v>
      </c>
      <c r="K812" s="7" t="e">
        <f t="shared" ca="1" si="17"/>
        <v>#DIV/0!</v>
      </c>
      <c r="L812" s="20" t="e">
        <f t="shared" ca="1" si="18"/>
        <v>#DIV/0!</v>
      </c>
      <c r="M812" s="21" t="e">
        <f t="shared" ca="1" si="19"/>
        <v>#DIV/0!</v>
      </c>
      <c r="N812" s="20" t="str">
        <f ca="1">IFERROR(__xludf.DUMMYFUNCTION("IF(COUNTIFS($C$2:C812, C812, $A$2:A812, ""&lt;="" &amp; A812) &lt; 30, STDEV.P(FILTER($G$2:G812, $C$2:C812 = C812)), STDEV.P(FILTER($G$2:G812, $C$2:C812 = C812, $A$2:A812 &gt;= A812 - 30)))
"),"#DIV/0!")</f>
        <v>#DIV/0!</v>
      </c>
    </row>
    <row r="813" spans="1:14" x14ac:dyDescent="0.2">
      <c r="A813" s="41"/>
      <c r="B813" s="32"/>
      <c r="C813" s="32"/>
      <c r="D813" s="33"/>
      <c r="E813" s="33"/>
      <c r="F813" s="33"/>
      <c r="G813" s="19" t="e">
        <f t="shared" si="15"/>
        <v>#DIV/0!</v>
      </c>
      <c r="H813" s="20" t="str">
        <f ca="1">IFERROR(__xludf.DUMMYFUNCTION("IF(COUNTIFS($C$2:C813, C813, $A$2:A813, ""&lt;="" &amp; A813) &lt; 30, AVERAGEIF($C$2:C813, C813, $G$2:G813), AVERAGE(FILTER($G$2:G813, $C$2:C813 = C813, $A$2:A813 &gt;= A813 - 30)))
"),"#DIV/0!")</f>
        <v>#DIV/0!</v>
      </c>
      <c r="I813" s="20" t="e">
        <f t="shared" ca="1" si="16"/>
        <v>#DIV/0!</v>
      </c>
      <c r="J813" s="20" t="str">
        <f ca="1">IFERROR(__xludf.DUMMYFUNCTION("IF(OR($I813=2, $I813=3), 0, IFERROR(COUNTIFS($C$2:C813, $C813, $A$2:A813, ""&gt;""&amp;IFERROR(MAX(FILTER($A$2:A813, $C$2:C813=$C813, $I$2:I813&lt;&gt;1)), 0), $I$2:I813, 1),1))
"),"#DIV/0!")</f>
        <v>#DIV/0!</v>
      </c>
      <c r="K813" s="7" t="e">
        <f t="shared" ca="1" si="17"/>
        <v>#DIV/0!</v>
      </c>
      <c r="L813" s="20" t="e">
        <f t="shared" ca="1" si="18"/>
        <v>#DIV/0!</v>
      </c>
      <c r="M813" s="21" t="e">
        <f t="shared" ca="1" si="19"/>
        <v>#DIV/0!</v>
      </c>
      <c r="N813" s="20" t="str">
        <f ca="1">IFERROR(__xludf.DUMMYFUNCTION("IF(COUNTIFS($C$2:C813, C813, $A$2:A813, ""&lt;="" &amp; A813) &lt; 30, STDEV.P(FILTER($G$2:G813, $C$2:C813 = C813)), STDEV.P(FILTER($G$2:G813, $C$2:C813 = C813, $A$2:A813 &gt;= A813 - 30)))
"),"#DIV/0!")</f>
        <v>#DIV/0!</v>
      </c>
    </row>
    <row r="814" spans="1:14" x14ac:dyDescent="0.2">
      <c r="A814" s="41"/>
      <c r="B814" s="32"/>
      <c r="C814" s="32"/>
      <c r="D814" s="33"/>
      <c r="E814" s="33"/>
      <c r="F814" s="33"/>
      <c r="G814" s="19" t="e">
        <f t="shared" si="15"/>
        <v>#DIV/0!</v>
      </c>
      <c r="H814" s="20" t="str">
        <f ca="1">IFERROR(__xludf.DUMMYFUNCTION("IF(COUNTIFS($C$2:C814, C814, $A$2:A814, ""&lt;="" &amp; A814) &lt; 30, AVERAGEIF($C$2:C814, C814, $G$2:G814), AVERAGE(FILTER($G$2:G814, $C$2:C814 = C814, $A$2:A814 &gt;= A814 - 30)))
"),"#DIV/0!")</f>
        <v>#DIV/0!</v>
      </c>
      <c r="I814" s="20" t="e">
        <f t="shared" ca="1" si="16"/>
        <v>#DIV/0!</v>
      </c>
      <c r="J814" s="20" t="str">
        <f ca="1">IFERROR(__xludf.DUMMYFUNCTION("IF(OR($I814=2, $I814=3), 0, IFERROR(COUNTIFS($C$2:C814, $C814, $A$2:A814, ""&gt;""&amp;IFERROR(MAX(FILTER($A$2:A814, $C$2:C814=$C814, $I$2:I814&lt;&gt;1)), 0), $I$2:I814, 1),1))
"),"#DIV/0!")</f>
        <v>#DIV/0!</v>
      </c>
      <c r="K814" s="7" t="e">
        <f t="shared" ca="1" si="17"/>
        <v>#DIV/0!</v>
      </c>
      <c r="L814" s="20" t="e">
        <f t="shared" ca="1" si="18"/>
        <v>#DIV/0!</v>
      </c>
      <c r="M814" s="21" t="e">
        <f t="shared" ca="1" si="19"/>
        <v>#DIV/0!</v>
      </c>
      <c r="N814" s="20" t="str">
        <f ca="1">IFERROR(__xludf.DUMMYFUNCTION("IF(COUNTIFS($C$2:C814, C814, $A$2:A814, ""&lt;="" &amp; A814) &lt; 30, STDEV.P(FILTER($G$2:G814, $C$2:C814 = C814)), STDEV.P(FILTER($G$2:G814, $C$2:C814 = C814, $A$2:A814 &gt;= A814 - 30)))
"),"#DIV/0!")</f>
        <v>#DIV/0!</v>
      </c>
    </row>
    <row r="815" spans="1:14" x14ac:dyDescent="0.2">
      <c r="A815" s="41"/>
      <c r="B815" s="32"/>
      <c r="C815" s="32"/>
      <c r="D815" s="33"/>
      <c r="E815" s="33"/>
      <c r="F815" s="33"/>
      <c r="G815" s="19" t="e">
        <f t="shared" si="15"/>
        <v>#DIV/0!</v>
      </c>
      <c r="H815" s="20" t="str">
        <f ca="1">IFERROR(__xludf.DUMMYFUNCTION("IF(COUNTIFS($C$2:C815, C815, $A$2:A815, ""&lt;="" &amp; A815) &lt; 30, AVERAGEIF($C$2:C815, C815, $G$2:G815), AVERAGE(FILTER($G$2:G815, $C$2:C815 = C815, $A$2:A815 &gt;= A815 - 30)))
"),"#DIV/0!")</f>
        <v>#DIV/0!</v>
      </c>
      <c r="I815" s="20" t="e">
        <f t="shared" ca="1" si="16"/>
        <v>#DIV/0!</v>
      </c>
      <c r="J815" s="20" t="str">
        <f ca="1">IFERROR(__xludf.DUMMYFUNCTION("IF(OR($I815=2, $I815=3), 0, IFERROR(COUNTIFS($C$2:C815, $C815, $A$2:A815, ""&gt;""&amp;IFERROR(MAX(FILTER($A$2:A815, $C$2:C815=$C815, $I$2:I815&lt;&gt;1)), 0), $I$2:I815, 1),1))
"),"#DIV/0!")</f>
        <v>#DIV/0!</v>
      </c>
      <c r="K815" s="7" t="e">
        <f t="shared" ca="1" si="17"/>
        <v>#DIV/0!</v>
      </c>
      <c r="L815" s="20" t="e">
        <f t="shared" ca="1" si="18"/>
        <v>#DIV/0!</v>
      </c>
      <c r="M815" s="21" t="e">
        <f t="shared" ca="1" si="19"/>
        <v>#DIV/0!</v>
      </c>
      <c r="N815" s="20" t="str">
        <f ca="1">IFERROR(__xludf.DUMMYFUNCTION("IF(COUNTIFS($C$2:C815, C815, $A$2:A815, ""&lt;="" &amp; A815) &lt; 30, STDEV.P(FILTER($G$2:G815, $C$2:C815 = C815)), STDEV.P(FILTER($G$2:G815, $C$2:C815 = C815, $A$2:A815 &gt;= A815 - 30)))
"),"#DIV/0!")</f>
        <v>#DIV/0!</v>
      </c>
    </row>
    <row r="816" spans="1:14" x14ac:dyDescent="0.2">
      <c r="A816" s="41"/>
      <c r="B816" s="32"/>
      <c r="C816" s="32"/>
      <c r="D816" s="33"/>
      <c r="E816" s="33"/>
      <c r="F816" s="33"/>
      <c r="G816" s="19" t="e">
        <f t="shared" si="15"/>
        <v>#DIV/0!</v>
      </c>
      <c r="H816" s="20" t="str">
        <f ca="1">IFERROR(__xludf.DUMMYFUNCTION("IF(COUNTIFS($C$2:C816, C816, $A$2:A816, ""&lt;="" &amp; A816) &lt; 30, AVERAGEIF($C$2:C816, C816, $G$2:G816), AVERAGE(FILTER($G$2:G816, $C$2:C816 = C816, $A$2:A816 &gt;= A816 - 30)))
"),"#DIV/0!")</f>
        <v>#DIV/0!</v>
      </c>
      <c r="I816" s="20" t="e">
        <f t="shared" ca="1" si="16"/>
        <v>#DIV/0!</v>
      </c>
      <c r="J816" s="20" t="str">
        <f ca="1">IFERROR(__xludf.DUMMYFUNCTION("IF(OR($I816=2, $I816=3), 0, IFERROR(COUNTIFS($C$2:C816, $C816, $A$2:A816, ""&gt;""&amp;IFERROR(MAX(FILTER($A$2:A816, $C$2:C816=$C816, $I$2:I816&lt;&gt;1)), 0), $I$2:I816, 1),1))
"),"#DIV/0!")</f>
        <v>#DIV/0!</v>
      </c>
      <c r="K816" s="7" t="e">
        <f t="shared" ca="1" si="17"/>
        <v>#DIV/0!</v>
      </c>
      <c r="L816" s="20" t="e">
        <f t="shared" ca="1" si="18"/>
        <v>#DIV/0!</v>
      </c>
      <c r="M816" s="21" t="e">
        <f t="shared" ca="1" si="19"/>
        <v>#DIV/0!</v>
      </c>
      <c r="N816" s="20" t="str">
        <f ca="1">IFERROR(__xludf.DUMMYFUNCTION("IF(COUNTIFS($C$2:C816, C816, $A$2:A816, ""&lt;="" &amp; A816) &lt; 30, STDEV.P(FILTER($G$2:G816, $C$2:C816 = C816)), STDEV.P(FILTER($G$2:G816, $C$2:C816 = C816, $A$2:A816 &gt;= A816 - 30)))
"),"#DIV/0!")</f>
        <v>#DIV/0!</v>
      </c>
    </row>
    <row r="817" spans="1:14" x14ac:dyDescent="0.2">
      <c r="A817" s="41"/>
      <c r="B817" s="32"/>
      <c r="C817" s="32"/>
      <c r="D817" s="33"/>
      <c r="E817" s="33"/>
      <c r="F817" s="33"/>
      <c r="G817" s="19" t="e">
        <f t="shared" si="15"/>
        <v>#DIV/0!</v>
      </c>
      <c r="H817" s="20" t="str">
        <f ca="1">IFERROR(__xludf.DUMMYFUNCTION("IF(COUNTIFS($C$2:C817, C817, $A$2:A817, ""&lt;="" &amp; A817) &lt; 30, AVERAGEIF($C$2:C817, C817, $G$2:G817), AVERAGE(FILTER($G$2:G817, $C$2:C817 = C817, $A$2:A817 &gt;= A817 - 30)))
"),"#DIV/0!")</f>
        <v>#DIV/0!</v>
      </c>
      <c r="I817" s="20" t="e">
        <f t="shared" ca="1" si="16"/>
        <v>#DIV/0!</v>
      </c>
      <c r="J817" s="20" t="str">
        <f ca="1">IFERROR(__xludf.DUMMYFUNCTION("IF(OR($I817=2, $I817=3), 0, IFERROR(COUNTIFS($C$2:C817, $C817, $A$2:A817, ""&gt;""&amp;IFERROR(MAX(FILTER($A$2:A817, $C$2:C817=$C817, $I$2:I817&lt;&gt;1)), 0), $I$2:I817, 1),1))
"),"#DIV/0!")</f>
        <v>#DIV/0!</v>
      </c>
      <c r="K817" s="7" t="e">
        <f t="shared" ca="1" si="17"/>
        <v>#DIV/0!</v>
      </c>
      <c r="L817" s="20" t="e">
        <f t="shared" ca="1" si="18"/>
        <v>#DIV/0!</v>
      </c>
      <c r="M817" s="21" t="e">
        <f t="shared" ca="1" si="19"/>
        <v>#DIV/0!</v>
      </c>
      <c r="N817" s="20" t="str">
        <f ca="1">IFERROR(__xludf.DUMMYFUNCTION("IF(COUNTIFS($C$2:C817, C817, $A$2:A817, ""&lt;="" &amp; A817) &lt; 30, STDEV.P(FILTER($G$2:G817, $C$2:C817 = C817)), STDEV.P(FILTER($G$2:G817, $C$2:C817 = C817, $A$2:A817 &gt;= A817 - 30)))
"),"#DIV/0!")</f>
        <v>#DIV/0!</v>
      </c>
    </row>
    <row r="818" spans="1:14" x14ac:dyDescent="0.2">
      <c r="A818" s="41"/>
      <c r="B818" s="40"/>
      <c r="C818" s="40"/>
      <c r="D818" s="31"/>
      <c r="E818" s="31"/>
      <c r="F818" s="31"/>
      <c r="G818" s="19" t="e">
        <f t="shared" si="15"/>
        <v>#DIV/0!</v>
      </c>
      <c r="H818" s="20" t="str">
        <f ca="1">IFERROR(__xludf.DUMMYFUNCTION("IF(COUNTIFS($C$2:C818, C818, $A$2:A818, ""&lt;="" &amp; A818) &lt; 30, AVERAGEIF($C$2:C818, C818, $G$2:G818), AVERAGE(FILTER($G$2:G818, $C$2:C818 = C818, $A$2:A818 &gt;= A818 - 30)))
"),"#DIV/0!")</f>
        <v>#DIV/0!</v>
      </c>
      <c r="I818" s="20" t="e">
        <f t="shared" ca="1" si="16"/>
        <v>#DIV/0!</v>
      </c>
      <c r="J818" s="20" t="str">
        <f ca="1">IFERROR(__xludf.DUMMYFUNCTION("IF(OR($I818=2, $I818=3), 0, IFERROR(COUNTIFS($C$2:C818, $C818, $A$2:A818, ""&gt;""&amp;IFERROR(MAX(FILTER($A$2:A818, $C$2:C818=$C818, $I$2:I818&lt;&gt;1)), 0), $I$2:I818, 1),1))
"),"#DIV/0!")</f>
        <v>#DIV/0!</v>
      </c>
      <c r="K818" s="7" t="e">
        <f t="shared" ca="1" si="17"/>
        <v>#DIV/0!</v>
      </c>
      <c r="L818" s="20" t="e">
        <f t="shared" ca="1" si="18"/>
        <v>#DIV/0!</v>
      </c>
      <c r="M818" s="21" t="e">
        <f t="shared" ca="1" si="19"/>
        <v>#DIV/0!</v>
      </c>
      <c r="N818" s="20" t="str">
        <f ca="1">IFERROR(__xludf.DUMMYFUNCTION("IF(COUNTIFS($C$2:C818, C818, $A$2:A818, ""&lt;="" &amp; A818) &lt; 30, STDEV.P(FILTER($G$2:G818, $C$2:C818 = C818)), STDEV.P(FILTER($G$2:G818, $C$2:C818 = C818, $A$2:A818 &gt;= A818 - 30)))
"),"#DIV/0!")</f>
        <v>#DIV/0!</v>
      </c>
    </row>
    <row r="819" spans="1:14" x14ac:dyDescent="0.2">
      <c r="A819" s="41"/>
      <c r="B819" s="40"/>
      <c r="C819" s="40"/>
      <c r="D819" s="31"/>
      <c r="E819" s="31"/>
      <c r="F819" s="31"/>
      <c r="G819" s="19" t="e">
        <f t="shared" si="15"/>
        <v>#DIV/0!</v>
      </c>
      <c r="H819" s="20" t="str">
        <f ca="1">IFERROR(__xludf.DUMMYFUNCTION("IF(COUNTIFS($C$2:C819, C819, $A$2:A819, ""&lt;="" &amp; A819) &lt; 30, AVERAGEIF($C$2:C819, C819, $G$2:G819), AVERAGE(FILTER($G$2:G819, $C$2:C819 = C819, $A$2:A819 &gt;= A819 - 30)))
"),"#DIV/0!")</f>
        <v>#DIV/0!</v>
      </c>
      <c r="I819" s="20" t="e">
        <f t="shared" ca="1" si="16"/>
        <v>#DIV/0!</v>
      </c>
      <c r="J819" s="20" t="str">
        <f ca="1">IFERROR(__xludf.DUMMYFUNCTION("IF(OR($I819=2, $I819=3), 0, IFERROR(COUNTIFS($C$2:C819, $C819, $A$2:A819, ""&gt;""&amp;IFERROR(MAX(FILTER($A$2:A819, $C$2:C819=$C819, $I$2:I819&lt;&gt;1)), 0), $I$2:I819, 1),1))
"),"#DIV/0!")</f>
        <v>#DIV/0!</v>
      </c>
      <c r="K819" s="7" t="e">
        <f t="shared" ca="1" si="17"/>
        <v>#DIV/0!</v>
      </c>
      <c r="L819" s="20" t="e">
        <f t="shared" ca="1" si="18"/>
        <v>#DIV/0!</v>
      </c>
      <c r="M819" s="21" t="e">
        <f t="shared" ca="1" si="19"/>
        <v>#DIV/0!</v>
      </c>
      <c r="N819" s="20" t="str">
        <f ca="1">IFERROR(__xludf.DUMMYFUNCTION("IF(COUNTIFS($C$2:C819, C819, $A$2:A819, ""&lt;="" &amp; A819) &lt; 30, STDEV.P(FILTER($G$2:G819, $C$2:C819 = C819)), STDEV.P(FILTER($G$2:G819, $C$2:C819 = C819, $A$2:A819 &gt;= A819 - 30)))
"),"#DIV/0!")</f>
        <v>#DIV/0!</v>
      </c>
    </row>
    <row r="820" spans="1:14" x14ac:dyDescent="0.2">
      <c r="A820" s="41"/>
      <c r="B820" s="40"/>
      <c r="C820" s="40"/>
      <c r="D820" s="31"/>
      <c r="E820" s="31"/>
      <c r="F820" s="31"/>
      <c r="G820" s="19" t="e">
        <f t="shared" si="15"/>
        <v>#DIV/0!</v>
      </c>
      <c r="H820" s="20" t="str">
        <f ca="1">IFERROR(__xludf.DUMMYFUNCTION("IF(COUNTIFS($C$2:C820, C820, $A$2:A820, ""&lt;="" &amp; A820) &lt; 30, AVERAGEIF($C$2:C820, C820, $G$2:G820), AVERAGE(FILTER($G$2:G820, $C$2:C820 = C820, $A$2:A820 &gt;= A820 - 30)))
"),"#DIV/0!")</f>
        <v>#DIV/0!</v>
      </c>
      <c r="I820" s="20" t="e">
        <f t="shared" ca="1" si="16"/>
        <v>#DIV/0!</v>
      </c>
      <c r="J820" s="20" t="str">
        <f ca="1">IFERROR(__xludf.DUMMYFUNCTION("IF(OR($I820=2, $I820=3), 0, IFERROR(COUNTIFS($C$2:C820, $C820, $A$2:A820, ""&gt;""&amp;IFERROR(MAX(FILTER($A$2:A820, $C$2:C820=$C820, $I$2:I820&lt;&gt;1)), 0), $I$2:I820, 1),1))
"),"#DIV/0!")</f>
        <v>#DIV/0!</v>
      </c>
      <c r="K820" s="7" t="e">
        <f t="shared" ca="1" si="17"/>
        <v>#DIV/0!</v>
      </c>
      <c r="L820" s="20" t="e">
        <f t="shared" ca="1" si="18"/>
        <v>#DIV/0!</v>
      </c>
      <c r="M820" s="21" t="e">
        <f t="shared" ca="1" si="19"/>
        <v>#DIV/0!</v>
      </c>
      <c r="N820" s="20" t="str">
        <f ca="1">IFERROR(__xludf.DUMMYFUNCTION("IF(COUNTIFS($C$2:C820, C820, $A$2:A820, ""&lt;="" &amp; A820) &lt; 30, STDEV.P(FILTER($G$2:G820, $C$2:C820 = C820)), STDEV.P(FILTER($G$2:G820, $C$2:C820 = C820, $A$2:A820 &gt;= A820 - 30)))
"),"#DIV/0!")</f>
        <v>#DIV/0!</v>
      </c>
    </row>
    <row r="821" spans="1:14" x14ac:dyDescent="0.2">
      <c r="A821" s="41"/>
      <c r="B821" s="40"/>
      <c r="C821" s="40"/>
      <c r="D821" s="31"/>
      <c r="E821" s="31"/>
      <c r="F821" s="31"/>
      <c r="G821" s="19" t="e">
        <f t="shared" si="15"/>
        <v>#DIV/0!</v>
      </c>
      <c r="H821" s="20" t="str">
        <f ca="1">IFERROR(__xludf.DUMMYFUNCTION("IF(COUNTIFS($C$2:C821, C821, $A$2:A821, ""&lt;="" &amp; A821) &lt; 30, AVERAGEIF($C$2:C821, C821, $G$2:G821), AVERAGE(FILTER($G$2:G821, $C$2:C821 = C821, $A$2:A821 &gt;= A821 - 30)))
"),"#DIV/0!")</f>
        <v>#DIV/0!</v>
      </c>
      <c r="I821" s="20" t="e">
        <f t="shared" ca="1" si="16"/>
        <v>#DIV/0!</v>
      </c>
      <c r="J821" s="20" t="str">
        <f ca="1">IFERROR(__xludf.DUMMYFUNCTION("IF(OR($I821=2, $I821=3), 0, IFERROR(COUNTIFS($C$2:C821, $C821, $A$2:A821, ""&gt;""&amp;IFERROR(MAX(FILTER($A$2:A821, $C$2:C821=$C821, $I$2:I821&lt;&gt;1)), 0), $I$2:I821, 1),1))
"),"#DIV/0!")</f>
        <v>#DIV/0!</v>
      </c>
      <c r="K821" s="7" t="e">
        <f t="shared" ca="1" si="17"/>
        <v>#DIV/0!</v>
      </c>
      <c r="L821" s="20" t="e">
        <f t="shared" ca="1" si="18"/>
        <v>#DIV/0!</v>
      </c>
      <c r="M821" s="21" t="e">
        <f t="shared" ca="1" si="19"/>
        <v>#DIV/0!</v>
      </c>
      <c r="N821" s="20" t="str">
        <f ca="1">IFERROR(__xludf.DUMMYFUNCTION("IF(COUNTIFS($C$2:C821, C821, $A$2:A821, ""&lt;="" &amp; A821) &lt; 30, STDEV.P(FILTER($G$2:G821, $C$2:C821 = C821)), STDEV.P(FILTER($G$2:G821, $C$2:C821 = C821, $A$2:A821 &gt;= A821 - 30)))
"),"#DIV/0!")</f>
        <v>#DIV/0!</v>
      </c>
    </row>
    <row r="822" spans="1:14" x14ac:dyDescent="0.2">
      <c r="A822" s="41"/>
      <c r="B822" s="40"/>
      <c r="C822" s="40"/>
      <c r="D822" s="31"/>
      <c r="E822" s="31"/>
      <c r="F822" s="31"/>
      <c r="G822" s="19" t="e">
        <f t="shared" si="15"/>
        <v>#DIV/0!</v>
      </c>
      <c r="H822" s="20" t="str">
        <f ca="1">IFERROR(__xludf.DUMMYFUNCTION("IF(COUNTIFS($C$2:C822, C822, $A$2:A822, ""&lt;="" &amp; A822) &lt; 30, AVERAGEIF($C$2:C822, C822, $G$2:G822), AVERAGE(FILTER($G$2:G822, $C$2:C822 = C822, $A$2:A822 &gt;= A822 - 30)))
"),"#DIV/0!")</f>
        <v>#DIV/0!</v>
      </c>
      <c r="I822" s="20" t="e">
        <f t="shared" ca="1" si="16"/>
        <v>#DIV/0!</v>
      </c>
      <c r="J822" s="20" t="str">
        <f ca="1">IFERROR(__xludf.DUMMYFUNCTION("IF(OR($I822=2, $I822=3), 0, IFERROR(COUNTIFS($C$2:C822, $C822, $A$2:A822, ""&gt;""&amp;IFERROR(MAX(FILTER($A$2:A822, $C$2:C822=$C822, $I$2:I822&lt;&gt;1)), 0), $I$2:I822, 1),1))
"),"#DIV/0!")</f>
        <v>#DIV/0!</v>
      </c>
      <c r="K822" s="7" t="e">
        <f t="shared" ca="1" si="17"/>
        <v>#DIV/0!</v>
      </c>
      <c r="L822" s="20" t="e">
        <f t="shared" ca="1" si="18"/>
        <v>#DIV/0!</v>
      </c>
      <c r="M822" s="21" t="e">
        <f t="shared" ca="1" si="19"/>
        <v>#DIV/0!</v>
      </c>
      <c r="N822" s="20" t="str">
        <f ca="1">IFERROR(__xludf.DUMMYFUNCTION("IF(COUNTIFS($C$2:C822, C822, $A$2:A822, ""&lt;="" &amp; A822) &lt; 30, STDEV.P(FILTER($G$2:G822, $C$2:C822 = C822)), STDEV.P(FILTER($G$2:G822, $C$2:C822 = C822, $A$2:A822 &gt;= A822 - 30)))
"),"#DIV/0!")</f>
        <v>#DIV/0!</v>
      </c>
    </row>
    <row r="823" spans="1:14" x14ac:dyDescent="0.2">
      <c r="A823" s="41"/>
      <c r="B823" s="40"/>
      <c r="C823" s="40"/>
      <c r="D823" s="31"/>
      <c r="E823" s="31"/>
      <c r="F823" s="31"/>
      <c r="G823" s="19" t="e">
        <f t="shared" si="15"/>
        <v>#DIV/0!</v>
      </c>
      <c r="H823" s="20" t="str">
        <f ca="1">IFERROR(__xludf.DUMMYFUNCTION("IF(COUNTIFS($C$2:C823, C823, $A$2:A823, ""&lt;="" &amp; A823) &lt; 30, AVERAGEIF($C$2:C823, C823, $G$2:G823), AVERAGE(FILTER($G$2:G823, $C$2:C823 = C823, $A$2:A823 &gt;= A823 - 30)))
"),"#DIV/0!")</f>
        <v>#DIV/0!</v>
      </c>
      <c r="I823" s="20" t="e">
        <f t="shared" ca="1" si="16"/>
        <v>#DIV/0!</v>
      </c>
      <c r="J823" s="20" t="str">
        <f ca="1">IFERROR(__xludf.DUMMYFUNCTION("IF(OR($I823=2, $I823=3), 0, IFERROR(COUNTIFS($C$2:C823, $C823, $A$2:A823, ""&gt;""&amp;IFERROR(MAX(FILTER($A$2:A823, $C$2:C823=$C823, $I$2:I823&lt;&gt;1)), 0), $I$2:I823, 1),1))
"),"#DIV/0!")</f>
        <v>#DIV/0!</v>
      </c>
      <c r="K823" s="7" t="e">
        <f t="shared" ca="1" si="17"/>
        <v>#DIV/0!</v>
      </c>
      <c r="L823" s="20" t="e">
        <f t="shared" ca="1" si="18"/>
        <v>#DIV/0!</v>
      </c>
      <c r="M823" s="21" t="e">
        <f t="shared" ca="1" si="19"/>
        <v>#DIV/0!</v>
      </c>
      <c r="N823" s="20" t="str">
        <f ca="1">IFERROR(__xludf.DUMMYFUNCTION("IF(COUNTIFS($C$2:C823, C823, $A$2:A823, ""&lt;="" &amp; A823) &lt; 30, STDEV.P(FILTER($G$2:G823, $C$2:C823 = C823)), STDEV.P(FILTER($G$2:G823, $C$2:C823 = C823, $A$2:A823 &gt;= A823 - 30)))
"),"#DIV/0!")</f>
        <v>#DIV/0!</v>
      </c>
    </row>
    <row r="824" spans="1:14" x14ac:dyDescent="0.2">
      <c r="A824" s="41"/>
      <c r="B824" s="32"/>
      <c r="C824" s="32"/>
      <c r="D824" s="33"/>
      <c r="E824" s="33"/>
      <c r="F824" s="33"/>
      <c r="G824" s="19" t="e">
        <f t="shared" si="15"/>
        <v>#DIV/0!</v>
      </c>
      <c r="H824" s="20" t="str">
        <f ca="1">IFERROR(__xludf.DUMMYFUNCTION("IF(COUNTIFS($C$2:C824, C824, $A$2:A824, ""&lt;="" &amp; A824) &lt; 30, AVERAGEIF($C$2:C824, C824, $G$2:G824), AVERAGE(FILTER($G$2:G824, $C$2:C824 = C824, $A$2:A824 &gt;= A824 - 30)))
"),"#DIV/0!")</f>
        <v>#DIV/0!</v>
      </c>
      <c r="I824" s="20" t="e">
        <f t="shared" ca="1" si="16"/>
        <v>#DIV/0!</v>
      </c>
      <c r="J824" s="20" t="str">
        <f ca="1">IFERROR(__xludf.DUMMYFUNCTION("IF(OR($I824=2, $I824=3), 0, IFERROR(COUNTIFS($C$2:C824, $C824, $A$2:A824, ""&gt;""&amp;IFERROR(MAX(FILTER($A$2:A824, $C$2:C824=$C824, $I$2:I824&lt;&gt;1)), 0), $I$2:I824, 1),1))
"),"#DIV/0!")</f>
        <v>#DIV/0!</v>
      </c>
      <c r="K824" s="7" t="e">
        <f t="shared" ca="1" si="17"/>
        <v>#DIV/0!</v>
      </c>
      <c r="L824" s="20" t="e">
        <f t="shared" ca="1" si="18"/>
        <v>#DIV/0!</v>
      </c>
      <c r="M824" s="21" t="e">
        <f t="shared" ca="1" si="19"/>
        <v>#DIV/0!</v>
      </c>
      <c r="N824" s="20" t="str">
        <f ca="1">IFERROR(__xludf.DUMMYFUNCTION("IF(COUNTIFS($C$2:C824, C824, $A$2:A824, ""&lt;="" &amp; A824) &lt; 30, STDEV.P(FILTER($G$2:G824, $C$2:C824 = C824)), STDEV.P(FILTER($G$2:G824, $C$2:C824 = C824, $A$2:A824 &gt;= A824 - 30)))
"),"#DIV/0!")</f>
        <v>#DIV/0!</v>
      </c>
    </row>
    <row r="825" spans="1:14" x14ac:dyDescent="0.2">
      <c r="A825" s="41"/>
      <c r="B825" s="32"/>
      <c r="C825" s="32"/>
      <c r="D825" s="33"/>
      <c r="E825" s="33"/>
      <c r="F825" s="33"/>
      <c r="G825" s="19" t="e">
        <f t="shared" si="15"/>
        <v>#DIV/0!</v>
      </c>
      <c r="H825" s="20" t="str">
        <f ca="1">IFERROR(__xludf.DUMMYFUNCTION("IF(COUNTIFS($C$2:C825, C825, $A$2:A825, ""&lt;="" &amp; A825) &lt; 30, AVERAGEIF($C$2:C825, C825, $G$2:G825), AVERAGE(FILTER($G$2:G825, $C$2:C825 = C825, $A$2:A825 &gt;= A825 - 30)))
"),"#DIV/0!")</f>
        <v>#DIV/0!</v>
      </c>
      <c r="I825" s="20" t="e">
        <f t="shared" ca="1" si="16"/>
        <v>#DIV/0!</v>
      </c>
      <c r="J825" s="20" t="str">
        <f ca="1">IFERROR(__xludf.DUMMYFUNCTION("IF(OR($I825=2, $I825=3), 0, IFERROR(COUNTIFS($C$2:C825, $C825, $A$2:A825, ""&gt;""&amp;IFERROR(MAX(FILTER($A$2:A825, $C$2:C825=$C825, $I$2:I825&lt;&gt;1)), 0), $I$2:I825, 1),1))
"),"#DIV/0!")</f>
        <v>#DIV/0!</v>
      </c>
      <c r="K825" s="7" t="e">
        <f t="shared" ca="1" si="17"/>
        <v>#DIV/0!</v>
      </c>
      <c r="L825" s="20" t="e">
        <f t="shared" ca="1" si="18"/>
        <v>#DIV/0!</v>
      </c>
      <c r="M825" s="21" t="e">
        <f t="shared" ca="1" si="19"/>
        <v>#DIV/0!</v>
      </c>
      <c r="N825" s="20" t="str">
        <f ca="1">IFERROR(__xludf.DUMMYFUNCTION("IF(COUNTIFS($C$2:C825, C825, $A$2:A825, ""&lt;="" &amp; A825) &lt; 30, STDEV.P(FILTER($G$2:G825, $C$2:C825 = C825)), STDEV.P(FILTER($G$2:G825, $C$2:C825 = C825, $A$2:A825 &gt;= A825 - 30)))
"),"#DIV/0!")</f>
        <v>#DIV/0!</v>
      </c>
    </row>
    <row r="826" spans="1:14" x14ac:dyDescent="0.2">
      <c r="A826" s="41"/>
      <c r="B826" s="32"/>
      <c r="C826" s="32"/>
      <c r="D826" s="33"/>
      <c r="E826" s="33"/>
      <c r="F826" s="33"/>
      <c r="G826" s="19" t="e">
        <f t="shared" si="15"/>
        <v>#DIV/0!</v>
      </c>
      <c r="H826" s="20" t="str">
        <f ca="1">IFERROR(__xludf.DUMMYFUNCTION("IF(COUNTIFS($C$2:C826, C826, $A$2:A826, ""&lt;="" &amp; A826) &lt; 30, AVERAGEIF($C$2:C826, C826, $G$2:G826), AVERAGE(FILTER($G$2:G826, $C$2:C826 = C826, $A$2:A826 &gt;= A826 - 30)))
"),"#DIV/0!")</f>
        <v>#DIV/0!</v>
      </c>
      <c r="I826" s="20" t="e">
        <f t="shared" ca="1" si="16"/>
        <v>#DIV/0!</v>
      </c>
      <c r="J826" s="20" t="str">
        <f ca="1">IFERROR(__xludf.DUMMYFUNCTION("IF(OR($I826=2, $I826=3), 0, IFERROR(COUNTIFS($C$2:C826, $C826, $A$2:A826, ""&gt;""&amp;IFERROR(MAX(FILTER($A$2:A826, $C$2:C826=$C826, $I$2:I826&lt;&gt;1)), 0), $I$2:I826, 1),1))
"),"#DIV/0!")</f>
        <v>#DIV/0!</v>
      </c>
      <c r="K826" s="7" t="e">
        <f t="shared" ca="1" si="17"/>
        <v>#DIV/0!</v>
      </c>
      <c r="L826" s="20" t="e">
        <f t="shared" ca="1" si="18"/>
        <v>#DIV/0!</v>
      </c>
      <c r="M826" s="21" t="e">
        <f t="shared" ca="1" si="19"/>
        <v>#DIV/0!</v>
      </c>
      <c r="N826" s="20" t="str">
        <f ca="1">IFERROR(__xludf.DUMMYFUNCTION("IF(COUNTIFS($C$2:C826, C826, $A$2:A826, ""&lt;="" &amp; A826) &lt; 30, STDEV.P(FILTER($G$2:G826, $C$2:C826 = C826)), STDEV.P(FILTER($G$2:G826, $C$2:C826 = C826, $A$2:A826 &gt;= A826 - 30)))
"),"#DIV/0!")</f>
        <v>#DIV/0!</v>
      </c>
    </row>
    <row r="827" spans="1:14" x14ac:dyDescent="0.2">
      <c r="A827" s="41"/>
      <c r="B827" s="32"/>
      <c r="C827" s="32"/>
      <c r="D827" s="33"/>
      <c r="E827" s="33"/>
      <c r="F827" s="33"/>
      <c r="G827" s="19" t="e">
        <f t="shared" si="15"/>
        <v>#DIV/0!</v>
      </c>
      <c r="H827" s="20" t="str">
        <f ca="1">IFERROR(__xludf.DUMMYFUNCTION("IF(COUNTIFS($C$2:C827, C827, $A$2:A827, ""&lt;="" &amp; A827) &lt; 30, AVERAGEIF($C$2:C827, C827, $G$2:G827), AVERAGE(FILTER($G$2:G827, $C$2:C827 = C827, $A$2:A827 &gt;= A827 - 30)))
"),"#DIV/0!")</f>
        <v>#DIV/0!</v>
      </c>
      <c r="I827" s="20" t="e">
        <f t="shared" ca="1" si="16"/>
        <v>#DIV/0!</v>
      </c>
      <c r="J827" s="20" t="str">
        <f ca="1">IFERROR(__xludf.DUMMYFUNCTION("IF(OR($I827=2, $I827=3), 0, IFERROR(COUNTIFS($C$2:C827, $C827, $A$2:A827, ""&gt;""&amp;IFERROR(MAX(FILTER($A$2:A827, $C$2:C827=$C827, $I$2:I827&lt;&gt;1)), 0), $I$2:I827, 1),1))
"),"#DIV/0!")</f>
        <v>#DIV/0!</v>
      </c>
      <c r="K827" s="7" t="e">
        <f t="shared" ca="1" si="17"/>
        <v>#DIV/0!</v>
      </c>
      <c r="L827" s="20" t="e">
        <f t="shared" ca="1" si="18"/>
        <v>#DIV/0!</v>
      </c>
      <c r="M827" s="21" t="e">
        <f t="shared" ca="1" si="19"/>
        <v>#DIV/0!</v>
      </c>
      <c r="N827" s="20" t="str">
        <f ca="1">IFERROR(__xludf.DUMMYFUNCTION("IF(COUNTIFS($C$2:C827, C827, $A$2:A827, ""&lt;="" &amp; A827) &lt; 30, STDEV.P(FILTER($G$2:G827, $C$2:C827 = C827)), STDEV.P(FILTER($G$2:G827, $C$2:C827 = C827, $A$2:A827 &gt;= A827 - 30)))
"),"#DIV/0!")</f>
        <v>#DIV/0!</v>
      </c>
    </row>
    <row r="828" spans="1:14" x14ac:dyDescent="0.2">
      <c r="A828" s="41"/>
      <c r="B828" s="32"/>
      <c r="C828" s="32"/>
      <c r="D828" s="33"/>
      <c r="E828" s="33"/>
      <c r="F828" s="33"/>
      <c r="G828" s="19" t="e">
        <f t="shared" si="15"/>
        <v>#DIV/0!</v>
      </c>
      <c r="H828" s="20" t="str">
        <f ca="1">IFERROR(__xludf.DUMMYFUNCTION("IF(COUNTIFS($C$2:C828, C828, $A$2:A828, ""&lt;="" &amp; A828) &lt; 30, AVERAGEIF($C$2:C828, C828, $G$2:G828), AVERAGE(FILTER($G$2:G828, $C$2:C828 = C828, $A$2:A828 &gt;= A828 - 30)))
"),"#DIV/0!")</f>
        <v>#DIV/0!</v>
      </c>
      <c r="I828" s="20" t="e">
        <f t="shared" ca="1" si="16"/>
        <v>#DIV/0!</v>
      </c>
      <c r="J828" s="20" t="str">
        <f ca="1">IFERROR(__xludf.DUMMYFUNCTION("IF(OR($I828=2, $I828=3), 0, IFERROR(COUNTIFS($C$2:C828, $C828, $A$2:A828, ""&gt;""&amp;IFERROR(MAX(FILTER($A$2:A828, $C$2:C828=$C828, $I$2:I828&lt;&gt;1)), 0), $I$2:I828, 1),1))
"),"#DIV/0!")</f>
        <v>#DIV/0!</v>
      </c>
      <c r="K828" s="7" t="e">
        <f t="shared" ca="1" si="17"/>
        <v>#DIV/0!</v>
      </c>
      <c r="L828" s="20" t="e">
        <f t="shared" ca="1" si="18"/>
        <v>#DIV/0!</v>
      </c>
      <c r="M828" s="21" t="e">
        <f t="shared" ca="1" si="19"/>
        <v>#DIV/0!</v>
      </c>
      <c r="N828" s="20" t="str">
        <f ca="1">IFERROR(__xludf.DUMMYFUNCTION("IF(COUNTIFS($C$2:C828, C828, $A$2:A828, ""&lt;="" &amp; A828) &lt; 30, STDEV.P(FILTER($G$2:G828, $C$2:C828 = C828)), STDEV.P(FILTER($G$2:G828, $C$2:C828 = C828, $A$2:A828 &gt;= A828 - 30)))
"),"#DIV/0!")</f>
        <v>#DIV/0!</v>
      </c>
    </row>
    <row r="829" spans="1:14" x14ac:dyDescent="0.2">
      <c r="A829" s="41"/>
      <c r="B829" s="32"/>
      <c r="C829" s="32"/>
      <c r="D829" s="33"/>
      <c r="E829" s="33"/>
      <c r="F829" s="33"/>
      <c r="G829" s="19" t="e">
        <f t="shared" si="15"/>
        <v>#DIV/0!</v>
      </c>
      <c r="H829" s="20" t="str">
        <f ca="1">IFERROR(__xludf.DUMMYFUNCTION("IF(COUNTIFS($C$2:C829, C829, $A$2:A829, ""&lt;="" &amp; A829) &lt; 30, AVERAGEIF($C$2:C829, C829, $G$2:G829), AVERAGE(FILTER($G$2:G829, $C$2:C829 = C829, $A$2:A829 &gt;= A829 - 30)))
"),"#DIV/0!")</f>
        <v>#DIV/0!</v>
      </c>
      <c r="I829" s="20" t="e">
        <f t="shared" ca="1" si="16"/>
        <v>#DIV/0!</v>
      </c>
      <c r="J829" s="20" t="str">
        <f ca="1">IFERROR(__xludf.DUMMYFUNCTION("IF(OR($I829=2, $I829=3), 0, IFERROR(COUNTIFS($C$2:C829, $C829, $A$2:A829, ""&gt;""&amp;IFERROR(MAX(FILTER($A$2:A829, $C$2:C829=$C829, $I$2:I829&lt;&gt;1)), 0), $I$2:I829, 1),1))
"),"#DIV/0!")</f>
        <v>#DIV/0!</v>
      </c>
      <c r="K829" s="7" t="e">
        <f t="shared" ca="1" si="17"/>
        <v>#DIV/0!</v>
      </c>
      <c r="L829" s="20" t="e">
        <f t="shared" ca="1" si="18"/>
        <v>#DIV/0!</v>
      </c>
      <c r="M829" s="21" t="e">
        <f t="shared" ca="1" si="19"/>
        <v>#DIV/0!</v>
      </c>
      <c r="N829" s="20" t="str">
        <f ca="1">IFERROR(__xludf.DUMMYFUNCTION("IF(COUNTIFS($C$2:C829, C829, $A$2:A829, ""&lt;="" &amp; A829) &lt; 30, STDEV.P(FILTER($G$2:G829, $C$2:C829 = C829)), STDEV.P(FILTER($G$2:G829, $C$2:C829 = C829, $A$2:A829 &gt;= A829 - 30)))
"),"#DIV/0!")</f>
        <v>#DIV/0!</v>
      </c>
    </row>
    <row r="830" spans="1:14" x14ac:dyDescent="0.2">
      <c r="A830" s="41"/>
      <c r="B830" s="32"/>
      <c r="C830" s="32"/>
      <c r="D830" s="33"/>
      <c r="E830" s="33"/>
      <c r="F830" s="33"/>
      <c r="G830" s="19" t="e">
        <f t="shared" si="15"/>
        <v>#DIV/0!</v>
      </c>
      <c r="H830" s="20" t="str">
        <f ca="1">IFERROR(__xludf.DUMMYFUNCTION("IF(COUNTIFS($C$2:C830, C830, $A$2:A830, ""&lt;="" &amp; A830) &lt; 30, AVERAGEIF($C$2:C830, C830, $G$2:G830), AVERAGE(FILTER($G$2:G830, $C$2:C830 = C830, $A$2:A830 &gt;= A830 - 30)))
"),"#DIV/0!")</f>
        <v>#DIV/0!</v>
      </c>
      <c r="I830" s="20" t="e">
        <f t="shared" ca="1" si="16"/>
        <v>#DIV/0!</v>
      </c>
      <c r="J830" s="20" t="str">
        <f ca="1">IFERROR(__xludf.DUMMYFUNCTION("IF(OR($I830=2, $I830=3), 0, IFERROR(COUNTIFS($C$2:C830, $C830, $A$2:A830, ""&gt;""&amp;IFERROR(MAX(FILTER($A$2:A830, $C$2:C830=$C830, $I$2:I830&lt;&gt;1)), 0), $I$2:I830, 1),1))
"),"#DIV/0!")</f>
        <v>#DIV/0!</v>
      </c>
      <c r="K830" s="7" t="e">
        <f t="shared" ca="1" si="17"/>
        <v>#DIV/0!</v>
      </c>
      <c r="L830" s="20" t="e">
        <f t="shared" ca="1" si="18"/>
        <v>#DIV/0!</v>
      </c>
      <c r="M830" s="21" t="e">
        <f t="shared" ca="1" si="19"/>
        <v>#DIV/0!</v>
      </c>
      <c r="N830" s="20" t="str">
        <f ca="1">IFERROR(__xludf.DUMMYFUNCTION("IF(COUNTIFS($C$2:C830, C830, $A$2:A830, ""&lt;="" &amp; A830) &lt; 30, STDEV.P(FILTER($G$2:G830, $C$2:C830 = C830)), STDEV.P(FILTER($G$2:G830, $C$2:C830 = C830, $A$2:A830 &gt;= A830 - 30)))
"),"#DIV/0!")</f>
        <v>#DIV/0!</v>
      </c>
    </row>
    <row r="831" spans="1:14" x14ac:dyDescent="0.2">
      <c r="A831" s="41"/>
      <c r="B831" s="32"/>
      <c r="C831" s="32"/>
      <c r="D831" s="33"/>
      <c r="E831" s="33"/>
      <c r="F831" s="33"/>
      <c r="G831" s="19" t="e">
        <f t="shared" si="15"/>
        <v>#DIV/0!</v>
      </c>
      <c r="H831" s="20" t="str">
        <f ca="1">IFERROR(__xludf.DUMMYFUNCTION("IF(COUNTIFS($C$2:C831, C831, $A$2:A831, ""&lt;="" &amp; A831) &lt; 30, AVERAGEIF($C$2:C831, C831, $G$2:G831), AVERAGE(FILTER($G$2:G831, $C$2:C831 = C831, $A$2:A831 &gt;= A831 - 30)))
"),"#DIV/0!")</f>
        <v>#DIV/0!</v>
      </c>
      <c r="I831" s="20" t="e">
        <f t="shared" ca="1" si="16"/>
        <v>#DIV/0!</v>
      </c>
      <c r="J831" s="20" t="str">
        <f ca="1">IFERROR(__xludf.DUMMYFUNCTION("IF(OR($I831=2, $I831=3), 0, IFERROR(COUNTIFS($C$2:C831, $C831, $A$2:A831, ""&gt;""&amp;IFERROR(MAX(FILTER($A$2:A831, $C$2:C831=$C831, $I$2:I831&lt;&gt;1)), 0), $I$2:I831, 1),1))
"),"#DIV/0!")</f>
        <v>#DIV/0!</v>
      </c>
      <c r="K831" s="7" t="e">
        <f t="shared" ca="1" si="17"/>
        <v>#DIV/0!</v>
      </c>
      <c r="L831" s="20" t="e">
        <f t="shared" ca="1" si="18"/>
        <v>#DIV/0!</v>
      </c>
      <c r="M831" s="21" t="e">
        <f t="shared" ca="1" si="19"/>
        <v>#DIV/0!</v>
      </c>
      <c r="N831" s="20" t="str">
        <f ca="1">IFERROR(__xludf.DUMMYFUNCTION("IF(COUNTIFS($C$2:C831, C831, $A$2:A831, ""&lt;="" &amp; A831) &lt; 30, STDEV.P(FILTER($G$2:G831, $C$2:C831 = C831)), STDEV.P(FILTER($G$2:G831, $C$2:C831 = C831, $A$2:A831 &gt;= A831 - 30)))
"),"#DIV/0!")</f>
        <v>#DIV/0!</v>
      </c>
    </row>
    <row r="832" spans="1:14" x14ac:dyDescent="0.2">
      <c r="A832" s="41"/>
      <c r="B832" s="32"/>
      <c r="C832" s="32"/>
      <c r="D832" s="33"/>
      <c r="E832" s="33"/>
      <c r="F832" s="33"/>
      <c r="G832" s="19" t="e">
        <f t="shared" si="15"/>
        <v>#DIV/0!</v>
      </c>
      <c r="H832" s="20" t="str">
        <f ca="1">IFERROR(__xludf.DUMMYFUNCTION("IF(COUNTIFS($C$2:C832, C832, $A$2:A832, ""&lt;="" &amp; A832) &lt; 30, AVERAGEIF($C$2:C832, C832, $G$2:G832), AVERAGE(FILTER($G$2:G832, $C$2:C832 = C832, $A$2:A832 &gt;= A832 - 30)))
"),"#DIV/0!")</f>
        <v>#DIV/0!</v>
      </c>
      <c r="I832" s="20" t="e">
        <f t="shared" ca="1" si="16"/>
        <v>#DIV/0!</v>
      </c>
      <c r="J832" s="20" t="str">
        <f ca="1">IFERROR(__xludf.DUMMYFUNCTION("IF(OR($I832=2, $I832=3), 0, IFERROR(COUNTIFS($C$2:C832, $C832, $A$2:A832, ""&gt;""&amp;IFERROR(MAX(FILTER($A$2:A832, $C$2:C832=$C832, $I$2:I832&lt;&gt;1)), 0), $I$2:I832, 1),1))
"),"#DIV/0!")</f>
        <v>#DIV/0!</v>
      </c>
      <c r="K832" s="7" t="e">
        <f t="shared" ca="1" si="17"/>
        <v>#DIV/0!</v>
      </c>
      <c r="L832" s="20" t="e">
        <f t="shared" ca="1" si="18"/>
        <v>#DIV/0!</v>
      </c>
      <c r="M832" s="21" t="e">
        <f t="shared" ca="1" si="19"/>
        <v>#DIV/0!</v>
      </c>
      <c r="N832" s="20" t="str">
        <f ca="1">IFERROR(__xludf.DUMMYFUNCTION("IF(COUNTIFS($C$2:C832, C832, $A$2:A832, ""&lt;="" &amp; A832) &lt; 30, STDEV.P(FILTER($G$2:G832, $C$2:C832 = C832)), STDEV.P(FILTER($G$2:G832, $C$2:C832 = C832, $A$2:A832 &gt;= A832 - 30)))
"),"#DIV/0!")</f>
        <v>#DIV/0!</v>
      </c>
    </row>
    <row r="833" spans="1:14" x14ac:dyDescent="0.2">
      <c r="A833" s="41"/>
      <c r="B833" s="32"/>
      <c r="C833" s="32"/>
      <c r="D833" s="33"/>
      <c r="E833" s="33"/>
      <c r="F833" s="33"/>
      <c r="G833" s="19" t="e">
        <f t="shared" si="15"/>
        <v>#DIV/0!</v>
      </c>
      <c r="H833" s="20" t="str">
        <f ca="1">IFERROR(__xludf.DUMMYFUNCTION("IF(COUNTIFS($C$2:C833, C833, $A$2:A833, ""&lt;="" &amp; A833) &lt; 30, AVERAGEIF($C$2:C833, C833, $G$2:G833), AVERAGE(FILTER($G$2:G833, $C$2:C833 = C833, $A$2:A833 &gt;= A833 - 30)))
"),"#DIV/0!")</f>
        <v>#DIV/0!</v>
      </c>
      <c r="I833" s="20" t="e">
        <f t="shared" ca="1" si="16"/>
        <v>#DIV/0!</v>
      </c>
      <c r="J833" s="20" t="str">
        <f ca="1">IFERROR(__xludf.DUMMYFUNCTION("IF(OR($I833=2, $I833=3), 0, IFERROR(COUNTIFS($C$2:C833, $C833, $A$2:A833, ""&gt;""&amp;IFERROR(MAX(FILTER($A$2:A833, $C$2:C833=$C833, $I$2:I833&lt;&gt;1)), 0), $I$2:I833, 1),1))
"),"#DIV/0!")</f>
        <v>#DIV/0!</v>
      </c>
      <c r="K833" s="7" t="e">
        <f t="shared" ca="1" si="17"/>
        <v>#DIV/0!</v>
      </c>
      <c r="L833" s="20" t="e">
        <f t="shared" ca="1" si="18"/>
        <v>#DIV/0!</v>
      </c>
      <c r="M833" s="21" t="e">
        <f t="shared" ca="1" si="19"/>
        <v>#DIV/0!</v>
      </c>
      <c r="N833" s="20" t="str">
        <f ca="1">IFERROR(__xludf.DUMMYFUNCTION("IF(COUNTIFS($C$2:C833, C833, $A$2:A833, ""&lt;="" &amp; A833) &lt; 30, STDEV.P(FILTER($G$2:G833, $C$2:C833 = C833)), STDEV.P(FILTER($G$2:G833, $C$2:C833 = C833, $A$2:A833 &gt;= A833 - 30)))
"),"#DIV/0!")</f>
        <v>#DIV/0!</v>
      </c>
    </row>
    <row r="834" spans="1:14" x14ac:dyDescent="0.2">
      <c r="A834" s="41"/>
      <c r="B834" s="32"/>
      <c r="C834" s="32"/>
      <c r="D834" s="33"/>
      <c r="E834" s="33"/>
      <c r="F834" s="33"/>
      <c r="G834" s="19" t="e">
        <f t="shared" si="15"/>
        <v>#DIV/0!</v>
      </c>
      <c r="H834" s="20" t="str">
        <f ca="1">IFERROR(__xludf.DUMMYFUNCTION("IF(COUNTIFS($C$2:C834, C834, $A$2:A834, ""&lt;="" &amp; A834) &lt; 30, AVERAGEIF($C$2:C834, C834, $G$2:G834), AVERAGE(FILTER($G$2:G834, $C$2:C834 = C834, $A$2:A834 &gt;= A834 - 30)))
"),"#DIV/0!")</f>
        <v>#DIV/0!</v>
      </c>
      <c r="I834" s="20" t="e">
        <f t="shared" ca="1" si="16"/>
        <v>#DIV/0!</v>
      </c>
      <c r="J834" s="20" t="str">
        <f ca="1">IFERROR(__xludf.DUMMYFUNCTION("IF(OR($I834=2, $I834=3), 0, IFERROR(COUNTIFS($C$2:C834, $C834, $A$2:A834, ""&gt;""&amp;IFERROR(MAX(FILTER($A$2:A834, $C$2:C834=$C834, $I$2:I834&lt;&gt;1)), 0), $I$2:I834, 1),1))
"),"#DIV/0!")</f>
        <v>#DIV/0!</v>
      </c>
      <c r="K834" s="7" t="e">
        <f t="shared" ca="1" si="17"/>
        <v>#DIV/0!</v>
      </c>
      <c r="L834" s="20" t="e">
        <f t="shared" ca="1" si="18"/>
        <v>#DIV/0!</v>
      </c>
      <c r="M834" s="21" t="e">
        <f t="shared" ca="1" si="19"/>
        <v>#DIV/0!</v>
      </c>
      <c r="N834" s="20" t="str">
        <f ca="1">IFERROR(__xludf.DUMMYFUNCTION("IF(COUNTIFS($C$2:C834, C834, $A$2:A834, ""&lt;="" &amp; A834) &lt; 30, STDEV.P(FILTER($G$2:G834, $C$2:C834 = C834)), STDEV.P(FILTER($G$2:G834, $C$2:C834 = C834, $A$2:A834 &gt;= A834 - 30)))
"),"#DIV/0!")</f>
        <v>#DIV/0!</v>
      </c>
    </row>
    <row r="835" spans="1:14" x14ac:dyDescent="0.2">
      <c r="A835" s="41"/>
      <c r="B835" s="32"/>
      <c r="C835" s="32"/>
      <c r="D835" s="33"/>
      <c r="E835" s="33"/>
      <c r="F835" s="33"/>
      <c r="G835" s="19" t="e">
        <f t="shared" si="15"/>
        <v>#DIV/0!</v>
      </c>
      <c r="H835" s="20" t="str">
        <f ca="1">IFERROR(__xludf.DUMMYFUNCTION("IF(COUNTIFS($C$2:C835, C835, $A$2:A835, ""&lt;="" &amp; A835) &lt; 30, AVERAGEIF($C$2:C835, C835, $G$2:G835), AVERAGE(FILTER($G$2:G835, $C$2:C835 = C835, $A$2:A835 &gt;= A835 - 30)))
"),"#DIV/0!")</f>
        <v>#DIV/0!</v>
      </c>
      <c r="I835" s="20" t="e">
        <f t="shared" ca="1" si="16"/>
        <v>#DIV/0!</v>
      </c>
      <c r="J835" s="20" t="str">
        <f ca="1">IFERROR(__xludf.DUMMYFUNCTION("IF(OR($I835=2, $I835=3), 0, IFERROR(COUNTIFS($C$2:C835, $C835, $A$2:A835, ""&gt;""&amp;IFERROR(MAX(FILTER($A$2:A835, $C$2:C835=$C835, $I$2:I835&lt;&gt;1)), 0), $I$2:I835, 1),1))
"),"#DIV/0!")</f>
        <v>#DIV/0!</v>
      </c>
      <c r="K835" s="7" t="e">
        <f t="shared" ca="1" si="17"/>
        <v>#DIV/0!</v>
      </c>
      <c r="L835" s="20" t="e">
        <f t="shared" ca="1" si="18"/>
        <v>#DIV/0!</v>
      </c>
      <c r="M835" s="21" t="e">
        <f t="shared" ca="1" si="19"/>
        <v>#DIV/0!</v>
      </c>
      <c r="N835" s="20" t="str">
        <f ca="1">IFERROR(__xludf.DUMMYFUNCTION("IF(COUNTIFS($C$2:C835, C835, $A$2:A835, ""&lt;="" &amp; A835) &lt; 30, STDEV.P(FILTER($G$2:G835, $C$2:C835 = C835)), STDEV.P(FILTER($G$2:G835, $C$2:C835 = C835, $A$2:A835 &gt;= A835 - 30)))
"),"#DIV/0!")</f>
        <v>#DIV/0!</v>
      </c>
    </row>
    <row r="836" spans="1:14" x14ac:dyDescent="0.2">
      <c r="A836" s="41"/>
      <c r="B836" s="32"/>
      <c r="C836" s="32"/>
      <c r="D836" s="33"/>
      <c r="E836" s="33"/>
      <c r="F836" s="33"/>
      <c r="G836" s="19" t="e">
        <f t="shared" si="15"/>
        <v>#DIV/0!</v>
      </c>
      <c r="H836" s="20" t="str">
        <f ca="1">IFERROR(__xludf.DUMMYFUNCTION("IF(COUNTIFS($C$2:C836, C836, $A$2:A836, ""&lt;="" &amp; A836) &lt; 30, AVERAGEIF($C$2:C836, C836, $G$2:G836), AVERAGE(FILTER($G$2:G836, $C$2:C836 = C836, $A$2:A836 &gt;= A836 - 30)))
"),"#DIV/0!")</f>
        <v>#DIV/0!</v>
      </c>
      <c r="I836" s="20" t="e">
        <f t="shared" ca="1" si="16"/>
        <v>#DIV/0!</v>
      </c>
      <c r="J836" s="20" t="str">
        <f ca="1">IFERROR(__xludf.DUMMYFUNCTION("IF(OR($I836=2, $I836=3), 0, IFERROR(COUNTIFS($C$2:C836, $C836, $A$2:A836, ""&gt;""&amp;IFERROR(MAX(FILTER($A$2:A836, $C$2:C836=$C836, $I$2:I836&lt;&gt;1)), 0), $I$2:I836, 1),1))
"),"#DIV/0!")</f>
        <v>#DIV/0!</v>
      </c>
      <c r="K836" s="7" t="e">
        <f t="shared" ca="1" si="17"/>
        <v>#DIV/0!</v>
      </c>
      <c r="L836" s="20" t="e">
        <f t="shared" ca="1" si="18"/>
        <v>#DIV/0!</v>
      </c>
      <c r="M836" s="21" t="e">
        <f t="shared" ca="1" si="19"/>
        <v>#DIV/0!</v>
      </c>
      <c r="N836" s="20" t="str">
        <f ca="1">IFERROR(__xludf.DUMMYFUNCTION("IF(COUNTIFS($C$2:C836, C836, $A$2:A836, ""&lt;="" &amp; A836) &lt; 30, STDEV.P(FILTER($G$2:G836, $C$2:C836 = C836)), STDEV.P(FILTER($G$2:G836, $C$2:C836 = C836, $A$2:A836 &gt;= A836 - 30)))
"),"#DIV/0!")</f>
        <v>#DIV/0!</v>
      </c>
    </row>
    <row r="837" spans="1:14" x14ac:dyDescent="0.2">
      <c r="A837" s="41"/>
      <c r="B837" s="32"/>
      <c r="C837" s="32"/>
      <c r="D837" s="33"/>
      <c r="E837" s="33"/>
      <c r="F837" s="33"/>
      <c r="G837" s="19" t="e">
        <f t="shared" si="15"/>
        <v>#DIV/0!</v>
      </c>
      <c r="H837" s="20" t="str">
        <f ca="1">IFERROR(__xludf.DUMMYFUNCTION("IF(COUNTIFS($C$2:C837, C837, $A$2:A837, ""&lt;="" &amp; A837) &lt; 30, AVERAGEIF($C$2:C837, C837, $G$2:G837), AVERAGE(FILTER($G$2:G837, $C$2:C837 = C837, $A$2:A837 &gt;= A837 - 30)))
"),"#DIV/0!")</f>
        <v>#DIV/0!</v>
      </c>
      <c r="I837" s="20" t="e">
        <f t="shared" ca="1" si="16"/>
        <v>#DIV/0!</v>
      </c>
      <c r="J837" s="20" t="str">
        <f ca="1">IFERROR(__xludf.DUMMYFUNCTION("IF(OR($I837=2, $I837=3), 0, IFERROR(COUNTIFS($C$2:C837, $C837, $A$2:A837, ""&gt;""&amp;IFERROR(MAX(FILTER($A$2:A837, $C$2:C837=$C837, $I$2:I837&lt;&gt;1)), 0), $I$2:I837, 1),1))
"),"#DIV/0!")</f>
        <v>#DIV/0!</v>
      </c>
      <c r="K837" s="7" t="e">
        <f t="shared" ca="1" si="17"/>
        <v>#DIV/0!</v>
      </c>
      <c r="L837" s="20" t="e">
        <f t="shared" ca="1" si="18"/>
        <v>#DIV/0!</v>
      </c>
      <c r="M837" s="21" t="e">
        <f t="shared" ca="1" si="19"/>
        <v>#DIV/0!</v>
      </c>
      <c r="N837" s="20" t="str">
        <f ca="1">IFERROR(__xludf.DUMMYFUNCTION("IF(COUNTIFS($C$2:C837, C837, $A$2:A837, ""&lt;="" &amp; A837) &lt; 30, STDEV.P(FILTER($G$2:G837, $C$2:C837 = C837)), STDEV.P(FILTER($G$2:G837, $C$2:C837 = C837, $A$2:A837 &gt;= A837 - 30)))
"),"#DIV/0!")</f>
        <v>#DIV/0!</v>
      </c>
    </row>
    <row r="838" spans="1:14" x14ac:dyDescent="0.2">
      <c r="A838" s="41"/>
      <c r="B838" s="40"/>
      <c r="C838" s="40"/>
      <c r="D838" s="31"/>
      <c r="E838" s="31"/>
      <c r="F838" s="31"/>
      <c r="G838" s="19" t="e">
        <f t="shared" si="15"/>
        <v>#DIV/0!</v>
      </c>
      <c r="H838" s="20" t="str">
        <f ca="1">IFERROR(__xludf.DUMMYFUNCTION("IF(COUNTIFS($C$2:C838, C838, $A$2:A838, ""&lt;="" &amp; A838) &lt; 30, AVERAGEIF($C$2:C838, C838, $G$2:G838), AVERAGE(FILTER($G$2:G838, $C$2:C838 = C838, $A$2:A838 &gt;= A838 - 30)))
"),"#DIV/0!")</f>
        <v>#DIV/0!</v>
      </c>
      <c r="I838" s="20" t="e">
        <f t="shared" ca="1" si="16"/>
        <v>#DIV/0!</v>
      </c>
      <c r="J838" s="20" t="str">
        <f ca="1">IFERROR(__xludf.DUMMYFUNCTION("IF(OR($I838=2, $I838=3), 0, IFERROR(COUNTIFS($C$2:C838, $C838, $A$2:A838, ""&gt;""&amp;IFERROR(MAX(FILTER($A$2:A838, $C$2:C838=$C838, $I$2:I838&lt;&gt;1)), 0), $I$2:I838, 1),1))
"),"#DIV/0!")</f>
        <v>#DIV/0!</v>
      </c>
      <c r="K838" s="7" t="e">
        <f t="shared" ca="1" si="17"/>
        <v>#DIV/0!</v>
      </c>
      <c r="L838" s="20" t="e">
        <f t="shared" ca="1" si="18"/>
        <v>#DIV/0!</v>
      </c>
      <c r="M838" s="21" t="e">
        <f t="shared" ca="1" si="19"/>
        <v>#DIV/0!</v>
      </c>
      <c r="N838" s="20" t="str">
        <f ca="1">IFERROR(__xludf.DUMMYFUNCTION("IF(COUNTIFS($C$2:C838, C838, $A$2:A838, ""&lt;="" &amp; A838) &lt; 30, STDEV.P(FILTER($G$2:G838, $C$2:C838 = C838)), STDEV.P(FILTER($G$2:G838, $C$2:C838 = C838, $A$2:A838 &gt;= A838 - 30)))
"),"#DIV/0!")</f>
        <v>#DIV/0!</v>
      </c>
    </row>
    <row r="839" spans="1:14" x14ac:dyDescent="0.2">
      <c r="A839" s="41"/>
      <c r="B839" s="40"/>
      <c r="C839" s="40"/>
      <c r="D839" s="31"/>
      <c r="E839" s="31"/>
      <c r="F839" s="31"/>
      <c r="G839" s="19" t="e">
        <f t="shared" si="15"/>
        <v>#DIV/0!</v>
      </c>
      <c r="H839" s="20" t="str">
        <f ca="1">IFERROR(__xludf.DUMMYFUNCTION("IF(COUNTIFS($C$2:C839, C839, $A$2:A839, ""&lt;="" &amp; A839) &lt; 30, AVERAGEIF($C$2:C839, C839, $G$2:G839), AVERAGE(FILTER($G$2:G839, $C$2:C839 = C839, $A$2:A839 &gt;= A839 - 30)))
"),"#DIV/0!")</f>
        <v>#DIV/0!</v>
      </c>
      <c r="I839" s="20" t="e">
        <f t="shared" ca="1" si="16"/>
        <v>#DIV/0!</v>
      </c>
      <c r="J839" s="20" t="str">
        <f ca="1">IFERROR(__xludf.DUMMYFUNCTION("IF(OR($I839=2, $I839=3), 0, IFERROR(COUNTIFS($C$2:C839, $C839, $A$2:A839, ""&gt;""&amp;IFERROR(MAX(FILTER($A$2:A839, $C$2:C839=$C839, $I$2:I839&lt;&gt;1)), 0), $I$2:I839, 1),1))
"),"#DIV/0!")</f>
        <v>#DIV/0!</v>
      </c>
      <c r="K839" s="7" t="e">
        <f t="shared" ca="1" si="17"/>
        <v>#DIV/0!</v>
      </c>
      <c r="L839" s="20" t="e">
        <f t="shared" ca="1" si="18"/>
        <v>#DIV/0!</v>
      </c>
      <c r="M839" s="21" t="e">
        <f t="shared" ca="1" si="19"/>
        <v>#DIV/0!</v>
      </c>
      <c r="N839" s="20" t="str">
        <f ca="1">IFERROR(__xludf.DUMMYFUNCTION("IF(COUNTIFS($C$2:C839, C839, $A$2:A839, ""&lt;="" &amp; A839) &lt; 30, STDEV.P(FILTER($G$2:G839, $C$2:C839 = C839)), STDEV.P(FILTER($G$2:G839, $C$2:C839 = C839, $A$2:A839 &gt;= A839 - 30)))
"),"#DIV/0!")</f>
        <v>#DIV/0!</v>
      </c>
    </row>
    <row r="840" spans="1:14" x14ac:dyDescent="0.2">
      <c r="A840" s="41"/>
      <c r="B840" s="40"/>
      <c r="C840" s="40"/>
      <c r="D840" s="31"/>
      <c r="E840" s="31"/>
      <c r="F840" s="31"/>
      <c r="G840" s="19" t="e">
        <f t="shared" si="15"/>
        <v>#DIV/0!</v>
      </c>
      <c r="H840" s="20" t="str">
        <f ca="1">IFERROR(__xludf.DUMMYFUNCTION("IF(COUNTIFS($C$2:C840, C840, $A$2:A840, ""&lt;="" &amp; A840) &lt; 30, AVERAGEIF($C$2:C840, C840, $G$2:G840), AVERAGE(FILTER($G$2:G840, $C$2:C840 = C840, $A$2:A840 &gt;= A840 - 30)))
"),"#DIV/0!")</f>
        <v>#DIV/0!</v>
      </c>
      <c r="I840" s="20" t="e">
        <f t="shared" ca="1" si="16"/>
        <v>#DIV/0!</v>
      </c>
      <c r="J840" s="20" t="str">
        <f ca="1">IFERROR(__xludf.DUMMYFUNCTION("IF(OR($I840=2, $I840=3), 0, IFERROR(COUNTIFS($C$2:C840, $C840, $A$2:A840, ""&gt;""&amp;IFERROR(MAX(FILTER($A$2:A840, $C$2:C840=$C840, $I$2:I840&lt;&gt;1)), 0), $I$2:I840, 1),1))
"),"#DIV/0!")</f>
        <v>#DIV/0!</v>
      </c>
      <c r="K840" s="7" t="e">
        <f t="shared" ca="1" si="17"/>
        <v>#DIV/0!</v>
      </c>
      <c r="L840" s="20" t="e">
        <f t="shared" ca="1" si="18"/>
        <v>#DIV/0!</v>
      </c>
      <c r="M840" s="21" t="e">
        <f t="shared" ca="1" si="19"/>
        <v>#DIV/0!</v>
      </c>
      <c r="N840" s="20" t="str">
        <f ca="1">IFERROR(__xludf.DUMMYFUNCTION("IF(COUNTIFS($C$2:C840, C840, $A$2:A840, ""&lt;="" &amp; A840) &lt; 30, STDEV.P(FILTER($G$2:G840, $C$2:C840 = C840)), STDEV.P(FILTER($G$2:G840, $C$2:C840 = C840, $A$2:A840 &gt;= A840 - 30)))
"),"#DIV/0!")</f>
        <v>#DIV/0!</v>
      </c>
    </row>
    <row r="841" spans="1:14" x14ac:dyDescent="0.2">
      <c r="A841" s="41"/>
      <c r="B841" s="40"/>
      <c r="C841" s="40"/>
      <c r="D841" s="31"/>
      <c r="E841" s="31"/>
      <c r="F841" s="31"/>
      <c r="G841" s="19" t="e">
        <f t="shared" si="15"/>
        <v>#DIV/0!</v>
      </c>
      <c r="H841" s="20" t="str">
        <f ca="1">IFERROR(__xludf.DUMMYFUNCTION("IF(COUNTIFS($C$2:C841, C841, $A$2:A841, ""&lt;="" &amp; A841) &lt; 30, AVERAGEIF($C$2:C841, C841, $G$2:G841), AVERAGE(FILTER($G$2:G841, $C$2:C841 = C841, $A$2:A841 &gt;= A841 - 30)))
"),"#DIV/0!")</f>
        <v>#DIV/0!</v>
      </c>
      <c r="I841" s="20" t="e">
        <f t="shared" ca="1" si="16"/>
        <v>#DIV/0!</v>
      </c>
      <c r="J841" s="20" t="str">
        <f ca="1">IFERROR(__xludf.DUMMYFUNCTION("IF(OR($I841=2, $I841=3), 0, IFERROR(COUNTIFS($C$2:C841, $C841, $A$2:A841, ""&gt;""&amp;IFERROR(MAX(FILTER($A$2:A841, $C$2:C841=$C841, $I$2:I841&lt;&gt;1)), 0), $I$2:I841, 1),1))
"),"#DIV/0!")</f>
        <v>#DIV/0!</v>
      </c>
      <c r="K841" s="7" t="e">
        <f t="shared" ca="1" si="17"/>
        <v>#DIV/0!</v>
      </c>
      <c r="L841" s="20" t="e">
        <f t="shared" ca="1" si="18"/>
        <v>#DIV/0!</v>
      </c>
      <c r="M841" s="21" t="e">
        <f t="shared" ca="1" si="19"/>
        <v>#DIV/0!</v>
      </c>
      <c r="N841" s="20" t="str">
        <f ca="1">IFERROR(__xludf.DUMMYFUNCTION("IF(COUNTIFS($C$2:C841, C841, $A$2:A841, ""&lt;="" &amp; A841) &lt; 30, STDEV.P(FILTER($G$2:G841, $C$2:C841 = C841)), STDEV.P(FILTER($G$2:G841, $C$2:C841 = C841, $A$2:A841 &gt;= A841 - 30)))
"),"#DIV/0!")</f>
        <v>#DIV/0!</v>
      </c>
    </row>
    <row r="842" spans="1:14" x14ac:dyDescent="0.2">
      <c r="A842" s="41"/>
      <c r="B842" s="40"/>
      <c r="C842" s="40"/>
      <c r="D842" s="31"/>
      <c r="E842" s="31"/>
      <c r="F842" s="31"/>
      <c r="G842" s="19" t="e">
        <f t="shared" si="15"/>
        <v>#DIV/0!</v>
      </c>
      <c r="H842" s="20" t="str">
        <f ca="1">IFERROR(__xludf.DUMMYFUNCTION("IF(COUNTIFS($C$2:C842, C842, $A$2:A842, ""&lt;="" &amp; A842) &lt; 30, AVERAGEIF($C$2:C842, C842, $G$2:G842), AVERAGE(FILTER($G$2:G842, $C$2:C842 = C842, $A$2:A842 &gt;= A842 - 30)))
"),"#DIV/0!")</f>
        <v>#DIV/0!</v>
      </c>
      <c r="I842" s="20" t="e">
        <f t="shared" ca="1" si="16"/>
        <v>#DIV/0!</v>
      </c>
      <c r="J842" s="20" t="str">
        <f ca="1">IFERROR(__xludf.DUMMYFUNCTION("IF(OR($I842=2, $I842=3), 0, IFERROR(COUNTIFS($C$2:C842, $C842, $A$2:A842, ""&gt;""&amp;IFERROR(MAX(FILTER($A$2:A842, $C$2:C842=$C842, $I$2:I842&lt;&gt;1)), 0), $I$2:I842, 1),1))
"),"#DIV/0!")</f>
        <v>#DIV/0!</v>
      </c>
      <c r="K842" s="7" t="e">
        <f t="shared" ca="1" si="17"/>
        <v>#DIV/0!</v>
      </c>
      <c r="L842" s="20" t="e">
        <f t="shared" ca="1" si="18"/>
        <v>#DIV/0!</v>
      </c>
      <c r="M842" s="21" t="e">
        <f t="shared" ca="1" si="19"/>
        <v>#DIV/0!</v>
      </c>
      <c r="N842" s="20" t="str">
        <f ca="1">IFERROR(__xludf.DUMMYFUNCTION("IF(COUNTIFS($C$2:C842, C842, $A$2:A842, ""&lt;="" &amp; A842) &lt; 30, STDEV.P(FILTER($G$2:G842, $C$2:C842 = C842)), STDEV.P(FILTER($G$2:G842, $C$2:C842 = C842, $A$2:A842 &gt;= A842 - 30)))
"),"#DIV/0!")</f>
        <v>#DIV/0!</v>
      </c>
    </row>
    <row r="843" spans="1:14" x14ac:dyDescent="0.2">
      <c r="A843" s="41"/>
      <c r="B843" s="40"/>
      <c r="C843" s="40"/>
      <c r="D843" s="31"/>
      <c r="E843" s="31"/>
      <c r="F843" s="31"/>
      <c r="G843" s="19" t="e">
        <f t="shared" si="15"/>
        <v>#DIV/0!</v>
      </c>
      <c r="H843" s="20" t="str">
        <f ca="1">IFERROR(__xludf.DUMMYFUNCTION("IF(COUNTIFS($C$2:C843, C843, $A$2:A843, ""&lt;="" &amp; A843) &lt; 30, AVERAGEIF($C$2:C843, C843, $G$2:G843), AVERAGE(FILTER($G$2:G843, $C$2:C843 = C843, $A$2:A843 &gt;= A843 - 30)))
"),"#DIV/0!")</f>
        <v>#DIV/0!</v>
      </c>
      <c r="I843" s="20" t="e">
        <f t="shared" ca="1" si="16"/>
        <v>#DIV/0!</v>
      </c>
      <c r="J843" s="20" t="str">
        <f ca="1">IFERROR(__xludf.DUMMYFUNCTION("IF(OR($I843=2, $I843=3), 0, IFERROR(COUNTIFS($C$2:C843, $C843, $A$2:A843, ""&gt;""&amp;IFERROR(MAX(FILTER($A$2:A843, $C$2:C843=$C843, $I$2:I843&lt;&gt;1)), 0), $I$2:I843, 1),1))
"),"#DIV/0!")</f>
        <v>#DIV/0!</v>
      </c>
      <c r="K843" s="7" t="e">
        <f t="shared" ca="1" si="17"/>
        <v>#DIV/0!</v>
      </c>
      <c r="L843" s="20" t="e">
        <f t="shared" ca="1" si="18"/>
        <v>#DIV/0!</v>
      </c>
      <c r="M843" s="21" t="e">
        <f t="shared" ca="1" si="19"/>
        <v>#DIV/0!</v>
      </c>
      <c r="N843" s="20" t="str">
        <f ca="1">IFERROR(__xludf.DUMMYFUNCTION("IF(COUNTIFS($C$2:C843, C843, $A$2:A843, ""&lt;="" &amp; A843) &lt; 30, STDEV.P(FILTER($G$2:G843, $C$2:C843 = C843)), STDEV.P(FILTER($G$2:G843, $C$2:C843 = C843, $A$2:A843 &gt;= A843 - 30)))
"),"#DIV/0!")</f>
        <v>#DIV/0!</v>
      </c>
    </row>
    <row r="844" spans="1:14" x14ac:dyDescent="0.2">
      <c r="A844" s="41"/>
      <c r="B844" s="32"/>
      <c r="C844" s="32"/>
      <c r="D844" s="33"/>
      <c r="E844" s="33"/>
      <c r="F844" s="33"/>
      <c r="G844" s="19" t="e">
        <f t="shared" si="15"/>
        <v>#DIV/0!</v>
      </c>
      <c r="H844" s="20" t="str">
        <f ca="1">IFERROR(__xludf.DUMMYFUNCTION("IF(COUNTIFS($C$2:C844, C844, $A$2:A844, ""&lt;="" &amp; A844) &lt; 30, AVERAGEIF($C$2:C844, C844, $G$2:G844), AVERAGE(FILTER($G$2:G844, $C$2:C844 = C844, $A$2:A844 &gt;= A844 - 30)))
"),"#DIV/0!")</f>
        <v>#DIV/0!</v>
      </c>
      <c r="I844" s="20" t="e">
        <f t="shared" ca="1" si="16"/>
        <v>#DIV/0!</v>
      </c>
      <c r="J844" s="20" t="str">
        <f ca="1">IFERROR(__xludf.DUMMYFUNCTION("IF(OR($I844=2, $I844=3), 0, IFERROR(COUNTIFS($C$2:C844, $C844, $A$2:A844, ""&gt;""&amp;IFERROR(MAX(FILTER($A$2:A844, $C$2:C844=$C844, $I$2:I844&lt;&gt;1)), 0), $I$2:I844, 1),1))
"),"#DIV/0!")</f>
        <v>#DIV/0!</v>
      </c>
      <c r="K844" s="7" t="e">
        <f t="shared" ca="1" si="17"/>
        <v>#DIV/0!</v>
      </c>
      <c r="L844" s="20" t="e">
        <f t="shared" ca="1" si="18"/>
        <v>#DIV/0!</v>
      </c>
      <c r="M844" s="21" t="e">
        <f t="shared" ca="1" si="19"/>
        <v>#DIV/0!</v>
      </c>
      <c r="N844" s="20" t="str">
        <f ca="1">IFERROR(__xludf.DUMMYFUNCTION("IF(COUNTIFS($C$2:C844, C844, $A$2:A844, ""&lt;="" &amp; A844) &lt; 30, STDEV.P(FILTER($G$2:G844, $C$2:C844 = C844)), STDEV.P(FILTER($G$2:G844, $C$2:C844 = C844, $A$2:A844 &gt;= A844 - 30)))
"),"#DIV/0!")</f>
        <v>#DIV/0!</v>
      </c>
    </row>
    <row r="845" spans="1:14" x14ac:dyDescent="0.2">
      <c r="A845" s="41"/>
      <c r="B845" s="32"/>
      <c r="C845" s="32"/>
      <c r="D845" s="33"/>
      <c r="E845" s="33"/>
      <c r="F845" s="33"/>
      <c r="G845" s="19" t="e">
        <f t="shared" si="15"/>
        <v>#DIV/0!</v>
      </c>
      <c r="H845" s="20" t="str">
        <f ca="1">IFERROR(__xludf.DUMMYFUNCTION("IF(COUNTIFS($C$2:C845, C845, $A$2:A845, ""&lt;="" &amp; A845) &lt; 30, AVERAGEIF($C$2:C845, C845, $G$2:G845), AVERAGE(FILTER($G$2:G845, $C$2:C845 = C845, $A$2:A845 &gt;= A845 - 30)))
"),"#DIV/0!")</f>
        <v>#DIV/0!</v>
      </c>
      <c r="I845" s="20" t="e">
        <f t="shared" ca="1" si="16"/>
        <v>#DIV/0!</v>
      </c>
      <c r="J845" s="20" t="str">
        <f ca="1">IFERROR(__xludf.DUMMYFUNCTION("IF(OR($I845=2, $I845=3), 0, IFERROR(COUNTIFS($C$2:C845, $C845, $A$2:A845, ""&gt;""&amp;IFERROR(MAX(FILTER($A$2:A845, $C$2:C845=$C845, $I$2:I845&lt;&gt;1)), 0), $I$2:I845, 1),1))
"),"#DIV/0!")</f>
        <v>#DIV/0!</v>
      </c>
      <c r="K845" s="7" t="e">
        <f t="shared" ca="1" si="17"/>
        <v>#DIV/0!</v>
      </c>
      <c r="L845" s="20" t="e">
        <f t="shared" ca="1" si="18"/>
        <v>#DIV/0!</v>
      </c>
      <c r="M845" s="21" t="e">
        <f t="shared" ca="1" si="19"/>
        <v>#DIV/0!</v>
      </c>
      <c r="N845" s="20" t="str">
        <f ca="1">IFERROR(__xludf.DUMMYFUNCTION("IF(COUNTIFS($C$2:C845, C845, $A$2:A845, ""&lt;="" &amp; A845) &lt; 30, STDEV.P(FILTER($G$2:G845, $C$2:C845 = C845)), STDEV.P(FILTER($G$2:G845, $C$2:C845 = C845, $A$2:A845 &gt;= A845 - 30)))
"),"#DIV/0!")</f>
        <v>#DIV/0!</v>
      </c>
    </row>
    <row r="846" spans="1:14" x14ac:dyDescent="0.2">
      <c r="A846" s="41"/>
      <c r="B846" s="32"/>
      <c r="C846" s="32"/>
      <c r="D846" s="33"/>
      <c r="E846" s="33"/>
      <c r="F846" s="33"/>
      <c r="G846" s="19" t="e">
        <f t="shared" si="15"/>
        <v>#DIV/0!</v>
      </c>
      <c r="H846" s="20" t="str">
        <f ca="1">IFERROR(__xludf.DUMMYFUNCTION("IF(COUNTIFS($C$2:C846, C846, $A$2:A846, ""&lt;="" &amp; A846) &lt; 30, AVERAGEIF($C$2:C846, C846, $G$2:G846), AVERAGE(FILTER($G$2:G846, $C$2:C846 = C846, $A$2:A846 &gt;= A846 - 30)))
"),"#DIV/0!")</f>
        <v>#DIV/0!</v>
      </c>
      <c r="I846" s="20" t="e">
        <f t="shared" ca="1" si="16"/>
        <v>#DIV/0!</v>
      </c>
      <c r="J846" s="20" t="str">
        <f ca="1">IFERROR(__xludf.DUMMYFUNCTION("IF(OR($I846=2, $I846=3), 0, IFERROR(COUNTIFS($C$2:C846, $C846, $A$2:A846, ""&gt;""&amp;IFERROR(MAX(FILTER($A$2:A846, $C$2:C846=$C846, $I$2:I846&lt;&gt;1)), 0), $I$2:I846, 1),1))
"),"#DIV/0!")</f>
        <v>#DIV/0!</v>
      </c>
      <c r="K846" s="7" t="e">
        <f t="shared" ca="1" si="17"/>
        <v>#DIV/0!</v>
      </c>
      <c r="L846" s="20" t="e">
        <f t="shared" ca="1" si="18"/>
        <v>#DIV/0!</v>
      </c>
      <c r="M846" s="21" t="e">
        <f t="shared" ca="1" si="19"/>
        <v>#DIV/0!</v>
      </c>
      <c r="N846" s="20" t="str">
        <f ca="1">IFERROR(__xludf.DUMMYFUNCTION("IF(COUNTIFS($C$2:C846, C846, $A$2:A846, ""&lt;="" &amp; A846) &lt; 30, STDEV.P(FILTER($G$2:G846, $C$2:C846 = C846)), STDEV.P(FILTER($G$2:G846, $C$2:C846 = C846, $A$2:A846 &gt;= A846 - 30)))
"),"#DIV/0!")</f>
        <v>#DIV/0!</v>
      </c>
    </row>
    <row r="847" spans="1:14" x14ac:dyDescent="0.2">
      <c r="A847" s="41"/>
      <c r="B847" s="32"/>
      <c r="C847" s="32"/>
      <c r="D847" s="33"/>
      <c r="E847" s="33"/>
      <c r="F847" s="33"/>
      <c r="G847" s="19" t="e">
        <f t="shared" si="15"/>
        <v>#DIV/0!</v>
      </c>
      <c r="H847" s="20" t="str">
        <f ca="1">IFERROR(__xludf.DUMMYFUNCTION("IF(COUNTIFS($C$2:C847, C847, $A$2:A847, ""&lt;="" &amp; A847) &lt; 30, AVERAGEIF($C$2:C847, C847, $G$2:G847), AVERAGE(FILTER($G$2:G847, $C$2:C847 = C847, $A$2:A847 &gt;= A847 - 30)))
"),"#DIV/0!")</f>
        <v>#DIV/0!</v>
      </c>
      <c r="I847" s="20" t="e">
        <f t="shared" ca="1" si="16"/>
        <v>#DIV/0!</v>
      </c>
      <c r="J847" s="20" t="str">
        <f ca="1">IFERROR(__xludf.DUMMYFUNCTION("IF(OR($I847=2, $I847=3), 0, IFERROR(COUNTIFS($C$2:C847, $C847, $A$2:A847, ""&gt;""&amp;IFERROR(MAX(FILTER($A$2:A847, $C$2:C847=$C847, $I$2:I847&lt;&gt;1)), 0), $I$2:I847, 1),1))
"),"#DIV/0!")</f>
        <v>#DIV/0!</v>
      </c>
      <c r="K847" s="7" t="e">
        <f t="shared" ca="1" si="17"/>
        <v>#DIV/0!</v>
      </c>
      <c r="L847" s="20" t="e">
        <f t="shared" ca="1" si="18"/>
        <v>#DIV/0!</v>
      </c>
      <c r="M847" s="21" t="e">
        <f t="shared" ca="1" si="19"/>
        <v>#DIV/0!</v>
      </c>
      <c r="N847" s="20" t="str">
        <f ca="1">IFERROR(__xludf.DUMMYFUNCTION("IF(COUNTIFS($C$2:C847, C847, $A$2:A847, ""&lt;="" &amp; A847) &lt; 30, STDEV.P(FILTER($G$2:G847, $C$2:C847 = C847)), STDEV.P(FILTER($G$2:G847, $C$2:C847 = C847, $A$2:A847 &gt;= A847 - 30)))
"),"#DIV/0!")</f>
        <v>#DIV/0!</v>
      </c>
    </row>
    <row r="848" spans="1:14" x14ac:dyDescent="0.2">
      <c r="A848" s="41"/>
      <c r="B848" s="32"/>
      <c r="C848" s="32"/>
      <c r="D848" s="33"/>
      <c r="E848" s="33"/>
      <c r="F848" s="33"/>
      <c r="G848" s="19" t="e">
        <f t="shared" si="15"/>
        <v>#DIV/0!</v>
      </c>
      <c r="H848" s="20" t="str">
        <f ca="1">IFERROR(__xludf.DUMMYFUNCTION("IF(COUNTIFS($C$2:C848, C848, $A$2:A848, ""&lt;="" &amp; A848) &lt; 30, AVERAGEIF($C$2:C848, C848, $G$2:G848), AVERAGE(FILTER($G$2:G848, $C$2:C848 = C848, $A$2:A848 &gt;= A848 - 30)))
"),"#DIV/0!")</f>
        <v>#DIV/0!</v>
      </c>
      <c r="I848" s="20" t="e">
        <f t="shared" ca="1" si="16"/>
        <v>#DIV/0!</v>
      </c>
      <c r="J848" s="20" t="str">
        <f ca="1">IFERROR(__xludf.DUMMYFUNCTION("IF(OR($I848=2, $I848=3), 0, IFERROR(COUNTIFS($C$2:C848, $C848, $A$2:A848, ""&gt;""&amp;IFERROR(MAX(FILTER($A$2:A848, $C$2:C848=$C848, $I$2:I848&lt;&gt;1)), 0), $I$2:I848, 1),1))
"),"#DIV/0!")</f>
        <v>#DIV/0!</v>
      </c>
      <c r="K848" s="7" t="e">
        <f t="shared" ca="1" si="17"/>
        <v>#DIV/0!</v>
      </c>
      <c r="L848" s="20" t="e">
        <f t="shared" ca="1" si="18"/>
        <v>#DIV/0!</v>
      </c>
      <c r="M848" s="21" t="e">
        <f t="shared" ca="1" si="19"/>
        <v>#DIV/0!</v>
      </c>
      <c r="N848" s="20" t="str">
        <f ca="1">IFERROR(__xludf.DUMMYFUNCTION("IF(COUNTIFS($C$2:C848, C848, $A$2:A848, ""&lt;="" &amp; A848) &lt; 30, STDEV.P(FILTER($G$2:G848, $C$2:C848 = C848)), STDEV.P(FILTER($G$2:G848, $C$2:C848 = C848, $A$2:A848 &gt;= A848 - 30)))
"),"#DIV/0!")</f>
        <v>#DIV/0!</v>
      </c>
    </row>
    <row r="849" spans="1:14" x14ac:dyDescent="0.2">
      <c r="A849" s="41"/>
      <c r="B849" s="32"/>
      <c r="C849" s="32"/>
      <c r="D849" s="33"/>
      <c r="E849" s="33"/>
      <c r="F849" s="33"/>
      <c r="G849" s="19" t="e">
        <f t="shared" si="15"/>
        <v>#DIV/0!</v>
      </c>
      <c r="H849" s="20" t="str">
        <f ca="1">IFERROR(__xludf.DUMMYFUNCTION("IF(COUNTIFS($C$2:C849, C849, $A$2:A849, ""&lt;="" &amp; A849) &lt; 30, AVERAGEIF($C$2:C849, C849, $G$2:G849), AVERAGE(FILTER($G$2:G849, $C$2:C849 = C849, $A$2:A849 &gt;= A849 - 30)))
"),"#DIV/0!")</f>
        <v>#DIV/0!</v>
      </c>
      <c r="I849" s="20" t="e">
        <f t="shared" ca="1" si="16"/>
        <v>#DIV/0!</v>
      </c>
      <c r="J849" s="20" t="str">
        <f ca="1">IFERROR(__xludf.DUMMYFUNCTION("IF(OR($I849=2, $I849=3), 0, IFERROR(COUNTIFS($C$2:C849, $C849, $A$2:A849, ""&gt;""&amp;IFERROR(MAX(FILTER($A$2:A849, $C$2:C849=$C849, $I$2:I849&lt;&gt;1)), 0), $I$2:I849, 1),1))
"),"#DIV/0!")</f>
        <v>#DIV/0!</v>
      </c>
      <c r="K849" s="7" t="e">
        <f t="shared" ca="1" si="17"/>
        <v>#DIV/0!</v>
      </c>
      <c r="L849" s="20" t="e">
        <f t="shared" ca="1" si="18"/>
        <v>#DIV/0!</v>
      </c>
      <c r="M849" s="21" t="e">
        <f t="shared" ca="1" si="19"/>
        <v>#DIV/0!</v>
      </c>
      <c r="N849" s="20" t="str">
        <f ca="1">IFERROR(__xludf.DUMMYFUNCTION("IF(COUNTIFS($C$2:C849, C849, $A$2:A849, ""&lt;="" &amp; A849) &lt; 30, STDEV.P(FILTER($G$2:G849, $C$2:C849 = C849)), STDEV.P(FILTER($G$2:G849, $C$2:C849 = C849, $A$2:A849 &gt;= A849 - 30)))
"),"#DIV/0!")</f>
        <v>#DIV/0!</v>
      </c>
    </row>
    <row r="850" spans="1:14" x14ac:dyDescent="0.2">
      <c r="A850" s="41"/>
      <c r="B850" s="32"/>
      <c r="C850" s="32"/>
      <c r="D850" s="33"/>
      <c r="E850" s="33"/>
      <c r="F850" s="33"/>
      <c r="G850" s="19" t="e">
        <f t="shared" si="15"/>
        <v>#DIV/0!</v>
      </c>
      <c r="H850" s="20" t="str">
        <f ca="1">IFERROR(__xludf.DUMMYFUNCTION("IF(COUNTIFS($C$2:C850, C850, $A$2:A850, ""&lt;="" &amp; A850) &lt; 30, AVERAGEIF($C$2:C850, C850, $G$2:G850), AVERAGE(FILTER($G$2:G850, $C$2:C850 = C850, $A$2:A850 &gt;= A850 - 30)))
"),"#DIV/0!")</f>
        <v>#DIV/0!</v>
      </c>
      <c r="I850" s="20" t="e">
        <f t="shared" ca="1" si="16"/>
        <v>#DIV/0!</v>
      </c>
      <c r="J850" s="20" t="str">
        <f ca="1">IFERROR(__xludf.DUMMYFUNCTION("IF(OR($I850=2, $I850=3), 0, IFERROR(COUNTIFS($C$2:C850, $C850, $A$2:A850, ""&gt;""&amp;IFERROR(MAX(FILTER($A$2:A850, $C$2:C850=$C850, $I$2:I850&lt;&gt;1)), 0), $I$2:I850, 1),1))
"),"#DIV/0!")</f>
        <v>#DIV/0!</v>
      </c>
      <c r="K850" s="7" t="e">
        <f t="shared" ca="1" si="17"/>
        <v>#DIV/0!</v>
      </c>
      <c r="L850" s="20" t="e">
        <f t="shared" ca="1" si="18"/>
        <v>#DIV/0!</v>
      </c>
      <c r="M850" s="21" t="e">
        <f t="shared" ca="1" si="19"/>
        <v>#DIV/0!</v>
      </c>
      <c r="N850" s="20" t="str">
        <f ca="1">IFERROR(__xludf.DUMMYFUNCTION("IF(COUNTIFS($C$2:C850, C850, $A$2:A850, ""&lt;="" &amp; A850) &lt; 30, STDEV.P(FILTER($G$2:G850, $C$2:C850 = C850)), STDEV.P(FILTER($G$2:G850, $C$2:C850 = C850, $A$2:A850 &gt;= A850 - 30)))
"),"#DIV/0!")</f>
        <v>#DIV/0!</v>
      </c>
    </row>
    <row r="851" spans="1:14" x14ac:dyDescent="0.2">
      <c r="A851" s="41"/>
      <c r="B851" s="32"/>
      <c r="C851" s="32"/>
      <c r="D851" s="33"/>
      <c r="E851" s="33"/>
      <c r="F851" s="33"/>
      <c r="G851" s="19" t="e">
        <f t="shared" si="15"/>
        <v>#DIV/0!</v>
      </c>
      <c r="H851" s="20" t="str">
        <f ca="1">IFERROR(__xludf.DUMMYFUNCTION("IF(COUNTIFS($C$2:C851, C851, $A$2:A851, ""&lt;="" &amp; A851) &lt; 30, AVERAGEIF($C$2:C851, C851, $G$2:G851), AVERAGE(FILTER($G$2:G851, $C$2:C851 = C851, $A$2:A851 &gt;= A851 - 30)))
"),"#DIV/0!")</f>
        <v>#DIV/0!</v>
      </c>
      <c r="I851" s="20" t="e">
        <f t="shared" ca="1" si="16"/>
        <v>#DIV/0!</v>
      </c>
      <c r="J851" s="20" t="str">
        <f ca="1">IFERROR(__xludf.DUMMYFUNCTION("IF(OR($I851=2, $I851=3), 0, IFERROR(COUNTIFS($C$2:C851, $C851, $A$2:A851, ""&gt;""&amp;IFERROR(MAX(FILTER($A$2:A851, $C$2:C851=$C851, $I$2:I851&lt;&gt;1)), 0), $I$2:I851, 1),1))
"),"#DIV/0!")</f>
        <v>#DIV/0!</v>
      </c>
      <c r="K851" s="7" t="e">
        <f t="shared" ca="1" si="17"/>
        <v>#DIV/0!</v>
      </c>
      <c r="L851" s="20" t="e">
        <f t="shared" ca="1" si="18"/>
        <v>#DIV/0!</v>
      </c>
      <c r="M851" s="21" t="e">
        <f t="shared" ca="1" si="19"/>
        <v>#DIV/0!</v>
      </c>
      <c r="N851" s="20" t="str">
        <f ca="1">IFERROR(__xludf.DUMMYFUNCTION("IF(COUNTIFS($C$2:C851, C851, $A$2:A851, ""&lt;="" &amp; A851) &lt; 30, STDEV.P(FILTER($G$2:G851, $C$2:C851 = C851)), STDEV.P(FILTER($G$2:G851, $C$2:C851 = C851, $A$2:A851 &gt;= A851 - 30)))
"),"#DIV/0!")</f>
        <v>#DIV/0!</v>
      </c>
    </row>
    <row r="852" spans="1:14" x14ac:dyDescent="0.2">
      <c r="A852" s="41"/>
      <c r="B852" s="32"/>
      <c r="C852" s="32"/>
      <c r="D852" s="33"/>
      <c r="E852" s="33"/>
      <c r="F852" s="33"/>
      <c r="G852" s="19" t="e">
        <f t="shared" si="15"/>
        <v>#DIV/0!</v>
      </c>
      <c r="H852" s="20" t="str">
        <f ca="1">IFERROR(__xludf.DUMMYFUNCTION("IF(COUNTIFS($C$2:C852, C852, $A$2:A852, ""&lt;="" &amp; A852) &lt; 30, AVERAGEIF($C$2:C852, C852, $G$2:G852), AVERAGE(FILTER($G$2:G852, $C$2:C852 = C852, $A$2:A852 &gt;= A852 - 30)))
"),"#DIV/0!")</f>
        <v>#DIV/0!</v>
      </c>
      <c r="I852" s="20" t="e">
        <f t="shared" ca="1" si="16"/>
        <v>#DIV/0!</v>
      </c>
      <c r="J852" s="20" t="str">
        <f ca="1">IFERROR(__xludf.DUMMYFUNCTION("IF(OR($I852=2, $I852=3), 0, IFERROR(COUNTIFS($C$2:C852, $C852, $A$2:A852, ""&gt;""&amp;IFERROR(MAX(FILTER($A$2:A852, $C$2:C852=$C852, $I$2:I852&lt;&gt;1)), 0), $I$2:I852, 1),1))
"),"#DIV/0!")</f>
        <v>#DIV/0!</v>
      </c>
      <c r="K852" s="7" t="e">
        <f t="shared" ca="1" si="17"/>
        <v>#DIV/0!</v>
      </c>
      <c r="L852" s="20" t="e">
        <f t="shared" ca="1" si="18"/>
        <v>#DIV/0!</v>
      </c>
      <c r="M852" s="21" t="e">
        <f t="shared" ca="1" si="19"/>
        <v>#DIV/0!</v>
      </c>
      <c r="N852" s="20" t="str">
        <f ca="1">IFERROR(__xludf.DUMMYFUNCTION("IF(COUNTIFS($C$2:C852, C852, $A$2:A852, ""&lt;="" &amp; A852) &lt; 30, STDEV.P(FILTER($G$2:G852, $C$2:C852 = C852)), STDEV.P(FILTER($G$2:G852, $C$2:C852 = C852, $A$2:A852 &gt;= A852 - 30)))
"),"#DIV/0!")</f>
        <v>#DIV/0!</v>
      </c>
    </row>
    <row r="853" spans="1:14" x14ac:dyDescent="0.2">
      <c r="A853" s="41"/>
      <c r="B853" s="32"/>
      <c r="C853" s="32"/>
      <c r="D853" s="33"/>
      <c r="E853" s="33"/>
      <c r="F853" s="33"/>
      <c r="G853" s="19" t="e">
        <f t="shared" si="15"/>
        <v>#DIV/0!</v>
      </c>
      <c r="H853" s="20" t="str">
        <f ca="1">IFERROR(__xludf.DUMMYFUNCTION("IF(COUNTIFS($C$2:C853, C853, $A$2:A853, ""&lt;="" &amp; A853) &lt; 30, AVERAGEIF($C$2:C853, C853, $G$2:G853), AVERAGE(FILTER($G$2:G853, $C$2:C853 = C853, $A$2:A853 &gt;= A853 - 30)))
"),"#DIV/0!")</f>
        <v>#DIV/0!</v>
      </c>
      <c r="I853" s="20" t="e">
        <f t="shared" ca="1" si="16"/>
        <v>#DIV/0!</v>
      </c>
      <c r="J853" s="20" t="str">
        <f ca="1">IFERROR(__xludf.DUMMYFUNCTION("IF(OR($I853=2, $I853=3), 0, IFERROR(COUNTIFS($C$2:C853, $C853, $A$2:A853, ""&gt;""&amp;IFERROR(MAX(FILTER($A$2:A853, $C$2:C853=$C853, $I$2:I853&lt;&gt;1)), 0), $I$2:I853, 1),1))
"),"#DIV/0!")</f>
        <v>#DIV/0!</v>
      </c>
      <c r="K853" s="7" t="e">
        <f t="shared" ca="1" si="17"/>
        <v>#DIV/0!</v>
      </c>
      <c r="L853" s="20" t="e">
        <f t="shared" ca="1" si="18"/>
        <v>#DIV/0!</v>
      </c>
      <c r="M853" s="21" t="e">
        <f t="shared" ca="1" si="19"/>
        <v>#DIV/0!</v>
      </c>
      <c r="N853" s="20" t="str">
        <f ca="1">IFERROR(__xludf.DUMMYFUNCTION("IF(COUNTIFS($C$2:C853, C853, $A$2:A853, ""&lt;="" &amp; A853) &lt; 30, STDEV.P(FILTER($G$2:G853, $C$2:C853 = C853)), STDEV.P(FILTER($G$2:G853, $C$2:C853 = C853, $A$2:A853 &gt;= A853 - 30)))
"),"#DIV/0!")</f>
        <v>#DIV/0!</v>
      </c>
    </row>
    <row r="854" spans="1:14" x14ac:dyDescent="0.2">
      <c r="A854" s="41"/>
      <c r="B854" s="32"/>
      <c r="C854" s="32"/>
      <c r="D854" s="33"/>
      <c r="E854" s="33"/>
      <c r="F854" s="33"/>
      <c r="G854" s="19" t="e">
        <f t="shared" si="15"/>
        <v>#DIV/0!</v>
      </c>
      <c r="H854" s="20" t="str">
        <f ca="1">IFERROR(__xludf.DUMMYFUNCTION("IF(COUNTIFS($C$2:C854, C854, $A$2:A854, ""&lt;="" &amp; A854) &lt; 30, AVERAGEIF($C$2:C854, C854, $G$2:G854), AVERAGE(FILTER($G$2:G854, $C$2:C854 = C854, $A$2:A854 &gt;= A854 - 30)))
"),"#DIV/0!")</f>
        <v>#DIV/0!</v>
      </c>
      <c r="I854" s="20" t="e">
        <f t="shared" ca="1" si="16"/>
        <v>#DIV/0!</v>
      </c>
      <c r="J854" s="20" t="str">
        <f ca="1">IFERROR(__xludf.DUMMYFUNCTION("IF(OR($I854=2, $I854=3), 0, IFERROR(COUNTIFS($C$2:C854, $C854, $A$2:A854, ""&gt;""&amp;IFERROR(MAX(FILTER($A$2:A854, $C$2:C854=$C854, $I$2:I854&lt;&gt;1)), 0), $I$2:I854, 1),1))
"),"#DIV/0!")</f>
        <v>#DIV/0!</v>
      </c>
      <c r="K854" s="7" t="e">
        <f t="shared" ca="1" si="17"/>
        <v>#DIV/0!</v>
      </c>
      <c r="L854" s="20" t="e">
        <f t="shared" ca="1" si="18"/>
        <v>#DIV/0!</v>
      </c>
      <c r="M854" s="21" t="e">
        <f t="shared" ca="1" si="19"/>
        <v>#DIV/0!</v>
      </c>
      <c r="N854" s="20" t="str">
        <f ca="1">IFERROR(__xludf.DUMMYFUNCTION("IF(COUNTIFS($C$2:C854, C854, $A$2:A854, ""&lt;="" &amp; A854) &lt; 30, STDEV.P(FILTER($G$2:G854, $C$2:C854 = C854)), STDEV.P(FILTER($G$2:G854, $C$2:C854 = C854, $A$2:A854 &gt;= A854 - 30)))
"),"#DIV/0!")</f>
        <v>#DIV/0!</v>
      </c>
    </row>
    <row r="855" spans="1:14" x14ac:dyDescent="0.2">
      <c r="A855" s="41"/>
      <c r="B855" s="32"/>
      <c r="C855" s="32"/>
      <c r="D855" s="33"/>
      <c r="E855" s="33"/>
      <c r="F855" s="33"/>
      <c r="G855" s="19" t="e">
        <f t="shared" si="15"/>
        <v>#DIV/0!</v>
      </c>
      <c r="H855" s="20" t="str">
        <f ca="1">IFERROR(__xludf.DUMMYFUNCTION("IF(COUNTIFS($C$2:C855, C855, $A$2:A855, ""&lt;="" &amp; A855) &lt; 30, AVERAGEIF($C$2:C855, C855, $G$2:G855), AVERAGE(FILTER($G$2:G855, $C$2:C855 = C855, $A$2:A855 &gt;= A855 - 30)))
"),"#DIV/0!")</f>
        <v>#DIV/0!</v>
      </c>
      <c r="I855" s="20" t="e">
        <f t="shared" ca="1" si="16"/>
        <v>#DIV/0!</v>
      </c>
      <c r="J855" s="20" t="str">
        <f ca="1">IFERROR(__xludf.DUMMYFUNCTION("IF(OR($I855=2, $I855=3), 0, IFERROR(COUNTIFS($C$2:C855, $C855, $A$2:A855, ""&gt;""&amp;IFERROR(MAX(FILTER($A$2:A855, $C$2:C855=$C855, $I$2:I855&lt;&gt;1)), 0), $I$2:I855, 1),1))
"),"#DIV/0!")</f>
        <v>#DIV/0!</v>
      </c>
      <c r="K855" s="7" t="e">
        <f t="shared" ca="1" si="17"/>
        <v>#DIV/0!</v>
      </c>
      <c r="L855" s="20" t="e">
        <f t="shared" ca="1" si="18"/>
        <v>#DIV/0!</v>
      </c>
      <c r="M855" s="21" t="e">
        <f t="shared" ca="1" si="19"/>
        <v>#DIV/0!</v>
      </c>
      <c r="N855" s="20" t="str">
        <f ca="1">IFERROR(__xludf.DUMMYFUNCTION("IF(COUNTIFS($C$2:C855, C855, $A$2:A855, ""&lt;="" &amp; A855) &lt; 30, STDEV.P(FILTER($G$2:G855, $C$2:C855 = C855)), STDEV.P(FILTER($G$2:G855, $C$2:C855 = C855, $A$2:A855 &gt;= A855 - 30)))
"),"#DIV/0!")</f>
        <v>#DIV/0!</v>
      </c>
    </row>
    <row r="856" spans="1:14" x14ac:dyDescent="0.2">
      <c r="A856" s="41"/>
      <c r="B856" s="40"/>
      <c r="C856" s="40"/>
      <c r="D856" s="31"/>
      <c r="E856" s="31"/>
      <c r="F856" s="31"/>
      <c r="G856" s="19" t="e">
        <f t="shared" si="15"/>
        <v>#DIV/0!</v>
      </c>
      <c r="H856" s="20" t="str">
        <f ca="1">IFERROR(__xludf.DUMMYFUNCTION("IF(COUNTIFS($C$2:C856, C856, $A$2:A856, ""&lt;="" &amp; A856) &lt; 30, AVERAGEIF($C$2:C856, C856, $G$2:G856), AVERAGE(FILTER($G$2:G856, $C$2:C856 = C856, $A$2:A856 &gt;= A856 - 30)))
"),"#DIV/0!")</f>
        <v>#DIV/0!</v>
      </c>
      <c r="I856" s="20" t="e">
        <f t="shared" ca="1" si="16"/>
        <v>#DIV/0!</v>
      </c>
      <c r="J856" s="20" t="str">
        <f ca="1">IFERROR(__xludf.DUMMYFUNCTION("IF(OR($I856=2, $I856=3), 0, IFERROR(COUNTIFS($C$2:C856, $C856, $A$2:A856, ""&gt;""&amp;IFERROR(MAX(FILTER($A$2:A856, $C$2:C856=$C856, $I$2:I856&lt;&gt;1)), 0), $I$2:I856, 1),1))
"),"#DIV/0!")</f>
        <v>#DIV/0!</v>
      </c>
      <c r="K856" s="7" t="e">
        <f t="shared" ca="1" si="17"/>
        <v>#DIV/0!</v>
      </c>
      <c r="L856" s="20" t="e">
        <f t="shared" ca="1" si="18"/>
        <v>#DIV/0!</v>
      </c>
      <c r="M856" s="21" t="e">
        <f t="shared" ca="1" si="19"/>
        <v>#DIV/0!</v>
      </c>
      <c r="N856" s="20" t="str">
        <f ca="1">IFERROR(__xludf.DUMMYFUNCTION("IF(COUNTIFS($C$2:C856, C856, $A$2:A856, ""&lt;="" &amp; A856) &lt; 30, STDEV.P(FILTER($G$2:G856, $C$2:C856 = C856)), STDEV.P(FILTER($G$2:G856, $C$2:C856 = C856, $A$2:A856 &gt;= A856 - 30)))
"),"#DIV/0!")</f>
        <v>#DIV/0!</v>
      </c>
    </row>
    <row r="857" spans="1:14" x14ac:dyDescent="0.2">
      <c r="A857" s="41"/>
      <c r="B857" s="40"/>
      <c r="C857" s="40"/>
      <c r="D857" s="31"/>
      <c r="E857" s="31"/>
      <c r="F857" s="31"/>
      <c r="G857" s="19" t="e">
        <f t="shared" si="15"/>
        <v>#DIV/0!</v>
      </c>
      <c r="H857" s="20" t="str">
        <f ca="1">IFERROR(__xludf.DUMMYFUNCTION("IF(COUNTIFS($C$2:C857, C857, $A$2:A857, ""&lt;="" &amp; A857) &lt; 30, AVERAGEIF($C$2:C857, C857, $G$2:G857), AVERAGE(FILTER($G$2:G857, $C$2:C857 = C857, $A$2:A857 &gt;= A857 - 30)))
"),"#DIV/0!")</f>
        <v>#DIV/0!</v>
      </c>
      <c r="I857" s="20" t="e">
        <f t="shared" ca="1" si="16"/>
        <v>#DIV/0!</v>
      </c>
      <c r="J857" s="20" t="str">
        <f ca="1">IFERROR(__xludf.DUMMYFUNCTION("IF(OR($I857=2, $I857=3), 0, IFERROR(COUNTIFS($C$2:C857, $C857, $A$2:A857, ""&gt;""&amp;IFERROR(MAX(FILTER($A$2:A857, $C$2:C857=$C857, $I$2:I857&lt;&gt;1)), 0), $I$2:I857, 1),1))
"),"#DIV/0!")</f>
        <v>#DIV/0!</v>
      </c>
      <c r="K857" s="7" t="e">
        <f t="shared" ca="1" si="17"/>
        <v>#DIV/0!</v>
      </c>
      <c r="L857" s="20" t="e">
        <f t="shared" ca="1" si="18"/>
        <v>#DIV/0!</v>
      </c>
      <c r="M857" s="21" t="e">
        <f t="shared" ca="1" si="19"/>
        <v>#DIV/0!</v>
      </c>
      <c r="N857" s="20" t="str">
        <f ca="1">IFERROR(__xludf.DUMMYFUNCTION("IF(COUNTIFS($C$2:C857, C857, $A$2:A857, ""&lt;="" &amp; A857) &lt; 30, STDEV.P(FILTER($G$2:G857, $C$2:C857 = C857)), STDEV.P(FILTER($G$2:G857, $C$2:C857 = C857, $A$2:A857 &gt;= A857 - 30)))
"),"#DIV/0!")</f>
        <v>#DIV/0!</v>
      </c>
    </row>
    <row r="858" spans="1:14" x14ac:dyDescent="0.2">
      <c r="A858" s="41"/>
      <c r="B858" s="40"/>
      <c r="C858" s="40"/>
      <c r="D858" s="31"/>
      <c r="E858" s="31"/>
      <c r="F858" s="31"/>
      <c r="G858" s="19" t="e">
        <f t="shared" si="15"/>
        <v>#DIV/0!</v>
      </c>
      <c r="H858" s="20" t="str">
        <f ca="1">IFERROR(__xludf.DUMMYFUNCTION("IF(COUNTIFS($C$2:C858, C858, $A$2:A858, ""&lt;="" &amp; A858) &lt; 30, AVERAGEIF($C$2:C858, C858, $G$2:G858), AVERAGE(FILTER($G$2:G858, $C$2:C858 = C858, $A$2:A858 &gt;= A858 - 30)))
"),"#DIV/0!")</f>
        <v>#DIV/0!</v>
      </c>
      <c r="I858" s="20" t="e">
        <f t="shared" ca="1" si="16"/>
        <v>#DIV/0!</v>
      </c>
      <c r="J858" s="20" t="str">
        <f ca="1">IFERROR(__xludf.DUMMYFUNCTION("IF(OR($I858=2, $I858=3), 0, IFERROR(COUNTIFS($C$2:C858, $C858, $A$2:A858, ""&gt;""&amp;IFERROR(MAX(FILTER($A$2:A858, $C$2:C858=$C858, $I$2:I858&lt;&gt;1)), 0), $I$2:I858, 1),1))
"),"#DIV/0!")</f>
        <v>#DIV/0!</v>
      </c>
      <c r="K858" s="7" t="e">
        <f t="shared" ca="1" si="17"/>
        <v>#DIV/0!</v>
      </c>
      <c r="L858" s="20" t="e">
        <f t="shared" ca="1" si="18"/>
        <v>#DIV/0!</v>
      </c>
      <c r="M858" s="21" t="e">
        <f t="shared" ca="1" si="19"/>
        <v>#DIV/0!</v>
      </c>
      <c r="N858" s="20" t="str">
        <f ca="1">IFERROR(__xludf.DUMMYFUNCTION("IF(COUNTIFS($C$2:C858, C858, $A$2:A858, ""&lt;="" &amp; A858) &lt; 30, STDEV.P(FILTER($G$2:G858, $C$2:C858 = C858)), STDEV.P(FILTER($G$2:G858, $C$2:C858 = C858, $A$2:A858 &gt;= A858 - 30)))
"),"#DIV/0!")</f>
        <v>#DIV/0!</v>
      </c>
    </row>
    <row r="859" spans="1:14" x14ac:dyDescent="0.2">
      <c r="A859" s="41"/>
      <c r="B859" s="40"/>
      <c r="C859" s="40"/>
      <c r="D859" s="31"/>
      <c r="E859" s="31"/>
      <c r="F859" s="31"/>
      <c r="G859" s="19" t="e">
        <f t="shared" si="15"/>
        <v>#DIV/0!</v>
      </c>
      <c r="H859" s="20" t="str">
        <f ca="1">IFERROR(__xludf.DUMMYFUNCTION("IF(COUNTIFS($C$2:C859, C859, $A$2:A859, ""&lt;="" &amp; A859) &lt; 30, AVERAGEIF($C$2:C859, C859, $G$2:G859), AVERAGE(FILTER($G$2:G859, $C$2:C859 = C859, $A$2:A859 &gt;= A859 - 30)))
"),"#DIV/0!")</f>
        <v>#DIV/0!</v>
      </c>
      <c r="I859" s="20" t="e">
        <f t="shared" ca="1" si="16"/>
        <v>#DIV/0!</v>
      </c>
      <c r="J859" s="20" t="str">
        <f ca="1">IFERROR(__xludf.DUMMYFUNCTION("IF(OR($I859=2, $I859=3), 0, IFERROR(COUNTIFS($C$2:C859, $C859, $A$2:A859, ""&gt;""&amp;IFERROR(MAX(FILTER($A$2:A859, $C$2:C859=$C859, $I$2:I859&lt;&gt;1)), 0), $I$2:I859, 1),1))
"),"#DIV/0!")</f>
        <v>#DIV/0!</v>
      </c>
      <c r="K859" s="7" t="e">
        <f t="shared" ca="1" si="17"/>
        <v>#DIV/0!</v>
      </c>
      <c r="L859" s="20" t="e">
        <f t="shared" ca="1" si="18"/>
        <v>#DIV/0!</v>
      </c>
      <c r="M859" s="21" t="e">
        <f t="shared" ca="1" si="19"/>
        <v>#DIV/0!</v>
      </c>
      <c r="N859" s="20" t="str">
        <f ca="1">IFERROR(__xludf.DUMMYFUNCTION("IF(COUNTIFS($C$2:C859, C859, $A$2:A859, ""&lt;="" &amp; A859) &lt; 30, STDEV.P(FILTER($G$2:G859, $C$2:C859 = C859)), STDEV.P(FILTER($G$2:G859, $C$2:C859 = C859, $A$2:A859 &gt;= A859 - 30)))
"),"#DIV/0!")</f>
        <v>#DIV/0!</v>
      </c>
    </row>
    <row r="860" spans="1:14" x14ac:dyDescent="0.2">
      <c r="A860" s="41"/>
      <c r="B860" s="40"/>
      <c r="C860" s="40"/>
      <c r="D860" s="31"/>
      <c r="E860" s="31"/>
      <c r="F860" s="31"/>
      <c r="G860" s="19" t="e">
        <f t="shared" si="15"/>
        <v>#DIV/0!</v>
      </c>
      <c r="H860" s="20" t="str">
        <f ca="1">IFERROR(__xludf.DUMMYFUNCTION("IF(COUNTIFS($C$2:C860, C860, $A$2:A860, ""&lt;="" &amp; A860) &lt; 30, AVERAGEIF($C$2:C860, C860, $G$2:G860), AVERAGE(FILTER($G$2:G860, $C$2:C860 = C860, $A$2:A860 &gt;= A860 - 30)))
"),"#DIV/0!")</f>
        <v>#DIV/0!</v>
      </c>
      <c r="I860" s="20" t="e">
        <f t="shared" ca="1" si="16"/>
        <v>#DIV/0!</v>
      </c>
      <c r="J860" s="20" t="str">
        <f ca="1">IFERROR(__xludf.DUMMYFUNCTION("IF(OR($I860=2, $I860=3), 0, IFERROR(COUNTIFS($C$2:C860, $C860, $A$2:A860, ""&gt;""&amp;IFERROR(MAX(FILTER($A$2:A860, $C$2:C860=$C860, $I$2:I860&lt;&gt;1)), 0), $I$2:I860, 1),1))
"),"#DIV/0!")</f>
        <v>#DIV/0!</v>
      </c>
      <c r="K860" s="7" t="e">
        <f t="shared" ca="1" si="17"/>
        <v>#DIV/0!</v>
      </c>
      <c r="L860" s="20" t="e">
        <f t="shared" ca="1" si="18"/>
        <v>#DIV/0!</v>
      </c>
      <c r="M860" s="21" t="e">
        <f t="shared" ca="1" si="19"/>
        <v>#DIV/0!</v>
      </c>
      <c r="N860" s="20" t="str">
        <f ca="1">IFERROR(__xludf.DUMMYFUNCTION("IF(COUNTIFS($C$2:C860, C860, $A$2:A860, ""&lt;="" &amp; A860) &lt; 30, STDEV.P(FILTER($G$2:G860, $C$2:C860 = C860)), STDEV.P(FILTER($G$2:G860, $C$2:C860 = C860, $A$2:A860 &gt;= A860 - 30)))
"),"#DIV/0!")</f>
        <v>#DIV/0!</v>
      </c>
    </row>
    <row r="861" spans="1:14" x14ac:dyDescent="0.2">
      <c r="A861" s="41"/>
      <c r="B861" s="40"/>
      <c r="C861" s="40"/>
      <c r="D861" s="31"/>
      <c r="E861" s="31"/>
      <c r="F861" s="31"/>
      <c r="G861" s="19" t="e">
        <f t="shared" si="15"/>
        <v>#DIV/0!</v>
      </c>
      <c r="H861" s="20" t="str">
        <f ca="1">IFERROR(__xludf.DUMMYFUNCTION("IF(COUNTIFS($C$2:C861, C861, $A$2:A861, ""&lt;="" &amp; A861) &lt; 30, AVERAGEIF($C$2:C861, C861, $G$2:G861), AVERAGE(FILTER($G$2:G861, $C$2:C861 = C861, $A$2:A861 &gt;= A861 - 30)))
"),"#DIV/0!")</f>
        <v>#DIV/0!</v>
      </c>
      <c r="I861" s="20" t="e">
        <f t="shared" ca="1" si="16"/>
        <v>#DIV/0!</v>
      </c>
      <c r="J861" s="20" t="str">
        <f ca="1">IFERROR(__xludf.DUMMYFUNCTION("IF(OR($I861=2, $I861=3), 0, IFERROR(COUNTIFS($C$2:C861, $C861, $A$2:A861, ""&gt;""&amp;IFERROR(MAX(FILTER($A$2:A861, $C$2:C861=$C861, $I$2:I861&lt;&gt;1)), 0), $I$2:I861, 1),1))
"),"#DIV/0!")</f>
        <v>#DIV/0!</v>
      </c>
      <c r="K861" s="7" t="e">
        <f t="shared" ca="1" si="17"/>
        <v>#DIV/0!</v>
      </c>
      <c r="L861" s="20" t="e">
        <f t="shared" ca="1" si="18"/>
        <v>#DIV/0!</v>
      </c>
      <c r="M861" s="21" t="e">
        <f t="shared" ca="1" si="19"/>
        <v>#DIV/0!</v>
      </c>
      <c r="N861" s="20" t="str">
        <f ca="1">IFERROR(__xludf.DUMMYFUNCTION("IF(COUNTIFS($C$2:C861, C861, $A$2:A861, ""&lt;="" &amp; A861) &lt; 30, STDEV.P(FILTER($G$2:G861, $C$2:C861 = C861)), STDEV.P(FILTER($G$2:G861, $C$2:C861 = C861, $A$2:A861 &gt;= A861 - 30)))
"),"#DIV/0!")</f>
        <v>#DIV/0!</v>
      </c>
    </row>
    <row r="862" spans="1:14" x14ac:dyDescent="0.2">
      <c r="A862" s="41"/>
      <c r="B862" s="32"/>
      <c r="C862" s="32"/>
      <c r="D862" s="33"/>
      <c r="E862" s="33"/>
      <c r="F862" s="33"/>
      <c r="G862" s="19" t="e">
        <f t="shared" si="15"/>
        <v>#DIV/0!</v>
      </c>
      <c r="H862" s="20" t="str">
        <f ca="1">IFERROR(__xludf.DUMMYFUNCTION("IF(COUNTIFS($C$2:C862, C862, $A$2:A862, ""&lt;="" &amp; A862) &lt; 30, AVERAGEIF($C$2:C862, C862, $G$2:G862), AVERAGE(FILTER($G$2:G862, $C$2:C862 = C862, $A$2:A862 &gt;= A862 - 30)))
"),"#DIV/0!")</f>
        <v>#DIV/0!</v>
      </c>
      <c r="I862" s="20" t="e">
        <f t="shared" ca="1" si="16"/>
        <v>#DIV/0!</v>
      </c>
      <c r="J862" s="20" t="str">
        <f ca="1">IFERROR(__xludf.DUMMYFUNCTION("IF(OR($I862=2, $I862=3), 0, IFERROR(COUNTIFS($C$2:C862, $C862, $A$2:A862, ""&gt;""&amp;IFERROR(MAX(FILTER($A$2:A862, $C$2:C862=$C862, $I$2:I862&lt;&gt;1)), 0), $I$2:I862, 1),1))
"),"#DIV/0!")</f>
        <v>#DIV/0!</v>
      </c>
      <c r="K862" s="7" t="e">
        <f t="shared" ca="1" si="17"/>
        <v>#DIV/0!</v>
      </c>
      <c r="L862" s="20" t="e">
        <f t="shared" ca="1" si="18"/>
        <v>#DIV/0!</v>
      </c>
      <c r="M862" s="21" t="e">
        <f t="shared" ca="1" si="19"/>
        <v>#DIV/0!</v>
      </c>
      <c r="N862" s="20" t="str">
        <f ca="1">IFERROR(__xludf.DUMMYFUNCTION("IF(COUNTIFS($C$2:C862, C862, $A$2:A862, ""&lt;="" &amp; A862) &lt; 30, STDEV.P(FILTER($G$2:G862, $C$2:C862 = C862)), STDEV.P(FILTER($G$2:G862, $C$2:C862 = C862, $A$2:A862 &gt;= A862 - 30)))
"),"#DIV/0!")</f>
        <v>#DIV/0!</v>
      </c>
    </row>
    <row r="863" spans="1:14" x14ac:dyDescent="0.2">
      <c r="A863" s="41"/>
      <c r="B863" s="32"/>
      <c r="C863" s="32"/>
      <c r="D863" s="33"/>
      <c r="E863" s="33"/>
      <c r="F863" s="33"/>
      <c r="G863" s="19" t="e">
        <f t="shared" si="15"/>
        <v>#DIV/0!</v>
      </c>
      <c r="H863" s="20" t="str">
        <f ca="1">IFERROR(__xludf.DUMMYFUNCTION("IF(COUNTIFS($C$2:C863, C863, $A$2:A863, ""&lt;="" &amp; A863) &lt; 30, AVERAGEIF($C$2:C863, C863, $G$2:G863), AVERAGE(FILTER($G$2:G863, $C$2:C863 = C863, $A$2:A863 &gt;= A863 - 30)))
"),"#DIV/0!")</f>
        <v>#DIV/0!</v>
      </c>
      <c r="I863" s="20" t="e">
        <f t="shared" ca="1" si="16"/>
        <v>#DIV/0!</v>
      </c>
      <c r="J863" s="20" t="str">
        <f ca="1">IFERROR(__xludf.DUMMYFUNCTION("IF(OR($I863=2, $I863=3), 0, IFERROR(COUNTIFS($C$2:C863, $C863, $A$2:A863, ""&gt;""&amp;IFERROR(MAX(FILTER($A$2:A863, $C$2:C863=$C863, $I$2:I863&lt;&gt;1)), 0), $I$2:I863, 1),1))
"),"#DIV/0!")</f>
        <v>#DIV/0!</v>
      </c>
      <c r="K863" s="7" t="e">
        <f t="shared" ca="1" si="17"/>
        <v>#DIV/0!</v>
      </c>
      <c r="L863" s="20" t="e">
        <f t="shared" ca="1" si="18"/>
        <v>#DIV/0!</v>
      </c>
      <c r="M863" s="21" t="e">
        <f t="shared" ca="1" si="19"/>
        <v>#DIV/0!</v>
      </c>
      <c r="N863" s="20" t="str">
        <f ca="1">IFERROR(__xludf.DUMMYFUNCTION("IF(COUNTIFS($C$2:C863, C863, $A$2:A863, ""&lt;="" &amp; A863) &lt; 30, STDEV.P(FILTER($G$2:G863, $C$2:C863 = C863)), STDEV.P(FILTER($G$2:G863, $C$2:C863 = C863, $A$2:A863 &gt;= A863 - 30)))
"),"#DIV/0!")</f>
        <v>#DIV/0!</v>
      </c>
    </row>
    <row r="864" spans="1:14" x14ac:dyDescent="0.2">
      <c r="A864" s="41"/>
      <c r="B864" s="32"/>
      <c r="C864" s="32"/>
      <c r="D864" s="33"/>
      <c r="E864" s="33"/>
      <c r="F864" s="33"/>
      <c r="G864" s="19" t="e">
        <f t="shared" si="15"/>
        <v>#DIV/0!</v>
      </c>
      <c r="H864" s="20" t="str">
        <f ca="1">IFERROR(__xludf.DUMMYFUNCTION("IF(COUNTIFS($C$2:C864, C864, $A$2:A864, ""&lt;="" &amp; A864) &lt; 30, AVERAGEIF($C$2:C864, C864, $G$2:G864), AVERAGE(FILTER($G$2:G864, $C$2:C864 = C864, $A$2:A864 &gt;= A864 - 30)))
"),"#DIV/0!")</f>
        <v>#DIV/0!</v>
      </c>
      <c r="I864" s="20" t="e">
        <f t="shared" ca="1" si="16"/>
        <v>#DIV/0!</v>
      </c>
      <c r="J864" s="20" t="str">
        <f ca="1">IFERROR(__xludf.DUMMYFUNCTION("IF(OR($I864=2, $I864=3), 0, IFERROR(COUNTIFS($C$2:C864, $C864, $A$2:A864, ""&gt;""&amp;IFERROR(MAX(FILTER($A$2:A864, $C$2:C864=$C864, $I$2:I864&lt;&gt;1)), 0), $I$2:I864, 1),1))
"),"#DIV/0!")</f>
        <v>#DIV/0!</v>
      </c>
      <c r="K864" s="7" t="e">
        <f t="shared" ca="1" si="17"/>
        <v>#DIV/0!</v>
      </c>
      <c r="L864" s="20" t="e">
        <f t="shared" ca="1" si="18"/>
        <v>#DIV/0!</v>
      </c>
      <c r="M864" s="21" t="e">
        <f t="shared" ca="1" si="19"/>
        <v>#DIV/0!</v>
      </c>
      <c r="N864" s="20" t="str">
        <f ca="1">IFERROR(__xludf.DUMMYFUNCTION("IF(COUNTIFS($C$2:C864, C864, $A$2:A864, ""&lt;="" &amp; A864) &lt; 30, STDEV.P(FILTER($G$2:G864, $C$2:C864 = C864)), STDEV.P(FILTER($G$2:G864, $C$2:C864 = C864, $A$2:A864 &gt;= A864 - 30)))
"),"#DIV/0!")</f>
        <v>#DIV/0!</v>
      </c>
    </row>
    <row r="865" spans="1:14" x14ac:dyDescent="0.2">
      <c r="A865" s="41"/>
      <c r="B865" s="32"/>
      <c r="C865" s="32"/>
      <c r="D865" s="33"/>
      <c r="E865" s="33"/>
      <c r="F865" s="33"/>
      <c r="G865" s="19" t="e">
        <f t="shared" si="15"/>
        <v>#DIV/0!</v>
      </c>
      <c r="H865" s="20" t="str">
        <f ca="1">IFERROR(__xludf.DUMMYFUNCTION("IF(COUNTIFS($C$2:C865, C865, $A$2:A865, ""&lt;="" &amp; A865) &lt; 30, AVERAGEIF($C$2:C865, C865, $G$2:G865), AVERAGE(FILTER($G$2:G865, $C$2:C865 = C865, $A$2:A865 &gt;= A865 - 30)))
"),"#DIV/0!")</f>
        <v>#DIV/0!</v>
      </c>
      <c r="I865" s="20" t="e">
        <f t="shared" ca="1" si="16"/>
        <v>#DIV/0!</v>
      </c>
      <c r="J865" s="20" t="str">
        <f ca="1">IFERROR(__xludf.DUMMYFUNCTION("IF(OR($I865=2, $I865=3), 0, IFERROR(COUNTIFS($C$2:C865, $C865, $A$2:A865, ""&gt;""&amp;IFERROR(MAX(FILTER($A$2:A865, $C$2:C865=$C865, $I$2:I865&lt;&gt;1)), 0), $I$2:I865, 1),1))
"),"#DIV/0!")</f>
        <v>#DIV/0!</v>
      </c>
      <c r="K865" s="7" t="e">
        <f t="shared" ca="1" si="17"/>
        <v>#DIV/0!</v>
      </c>
      <c r="L865" s="20" t="e">
        <f t="shared" ca="1" si="18"/>
        <v>#DIV/0!</v>
      </c>
      <c r="M865" s="21" t="e">
        <f t="shared" ca="1" si="19"/>
        <v>#DIV/0!</v>
      </c>
      <c r="N865" s="20" t="str">
        <f ca="1">IFERROR(__xludf.DUMMYFUNCTION("IF(COUNTIFS($C$2:C865, C865, $A$2:A865, ""&lt;="" &amp; A865) &lt; 30, STDEV.P(FILTER($G$2:G865, $C$2:C865 = C865)), STDEV.P(FILTER($G$2:G865, $C$2:C865 = C865, $A$2:A865 &gt;= A865 - 30)))
"),"#DIV/0!")</f>
        <v>#DIV/0!</v>
      </c>
    </row>
    <row r="866" spans="1:14" x14ac:dyDescent="0.2">
      <c r="A866" s="41"/>
      <c r="B866" s="32"/>
      <c r="C866" s="32"/>
      <c r="D866" s="33"/>
      <c r="E866" s="33"/>
      <c r="F866" s="33"/>
      <c r="G866" s="19" t="e">
        <f t="shared" si="15"/>
        <v>#DIV/0!</v>
      </c>
      <c r="H866" s="20" t="str">
        <f ca="1">IFERROR(__xludf.DUMMYFUNCTION("IF(COUNTIFS($C$2:C866, C866, $A$2:A866, ""&lt;="" &amp; A866) &lt; 30, AVERAGEIF($C$2:C866, C866, $G$2:G866), AVERAGE(FILTER($G$2:G866, $C$2:C866 = C866, $A$2:A866 &gt;= A866 - 30)))
"),"#DIV/0!")</f>
        <v>#DIV/0!</v>
      </c>
      <c r="I866" s="20" t="e">
        <f t="shared" ca="1" si="16"/>
        <v>#DIV/0!</v>
      </c>
      <c r="J866" s="20" t="str">
        <f ca="1">IFERROR(__xludf.DUMMYFUNCTION("IF(OR($I866=2, $I866=3), 0, IFERROR(COUNTIFS($C$2:C866, $C866, $A$2:A866, ""&gt;""&amp;IFERROR(MAX(FILTER($A$2:A866, $C$2:C866=$C866, $I$2:I866&lt;&gt;1)), 0), $I$2:I866, 1),1))
"),"#DIV/0!")</f>
        <v>#DIV/0!</v>
      </c>
      <c r="K866" s="7" t="e">
        <f t="shared" ca="1" si="17"/>
        <v>#DIV/0!</v>
      </c>
      <c r="L866" s="20" t="e">
        <f t="shared" ca="1" si="18"/>
        <v>#DIV/0!</v>
      </c>
      <c r="M866" s="21" t="e">
        <f t="shared" ca="1" si="19"/>
        <v>#DIV/0!</v>
      </c>
      <c r="N866" s="20" t="str">
        <f ca="1">IFERROR(__xludf.DUMMYFUNCTION("IF(COUNTIFS($C$2:C866, C866, $A$2:A866, ""&lt;="" &amp; A866) &lt; 30, STDEV.P(FILTER($G$2:G866, $C$2:C866 = C866)), STDEV.P(FILTER($G$2:G866, $C$2:C866 = C866, $A$2:A866 &gt;= A866 - 30)))
"),"#DIV/0!")</f>
        <v>#DIV/0!</v>
      </c>
    </row>
    <row r="867" spans="1:14" x14ac:dyDescent="0.2">
      <c r="A867" s="41"/>
      <c r="B867" s="32"/>
      <c r="C867" s="32"/>
      <c r="D867" s="33"/>
      <c r="E867" s="33"/>
      <c r="F867" s="33"/>
      <c r="G867" s="19" t="e">
        <f t="shared" si="15"/>
        <v>#DIV/0!</v>
      </c>
      <c r="H867" s="20" t="str">
        <f ca="1">IFERROR(__xludf.DUMMYFUNCTION("IF(COUNTIFS($C$2:C867, C867, $A$2:A867, ""&lt;="" &amp; A867) &lt; 30, AVERAGEIF($C$2:C867, C867, $G$2:G867), AVERAGE(FILTER($G$2:G867, $C$2:C867 = C867, $A$2:A867 &gt;= A867 - 30)))
"),"#DIV/0!")</f>
        <v>#DIV/0!</v>
      </c>
      <c r="I867" s="20" t="e">
        <f t="shared" ca="1" si="16"/>
        <v>#DIV/0!</v>
      </c>
      <c r="J867" s="20" t="str">
        <f ca="1">IFERROR(__xludf.DUMMYFUNCTION("IF(OR($I867=2, $I867=3), 0, IFERROR(COUNTIFS($C$2:C867, $C867, $A$2:A867, ""&gt;""&amp;IFERROR(MAX(FILTER($A$2:A867, $C$2:C867=$C867, $I$2:I867&lt;&gt;1)), 0), $I$2:I867, 1),1))
"),"#DIV/0!")</f>
        <v>#DIV/0!</v>
      </c>
      <c r="K867" s="7" t="e">
        <f t="shared" ca="1" si="17"/>
        <v>#DIV/0!</v>
      </c>
      <c r="L867" s="20" t="e">
        <f t="shared" ca="1" si="18"/>
        <v>#DIV/0!</v>
      </c>
      <c r="M867" s="21" t="e">
        <f t="shared" ca="1" si="19"/>
        <v>#DIV/0!</v>
      </c>
      <c r="N867" s="20" t="str">
        <f ca="1">IFERROR(__xludf.DUMMYFUNCTION("IF(COUNTIFS($C$2:C867, C867, $A$2:A867, ""&lt;="" &amp; A867) &lt; 30, STDEV.P(FILTER($G$2:G867, $C$2:C867 = C867)), STDEV.P(FILTER($G$2:G867, $C$2:C867 = C867, $A$2:A867 &gt;= A867 - 30)))
"),"#DIV/0!")</f>
        <v>#DIV/0!</v>
      </c>
    </row>
    <row r="868" spans="1:14" x14ac:dyDescent="0.2">
      <c r="A868" s="41"/>
      <c r="B868" s="32"/>
      <c r="C868" s="32"/>
      <c r="D868" s="33"/>
      <c r="E868" s="33"/>
      <c r="F868" s="33"/>
      <c r="G868" s="19" t="e">
        <f t="shared" si="15"/>
        <v>#DIV/0!</v>
      </c>
      <c r="H868" s="20" t="str">
        <f ca="1">IFERROR(__xludf.DUMMYFUNCTION("IF(COUNTIFS($C$2:C868, C868, $A$2:A868, ""&lt;="" &amp; A868) &lt; 30, AVERAGEIF($C$2:C868, C868, $G$2:G868), AVERAGE(FILTER($G$2:G868, $C$2:C868 = C868, $A$2:A868 &gt;= A868 - 30)))
"),"#DIV/0!")</f>
        <v>#DIV/0!</v>
      </c>
      <c r="I868" s="20" t="e">
        <f t="shared" ca="1" si="16"/>
        <v>#DIV/0!</v>
      </c>
      <c r="J868" s="20" t="str">
        <f ca="1">IFERROR(__xludf.DUMMYFUNCTION("IF(OR($I868=2, $I868=3), 0, IFERROR(COUNTIFS($C$2:C868, $C868, $A$2:A868, ""&gt;""&amp;IFERROR(MAX(FILTER($A$2:A868, $C$2:C868=$C868, $I$2:I868&lt;&gt;1)), 0), $I$2:I868, 1),1))
"),"#DIV/0!")</f>
        <v>#DIV/0!</v>
      </c>
      <c r="K868" s="7" t="e">
        <f t="shared" ca="1" si="17"/>
        <v>#DIV/0!</v>
      </c>
      <c r="L868" s="20" t="e">
        <f t="shared" ca="1" si="18"/>
        <v>#DIV/0!</v>
      </c>
      <c r="M868" s="21" t="e">
        <f t="shared" ca="1" si="19"/>
        <v>#DIV/0!</v>
      </c>
      <c r="N868" s="20" t="str">
        <f ca="1">IFERROR(__xludf.DUMMYFUNCTION("IF(COUNTIFS($C$2:C868, C868, $A$2:A868, ""&lt;="" &amp; A868) &lt; 30, STDEV.P(FILTER($G$2:G868, $C$2:C868 = C868)), STDEV.P(FILTER($G$2:G868, $C$2:C868 = C868, $A$2:A868 &gt;= A868 - 30)))
"),"#DIV/0!")</f>
        <v>#DIV/0!</v>
      </c>
    </row>
    <row r="869" spans="1:14" x14ac:dyDescent="0.2">
      <c r="A869" s="41"/>
      <c r="B869" s="32"/>
      <c r="C869" s="32"/>
      <c r="D869" s="33"/>
      <c r="E869" s="33"/>
      <c r="F869" s="33"/>
      <c r="G869" s="19" t="e">
        <f t="shared" si="15"/>
        <v>#DIV/0!</v>
      </c>
      <c r="H869" s="20" t="str">
        <f ca="1">IFERROR(__xludf.DUMMYFUNCTION("IF(COUNTIFS($C$2:C869, C869, $A$2:A869, ""&lt;="" &amp; A869) &lt; 30, AVERAGEIF($C$2:C869, C869, $G$2:G869), AVERAGE(FILTER($G$2:G869, $C$2:C869 = C869, $A$2:A869 &gt;= A869 - 30)))
"),"#DIV/0!")</f>
        <v>#DIV/0!</v>
      </c>
      <c r="I869" s="20" t="e">
        <f t="shared" ca="1" si="16"/>
        <v>#DIV/0!</v>
      </c>
      <c r="J869" s="20" t="str">
        <f ca="1">IFERROR(__xludf.DUMMYFUNCTION("IF(OR($I869=2, $I869=3), 0, IFERROR(COUNTIFS($C$2:C869, $C869, $A$2:A869, ""&gt;""&amp;IFERROR(MAX(FILTER($A$2:A869, $C$2:C869=$C869, $I$2:I869&lt;&gt;1)), 0), $I$2:I869, 1),1))
"),"#DIV/0!")</f>
        <v>#DIV/0!</v>
      </c>
      <c r="K869" s="7" t="e">
        <f t="shared" ca="1" si="17"/>
        <v>#DIV/0!</v>
      </c>
      <c r="L869" s="20" t="e">
        <f t="shared" ca="1" si="18"/>
        <v>#DIV/0!</v>
      </c>
      <c r="M869" s="21" t="e">
        <f t="shared" ca="1" si="19"/>
        <v>#DIV/0!</v>
      </c>
      <c r="N869" s="20" t="str">
        <f ca="1">IFERROR(__xludf.DUMMYFUNCTION("IF(COUNTIFS($C$2:C869, C869, $A$2:A869, ""&lt;="" &amp; A869) &lt; 30, STDEV.P(FILTER($G$2:G869, $C$2:C869 = C869)), STDEV.P(FILTER($G$2:G869, $C$2:C869 = C869, $A$2:A869 &gt;= A869 - 30)))
"),"#DIV/0!")</f>
        <v>#DIV/0!</v>
      </c>
    </row>
    <row r="870" spans="1:14" x14ac:dyDescent="0.2">
      <c r="A870" s="41"/>
      <c r="B870" s="32"/>
      <c r="C870" s="32"/>
      <c r="D870" s="33"/>
      <c r="E870" s="33"/>
      <c r="F870" s="33"/>
      <c r="G870" s="19" t="e">
        <f t="shared" si="15"/>
        <v>#DIV/0!</v>
      </c>
      <c r="H870" s="20" t="str">
        <f ca="1">IFERROR(__xludf.DUMMYFUNCTION("IF(COUNTIFS($C$2:C870, C870, $A$2:A870, ""&lt;="" &amp; A870) &lt; 30, AVERAGEIF($C$2:C870, C870, $G$2:G870), AVERAGE(FILTER($G$2:G870, $C$2:C870 = C870, $A$2:A870 &gt;= A870 - 30)))
"),"#DIV/0!")</f>
        <v>#DIV/0!</v>
      </c>
      <c r="I870" s="20" t="e">
        <f t="shared" ca="1" si="16"/>
        <v>#DIV/0!</v>
      </c>
      <c r="J870" s="20" t="str">
        <f ca="1">IFERROR(__xludf.DUMMYFUNCTION("IF(OR($I870=2, $I870=3), 0, IFERROR(COUNTIFS($C$2:C870, $C870, $A$2:A870, ""&gt;""&amp;IFERROR(MAX(FILTER($A$2:A870, $C$2:C870=$C870, $I$2:I870&lt;&gt;1)), 0), $I$2:I870, 1),1))
"),"#DIV/0!")</f>
        <v>#DIV/0!</v>
      </c>
      <c r="K870" s="7" t="e">
        <f t="shared" ca="1" si="17"/>
        <v>#DIV/0!</v>
      </c>
      <c r="L870" s="20" t="e">
        <f t="shared" ca="1" si="18"/>
        <v>#DIV/0!</v>
      </c>
      <c r="M870" s="21" t="e">
        <f t="shared" ca="1" si="19"/>
        <v>#DIV/0!</v>
      </c>
      <c r="N870" s="20" t="str">
        <f ca="1">IFERROR(__xludf.DUMMYFUNCTION("IF(COUNTIFS($C$2:C870, C870, $A$2:A870, ""&lt;="" &amp; A870) &lt; 30, STDEV.P(FILTER($G$2:G870, $C$2:C870 = C870)), STDEV.P(FILTER($G$2:G870, $C$2:C870 = C870, $A$2:A870 &gt;= A870 - 30)))
"),"#DIV/0!")</f>
        <v>#DIV/0!</v>
      </c>
    </row>
    <row r="871" spans="1:14" x14ac:dyDescent="0.2">
      <c r="A871" s="41"/>
      <c r="B871" s="32"/>
      <c r="C871" s="32"/>
      <c r="D871" s="33"/>
      <c r="E871" s="33"/>
      <c r="F871" s="33"/>
      <c r="G871" s="19" t="e">
        <f t="shared" si="15"/>
        <v>#DIV/0!</v>
      </c>
      <c r="H871" s="20" t="str">
        <f ca="1">IFERROR(__xludf.DUMMYFUNCTION("IF(COUNTIFS($C$2:C871, C871, $A$2:A871, ""&lt;="" &amp; A871) &lt; 30, AVERAGEIF($C$2:C871, C871, $G$2:G871), AVERAGE(FILTER($G$2:G871, $C$2:C871 = C871, $A$2:A871 &gt;= A871 - 30)))
"),"#DIV/0!")</f>
        <v>#DIV/0!</v>
      </c>
      <c r="I871" s="20" t="e">
        <f t="shared" ca="1" si="16"/>
        <v>#DIV/0!</v>
      </c>
      <c r="J871" s="20" t="str">
        <f ca="1">IFERROR(__xludf.DUMMYFUNCTION("IF(OR($I871=2, $I871=3), 0, IFERROR(COUNTIFS($C$2:C871, $C871, $A$2:A871, ""&gt;""&amp;IFERROR(MAX(FILTER($A$2:A871, $C$2:C871=$C871, $I$2:I871&lt;&gt;1)), 0), $I$2:I871, 1),1))
"),"#DIV/0!")</f>
        <v>#DIV/0!</v>
      </c>
      <c r="K871" s="7" t="e">
        <f t="shared" ca="1" si="17"/>
        <v>#DIV/0!</v>
      </c>
      <c r="L871" s="20" t="e">
        <f t="shared" ca="1" si="18"/>
        <v>#DIV/0!</v>
      </c>
      <c r="M871" s="21" t="e">
        <f t="shared" ca="1" si="19"/>
        <v>#DIV/0!</v>
      </c>
      <c r="N871" s="20" t="str">
        <f ca="1">IFERROR(__xludf.DUMMYFUNCTION("IF(COUNTIFS($C$2:C871, C871, $A$2:A871, ""&lt;="" &amp; A871) &lt; 30, STDEV.P(FILTER($G$2:G871, $C$2:C871 = C871)), STDEV.P(FILTER($G$2:G871, $C$2:C871 = C871, $A$2:A871 &gt;= A871 - 30)))
"),"#DIV/0!")</f>
        <v>#DIV/0!</v>
      </c>
    </row>
    <row r="872" spans="1:14" x14ac:dyDescent="0.2">
      <c r="A872" s="41"/>
      <c r="B872" s="32"/>
      <c r="C872" s="32"/>
      <c r="D872" s="33"/>
      <c r="E872" s="33"/>
      <c r="F872" s="33"/>
      <c r="G872" s="19" t="e">
        <f t="shared" si="15"/>
        <v>#DIV/0!</v>
      </c>
      <c r="H872" s="20" t="str">
        <f ca="1">IFERROR(__xludf.DUMMYFUNCTION("IF(COUNTIFS($C$2:C872, C872, $A$2:A872, ""&lt;="" &amp; A872) &lt; 30, AVERAGEIF($C$2:C872, C872, $G$2:G872), AVERAGE(FILTER($G$2:G872, $C$2:C872 = C872, $A$2:A872 &gt;= A872 - 30)))
"),"#DIV/0!")</f>
        <v>#DIV/0!</v>
      </c>
      <c r="I872" s="20" t="e">
        <f t="shared" ca="1" si="16"/>
        <v>#DIV/0!</v>
      </c>
      <c r="J872" s="20" t="str">
        <f ca="1">IFERROR(__xludf.DUMMYFUNCTION("IF(OR($I872=2, $I872=3), 0, IFERROR(COUNTIFS($C$2:C872, $C872, $A$2:A872, ""&gt;""&amp;IFERROR(MAX(FILTER($A$2:A872, $C$2:C872=$C872, $I$2:I872&lt;&gt;1)), 0), $I$2:I872, 1),1))
"),"#DIV/0!")</f>
        <v>#DIV/0!</v>
      </c>
      <c r="K872" s="7" t="e">
        <f t="shared" ca="1" si="17"/>
        <v>#DIV/0!</v>
      </c>
      <c r="L872" s="20" t="e">
        <f t="shared" ca="1" si="18"/>
        <v>#DIV/0!</v>
      </c>
      <c r="M872" s="21" t="e">
        <f t="shared" ca="1" si="19"/>
        <v>#DIV/0!</v>
      </c>
      <c r="N872" s="20" t="str">
        <f ca="1">IFERROR(__xludf.DUMMYFUNCTION("IF(COUNTIFS($C$2:C872, C872, $A$2:A872, ""&lt;="" &amp; A872) &lt; 30, STDEV.P(FILTER($G$2:G872, $C$2:C872 = C872)), STDEV.P(FILTER($G$2:G872, $C$2:C872 = C872, $A$2:A872 &gt;= A872 - 30)))
"),"#DIV/0!")</f>
        <v>#DIV/0!</v>
      </c>
    </row>
    <row r="873" spans="1:14" x14ac:dyDescent="0.2">
      <c r="A873" s="41"/>
      <c r="B873" s="32"/>
      <c r="C873" s="32"/>
      <c r="D873" s="33"/>
      <c r="E873" s="33"/>
      <c r="F873" s="33"/>
      <c r="G873" s="19" t="e">
        <f t="shared" si="15"/>
        <v>#DIV/0!</v>
      </c>
      <c r="H873" s="20" t="str">
        <f ca="1">IFERROR(__xludf.DUMMYFUNCTION("IF(COUNTIFS($C$2:C873, C873, $A$2:A873, ""&lt;="" &amp; A873) &lt; 30, AVERAGEIF($C$2:C873, C873, $G$2:G873), AVERAGE(FILTER($G$2:G873, $C$2:C873 = C873, $A$2:A873 &gt;= A873 - 30)))
"),"#DIV/0!")</f>
        <v>#DIV/0!</v>
      </c>
      <c r="I873" s="20" t="e">
        <f t="shared" ca="1" si="16"/>
        <v>#DIV/0!</v>
      </c>
      <c r="J873" s="20" t="str">
        <f ca="1">IFERROR(__xludf.DUMMYFUNCTION("IF(OR($I873=2, $I873=3), 0, IFERROR(COUNTIFS($C$2:C873, $C873, $A$2:A873, ""&gt;""&amp;IFERROR(MAX(FILTER($A$2:A873, $C$2:C873=$C873, $I$2:I873&lt;&gt;1)), 0), $I$2:I873, 1),1))
"),"#DIV/0!")</f>
        <v>#DIV/0!</v>
      </c>
      <c r="K873" s="7" t="e">
        <f t="shared" ca="1" si="17"/>
        <v>#DIV/0!</v>
      </c>
      <c r="L873" s="20" t="e">
        <f t="shared" ca="1" si="18"/>
        <v>#DIV/0!</v>
      </c>
      <c r="M873" s="21" t="e">
        <f t="shared" ca="1" si="19"/>
        <v>#DIV/0!</v>
      </c>
      <c r="N873" s="20" t="str">
        <f ca="1">IFERROR(__xludf.DUMMYFUNCTION("IF(COUNTIFS($C$2:C873, C873, $A$2:A873, ""&lt;="" &amp; A873) &lt; 30, STDEV.P(FILTER($G$2:G873, $C$2:C873 = C873)), STDEV.P(FILTER($G$2:G873, $C$2:C873 = C873, $A$2:A873 &gt;= A873 - 30)))
"),"#DIV/0!")</f>
        <v>#DIV/0!</v>
      </c>
    </row>
    <row r="874" spans="1:14" x14ac:dyDescent="0.2">
      <c r="A874" s="41"/>
      <c r="B874" s="32"/>
      <c r="C874" s="32"/>
      <c r="D874" s="33"/>
      <c r="E874" s="33"/>
      <c r="F874" s="33"/>
      <c r="G874" s="19" t="e">
        <f t="shared" si="15"/>
        <v>#DIV/0!</v>
      </c>
      <c r="H874" s="20" t="str">
        <f ca="1">IFERROR(__xludf.DUMMYFUNCTION("IF(COUNTIFS($C$2:C874, C874, $A$2:A874, ""&lt;="" &amp; A874) &lt; 30, AVERAGEIF($C$2:C874, C874, $G$2:G874), AVERAGE(FILTER($G$2:G874, $C$2:C874 = C874, $A$2:A874 &gt;= A874 - 30)))
"),"#DIV/0!")</f>
        <v>#DIV/0!</v>
      </c>
      <c r="I874" s="20" t="e">
        <f t="shared" ca="1" si="16"/>
        <v>#DIV/0!</v>
      </c>
      <c r="J874" s="20" t="str">
        <f ca="1">IFERROR(__xludf.DUMMYFUNCTION("IF(OR($I874=2, $I874=3), 0, IFERROR(COUNTIFS($C$2:C874, $C874, $A$2:A874, ""&gt;""&amp;IFERROR(MAX(FILTER($A$2:A874, $C$2:C874=$C874, $I$2:I874&lt;&gt;1)), 0), $I$2:I874, 1),1))
"),"#DIV/0!")</f>
        <v>#DIV/0!</v>
      </c>
      <c r="K874" s="7" t="e">
        <f t="shared" ca="1" si="17"/>
        <v>#DIV/0!</v>
      </c>
      <c r="L874" s="20" t="e">
        <f t="shared" ca="1" si="18"/>
        <v>#DIV/0!</v>
      </c>
      <c r="M874" s="21" t="e">
        <f t="shared" ca="1" si="19"/>
        <v>#DIV/0!</v>
      </c>
      <c r="N874" s="20" t="str">
        <f ca="1">IFERROR(__xludf.DUMMYFUNCTION("IF(COUNTIFS($C$2:C874, C874, $A$2:A874, ""&lt;="" &amp; A874) &lt; 30, STDEV.P(FILTER($G$2:G874, $C$2:C874 = C874)), STDEV.P(FILTER($G$2:G874, $C$2:C874 = C874, $A$2:A874 &gt;= A874 - 30)))
"),"#DIV/0!")</f>
        <v>#DIV/0!</v>
      </c>
    </row>
    <row r="875" spans="1:14" x14ac:dyDescent="0.2">
      <c r="A875" s="41"/>
      <c r="B875" s="40"/>
      <c r="C875" s="40"/>
      <c r="D875" s="31"/>
      <c r="E875" s="31"/>
      <c r="F875" s="31"/>
      <c r="G875" s="19" t="e">
        <f t="shared" si="15"/>
        <v>#DIV/0!</v>
      </c>
      <c r="H875" s="20" t="str">
        <f ca="1">IFERROR(__xludf.DUMMYFUNCTION("IF(COUNTIFS($C$2:C875, C875, $A$2:A875, ""&lt;="" &amp; A875) &lt; 30, AVERAGEIF($C$2:C875, C875, $G$2:G875), AVERAGE(FILTER($G$2:G875, $C$2:C875 = C875, $A$2:A875 &gt;= A875 - 30)))
"),"#DIV/0!")</f>
        <v>#DIV/0!</v>
      </c>
      <c r="I875" s="20" t="e">
        <f t="shared" ca="1" si="16"/>
        <v>#DIV/0!</v>
      </c>
      <c r="J875" s="20" t="str">
        <f ca="1">IFERROR(__xludf.DUMMYFUNCTION("IF(OR($I875=2, $I875=3), 0, IFERROR(COUNTIFS($C$2:C875, $C875, $A$2:A875, ""&gt;""&amp;IFERROR(MAX(FILTER($A$2:A875, $C$2:C875=$C875, $I$2:I875&lt;&gt;1)), 0), $I$2:I875, 1),1))
"),"#DIV/0!")</f>
        <v>#DIV/0!</v>
      </c>
      <c r="K875" s="7" t="e">
        <f t="shared" ca="1" si="17"/>
        <v>#DIV/0!</v>
      </c>
      <c r="L875" s="20" t="e">
        <f t="shared" ca="1" si="18"/>
        <v>#DIV/0!</v>
      </c>
      <c r="M875" s="21" t="e">
        <f t="shared" ca="1" si="19"/>
        <v>#DIV/0!</v>
      </c>
      <c r="N875" s="20" t="str">
        <f ca="1">IFERROR(__xludf.DUMMYFUNCTION("IF(COUNTIFS($C$2:C875, C875, $A$2:A875, ""&lt;="" &amp; A875) &lt; 30, STDEV.P(FILTER($G$2:G875, $C$2:C875 = C875)), STDEV.P(FILTER($G$2:G875, $C$2:C875 = C875, $A$2:A875 &gt;= A875 - 30)))
"),"#DIV/0!")</f>
        <v>#DIV/0!</v>
      </c>
    </row>
    <row r="876" spans="1:14" x14ac:dyDescent="0.2">
      <c r="A876" s="41"/>
      <c r="B876" s="40"/>
      <c r="C876" s="40"/>
      <c r="D876" s="31"/>
      <c r="E876" s="31"/>
      <c r="F876" s="31"/>
      <c r="G876" s="19" t="e">
        <f t="shared" si="15"/>
        <v>#DIV/0!</v>
      </c>
      <c r="H876" s="20" t="str">
        <f ca="1">IFERROR(__xludf.DUMMYFUNCTION("IF(COUNTIFS($C$2:C876, C876, $A$2:A876, ""&lt;="" &amp; A876) &lt; 30, AVERAGEIF($C$2:C876, C876, $G$2:G876), AVERAGE(FILTER($G$2:G876, $C$2:C876 = C876, $A$2:A876 &gt;= A876 - 30)))
"),"#DIV/0!")</f>
        <v>#DIV/0!</v>
      </c>
      <c r="I876" s="20" t="e">
        <f t="shared" ca="1" si="16"/>
        <v>#DIV/0!</v>
      </c>
      <c r="J876" s="20" t="str">
        <f ca="1">IFERROR(__xludf.DUMMYFUNCTION("IF(OR($I876=2, $I876=3), 0, IFERROR(COUNTIFS($C$2:C876, $C876, $A$2:A876, ""&gt;""&amp;IFERROR(MAX(FILTER($A$2:A876, $C$2:C876=$C876, $I$2:I876&lt;&gt;1)), 0), $I$2:I876, 1),1))
"),"#DIV/0!")</f>
        <v>#DIV/0!</v>
      </c>
      <c r="K876" s="7" t="e">
        <f t="shared" ca="1" si="17"/>
        <v>#DIV/0!</v>
      </c>
      <c r="L876" s="20" t="e">
        <f t="shared" ca="1" si="18"/>
        <v>#DIV/0!</v>
      </c>
      <c r="M876" s="21" t="e">
        <f t="shared" ca="1" si="19"/>
        <v>#DIV/0!</v>
      </c>
      <c r="N876" s="20" t="str">
        <f ca="1">IFERROR(__xludf.DUMMYFUNCTION("IF(COUNTIFS($C$2:C876, C876, $A$2:A876, ""&lt;="" &amp; A876) &lt; 30, STDEV.P(FILTER($G$2:G876, $C$2:C876 = C876)), STDEV.P(FILTER($G$2:G876, $C$2:C876 = C876, $A$2:A876 &gt;= A876 - 30)))
"),"#DIV/0!")</f>
        <v>#DIV/0!</v>
      </c>
    </row>
    <row r="877" spans="1:14" x14ac:dyDescent="0.2">
      <c r="A877" s="41"/>
      <c r="B877" s="40"/>
      <c r="C877" s="40"/>
      <c r="D877" s="31"/>
      <c r="E877" s="31"/>
      <c r="F877" s="31"/>
      <c r="G877" s="19" t="e">
        <f t="shared" si="15"/>
        <v>#DIV/0!</v>
      </c>
      <c r="H877" s="20" t="str">
        <f ca="1">IFERROR(__xludf.DUMMYFUNCTION("IF(COUNTIFS($C$2:C877, C877, $A$2:A877, ""&lt;="" &amp; A877) &lt; 30, AVERAGEIF($C$2:C877, C877, $G$2:G877), AVERAGE(FILTER($G$2:G877, $C$2:C877 = C877, $A$2:A877 &gt;= A877 - 30)))
"),"#DIV/0!")</f>
        <v>#DIV/0!</v>
      </c>
      <c r="I877" s="20" t="e">
        <f t="shared" ca="1" si="16"/>
        <v>#DIV/0!</v>
      </c>
      <c r="J877" s="20" t="str">
        <f ca="1">IFERROR(__xludf.DUMMYFUNCTION("IF(OR($I877=2, $I877=3), 0, IFERROR(COUNTIFS($C$2:C877, $C877, $A$2:A877, ""&gt;""&amp;IFERROR(MAX(FILTER($A$2:A877, $C$2:C877=$C877, $I$2:I877&lt;&gt;1)), 0), $I$2:I877, 1),1))
"),"#DIV/0!")</f>
        <v>#DIV/0!</v>
      </c>
      <c r="K877" s="7" t="e">
        <f t="shared" ca="1" si="17"/>
        <v>#DIV/0!</v>
      </c>
      <c r="L877" s="20" t="e">
        <f t="shared" ca="1" si="18"/>
        <v>#DIV/0!</v>
      </c>
      <c r="M877" s="21" t="e">
        <f t="shared" ca="1" si="19"/>
        <v>#DIV/0!</v>
      </c>
      <c r="N877" s="20" t="str">
        <f ca="1">IFERROR(__xludf.DUMMYFUNCTION("IF(COUNTIFS($C$2:C877, C877, $A$2:A877, ""&lt;="" &amp; A877) &lt; 30, STDEV.P(FILTER($G$2:G877, $C$2:C877 = C877)), STDEV.P(FILTER($G$2:G877, $C$2:C877 = C877, $A$2:A877 &gt;= A877 - 30)))
"),"#DIV/0!")</f>
        <v>#DIV/0!</v>
      </c>
    </row>
    <row r="878" spans="1:14" x14ac:dyDescent="0.2">
      <c r="A878" s="41"/>
      <c r="B878" s="40"/>
      <c r="C878" s="40"/>
      <c r="D878" s="31"/>
      <c r="E878" s="31"/>
      <c r="F878" s="31"/>
      <c r="G878" s="19" t="e">
        <f t="shared" si="15"/>
        <v>#DIV/0!</v>
      </c>
      <c r="H878" s="20" t="str">
        <f ca="1">IFERROR(__xludf.DUMMYFUNCTION("IF(COUNTIFS($C$2:C878, C878, $A$2:A878, ""&lt;="" &amp; A878) &lt; 30, AVERAGEIF($C$2:C878, C878, $G$2:G878), AVERAGE(FILTER($G$2:G878, $C$2:C878 = C878, $A$2:A878 &gt;= A878 - 30)))
"),"#DIV/0!")</f>
        <v>#DIV/0!</v>
      </c>
      <c r="I878" s="20" t="e">
        <f t="shared" ca="1" si="16"/>
        <v>#DIV/0!</v>
      </c>
      <c r="J878" s="20" t="str">
        <f ca="1">IFERROR(__xludf.DUMMYFUNCTION("IF(OR($I878=2, $I878=3), 0, IFERROR(COUNTIFS($C$2:C878, $C878, $A$2:A878, ""&gt;""&amp;IFERROR(MAX(FILTER($A$2:A878, $C$2:C878=$C878, $I$2:I878&lt;&gt;1)), 0), $I$2:I878, 1),1))
"),"#DIV/0!")</f>
        <v>#DIV/0!</v>
      </c>
      <c r="K878" s="7" t="e">
        <f t="shared" ca="1" si="17"/>
        <v>#DIV/0!</v>
      </c>
      <c r="L878" s="20" t="e">
        <f t="shared" ca="1" si="18"/>
        <v>#DIV/0!</v>
      </c>
      <c r="M878" s="21" t="e">
        <f t="shared" ca="1" si="19"/>
        <v>#DIV/0!</v>
      </c>
      <c r="N878" s="20" t="str">
        <f ca="1">IFERROR(__xludf.DUMMYFUNCTION("IF(COUNTIFS($C$2:C878, C878, $A$2:A878, ""&lt;="" &amp; A878) &lt; 30, STDEV.P(FILTER($G$2:G878, $C$2:C878 = C878)), STDEV.P(FILTER($G$2:G878, $C$2:C878 = C878, $A$2:A878 &gt;= A878 - 30)))
"),"#DIV/0!")</f>
        <v>#DIV/0!</v>
      </c>
    </row>
    <row r="879" spans="1:14" x14ac:dyDescent="0.2">
      <c r="A879" s="41"/>
      <c r="B879" s="40"/>
      <c r="C879" s="40"/>
      <c r="D879" s="31"/>
      <c r="E879" s="31"/>
      <c r="F879" s="31"/>
      <c r="G879" s="19" t="e">
        <f t="shared" si="15"/>
        <v>#DIV/0!</v>
      </c>
      <c r="H879" s="20" t="str">
        <f ca="1">IFERROR(__xludf.DUMMYFUNCTION("IF(COUNTIFS($C$2:C879, C879, $A$2:A879, ""&lt;="" &amp; A879) &lt; 30, AVERAGEIF($C$2:C879, C879, $G$2:G879), AVERAGE(FILTER($G$2:G879, $C$2:C879 = C879, $A$2:A879 &gt;= A879 - 30)))
"),"#DIV/0!")</f>
        <v>#DIV/0!</v>
      </c>
      <c r="I879" s="20" t="e">
        <f t="shared" ca="1" si="16"/>
        <v>#DIV/0!</v>
      </c>
      <c r="J879" s="20" t="str">
        <f ca="1">IFERROR(__xludf.DUMMYFUNCTION("IF(OR($I879=2, $I879=3), 0, IFERROR(COUNTIFS($C$2:C879, $C879, $A$2:A879, ""&gt;""&amp;IFERROR(MAX(FILTER($A$2:A879, $C$2:C879=$C879, $I$2:I879&lt;&gt;1)), 0), $I$2:I879, 1),1))
"),"#DIV/0!")</f>
        <v>#DIV/0!</v>
      </c>
      <c r="K879" s="7" t="e">
        <f t="shared" ca="1" si="17"/>
        <v>#DIV/0!</v>
      </c>
      <c r="L879" s="20" t="e">
        <f t="shared" ca="1" si="18"/>
        <v>#DIV/0!</v>
      </c>
      <c r="M879" s="21" t="e">
        <f t="shared" ca="1" si="19"/>
        <v>#DIV/0!</v>
      </c>
      <c r="N879" s="20" t="str">
        <f ca="1">IFERROR(__xludf.DUMMYFUNCTION("IF(COUNTIFS($C$2:C879, C879, $A$2:A879, ""&lt;="" &amp; A879) &lt; 30, STDEV.P(FILTER($G$2:G879, $C$2:C879 = C879)), STDEV.P(FILTER($G$2:G879, $C$2:C879 = C879, $A$2:A879 &gt;= A879 - 30)))
"),"#DIV/0!")</f>
        <v>#DIV/0!</v>
      </c>
    </row>
    <row r="880" spans="1:14" x14ac:dyDescent="0.2">
      <c r="A880" s="41"/>
      <c r="B880" s="40"/>
      <c r="C880" s="40"/>
      <c r="D880" s="31"/>
      <c r="E880" s="31"/>
      <c r="F880" s="31"/>
      <c r="G880" s="19" t="e">
        <f t="shared" si="15"/>
        <v>#DIV/0!</v>
      </c>
      <c r="H880" s="20" t="str">
        <f ca="1">IFERROR(__xludf.DUMMYFUNCTION("IF(COUNTIFS($C$2:C880, C880, $A$2:A880, ""&lt;="" &amp; A880) &lt; 30, AVERAGEIF($C$2:C880, C880, $G$2:G880), AVERAGE(FILTER($G$2:G880, $C$2:C880 = C880, $A$2:A880 &gt;= A880 - 30)))
"),"#DIV/0!")</f>
        <v>#DIV/0!</v>
      </c>
      <c r="I880" s="20" t="e">
        <f t="shared" ca="1" si="16"/>
        <v>#DIV/0!</v>
      </c>
      <c r="J880" s="20" t="str">
        <f ca="1">IFERROR(__xludf.DUMMYFUNCTION("IF(OR($I880=2, $I880=3), 0, IFERROR(COUNTIFS($C$2:C880, $C880, $A$2:A880, ""&gt;""&amp;IFERROR(MAX(FILTER($A$2:A880, $C$2:C880=$C880, $I$2:I880&lt;&gt;1)), 0), $I$2:I880, 1),1))
"),"#DIV/0!")</f>
        <v>#DIV/0!</v>
      </c>
      <c r="K880" s="7" t="e">
        <f t="shared" ca="1" si="17"/>
        <v>#DIV/0!</v>
      </c>
      <c r="L880" s="20" t="e">
        <f t="shared" ca="1" si="18"/>
        <v>#DIV/0!</v>
      </c>
      <c r="M880" s="21" t="e">
        <f t="shared" ca="1" si="19"/>
        <v>#DIV/0!</v>
      </c>
      <c r="N880" s="20" t="str">
        <f ca="1">IFERROR(__xludf.DUMMYFUNCTION("IF(COUNTIFS($C$2:C880, C880, $A$2:A880, ""&lt;="" &amp; A880) &lt; 30, STDEV.P(FILTER($G$2:G880, $C$2:C880 = C880)), STDEV.P(FILTER($G$2:G880, $C$2:C880 = C880, $A$2:A880 &gt;= A880 - 30)))
"),"#DIV/0!")</f>
        <v>#DIV/0!</v>
      </c>
    </row>
    <row r="881" spans="1:14" x14ac:dyDescent="0.2">
      <c r="A881" s="41"/>
      <c r="B881" s="32"/>
      <c r="C881" s="32"/>
      <c r="D881" s="33"/>
      <c r="E881" s="33"/>
      <c r="F881" s="33"/>
      <c r="G881" s="19" t="e">
        <f t="shared" si="15"/>
        <v>#DIV/0!</v>
      </c>
      <c r="H881" s="20" t="str">
        <f ca="1">IFERROR(__xludf.DUMMYFUNCTION("IF(COUNTIFS($C$2:C881, C881, $A$2:A881, ""&lt;="" &amp; A881) &lt; 30, AVERAGEIF($C$2:C881, C881, $G$2:G881), AVERAGE(FILTER($G$2:G881, $C$2:C881 = C881, $A$2:A881 &gt;= A881 - 30)))
"),"#DIV/0!")</f>
        <v>#DIV/0!</v>
      </c>
      <c r="I881" s="20" t="e">
        <f t="shared" ca="1" si="16"/>
        <v>#DIV/0!</v>
      </c>
      <c r="J881" s="20" t="str">
        <f ca="1">IFERROR(__xludf.DUMMYFUNCTION("IF(OR($I881=2, $I881=3), 0, IFERROR(COUNTIFS($C$2:C881, $C881, $A$2:A881, ""&gt;""&amp;IFERROR(MAX(FILTER($A$2:A881, $C$2:C881=$C881, $I$2:I881&lt;&gt;1)), 0), $I$2:I881, 1),1))
"),"#DIV/0!")</f>
        <v>#DIV/0!</v>
      </c>
      <c r="K881" s="7" t="e">
        <f t="shared" ca="1" si="17"/>
        <v>#DIV/0!</v>
      </c>
      <c r="L881" s="20" t="e">
        <f t="shared" ca="1" si="18"/>
        <v>#DIV/0!</v>
      </c>
      <c r="M881" s="21" t="e">
        <f t="shared" ca="1" si="19"/>
        <v>#DIV/0!</v>
      </c>
      <c r="N881" s="20" t="str">
        <f ca="1">IFERROR(__xludf.DUMMYFUNCTION("IF(COUNTIFS($C$2:C881, C881, $A$2:A881, ""&lt;="" &amp; A881) &lt; 30, STDEV.P(FILTER($G$2:G881, $C$2:C881 = C881)), STDEV.P(FILTER($G$2:G881, $C$2:C881 = C881, $A$2:A881 &gt;= A881 - 30)))
"),"#DIV/0!")</f>
        <v>#DIV/0!</v>
      </c>
    </row>
    <row r="882" spans="1:14" x14ac:dyDescent="0.2">
      <c r="A882" s="41"/>
      <c r="B882" s="32"/>
      <c r="C882" s="32"/>
      <c r="D882" s="33"/>
      <c r="E882" s="33"/>
      <c r="F882" s="33"/>
      <c r="G882" s="19" t="e">
        <f t="shared" si="15"/>
        <v>#DIV/0!</v>
      </c>
      <c r="H882" s="20" t="str">
        <f ca="1">IFERROR(__xludf.DUMMYFUNCTION("IF(COUNTIFS($C$2:C882, C882, $A$2:A882, ""&lt;="" &amp; A882) &lt; 30, AVERAGEIF($C$2:C882, C882, $G$2:G882), AVERAGE(FILTER($G$2:G882, $C$2:C882 = C882, $A$2:A882 &gt;= A882 - 30)))
"),"#DIV/0!")</f>
        <v>#DIV/0!</v>
      </c>
      <c r="I882" s="20" t="e">
        <f t="shared" ca="1" si="16"/>
        <v>#DIV/0!</v>
      </c>
      <c r="J882" s="20" t="str">
        <f ca="1">IFERROR(__xludf.DUMMYFUNCTION("IF(OR($I882=2, $I882=3), 0, IFERROR(COUNTIFS($C$2:C882, $C882, $A$2:A882, ""&gt;""&amp;IFERROR(MAX(FILTER($A$2:A882, $C$2:C882=$C882, $I$2:I882&lt;&gt;1)), 0), $I$2:I882, 1),1))
"),"#DIV/0!")</f>
        <v>#DIV/0!</v>
      </c>
      <c r="K882" s="7" t="e">
        <f t="shared" ca="1" si="17"/>
        <v>#DIV/0!</v>
      </c>
      <c r="L882" s="20" t="e">
        <f t="shared" ca="1" si="18"/>
        <v>#DIV/0!</v>
      </c>
      <c r="M882" s="21" t="e">
        <f t="shared" ca="1" si="19"/>
        <v>#DIV/0!</v>
      </c>
      <c r="N882" s="20" t="str">
        <f ca="1">IFERROR(__xludf.DUMMYFUNCTION("IF(COUNTIFS($C$2:C882, C882, $A$2:A882, ""&lt;="" &amp; A882) &lt; 30, STDEV.P(FILTER($G$2:G882, $C$2:C882 = C882)), STDEV.P(FILTER($G$2:G882, $C$2:C882 = C882, $A$2:A882 &gt;= A882 - 30)))
"),"#DIV/0!")</f>
        <v>#DIV/0!</v>
      </c>
    </row>
    <row r="883" spans="1:14" x14ac:dyDescent="0.2">
      <c r="A883" s="41"/>
      <c r="B883" s="32"/>
      <c r="C883" s="32"/>
      <c r="D883" s="33"/>
      <c r="E883" s="33"/>
      <c r="F883" s="33"/>
      <c r="G883" s="19" t="e">
        <f t="shared" si="15"/>
        <v>#DIV/0!</v>
      </c>
      <c r="H883" s="20" t="str">
        <f ca="1">IFERROR(__xludf.DUMMYFUNCTION("IF(COUNTIFS($C$2:C883, C883, $A$2:A883, ""&lt;="" &amp; A883) &lt; 30, AVERAGEIF($C$2:C883, C883, $G$2:G883), AVERAGE(FILTER($G$2:G883, $C$2:C883 = C883, $A$2:A883 &gt;= A883 - 30)))
"),"#DIV/0!")</f>
        <v>#DIV/0!</v>
      </c>
      <c r="I883" s="20" t="e">
        <f t="shared" ca="1" si="16"/>
        <v>#DIV/0!</v>
      </c>
      <c r="J883" s="20" t="str">
        <f ca="1">IFERROR(__xludf.DUMMYFUNCTION("IF(OR($I883=2, $I883=3), 0, IFERROR(COUNTIFS($C$2:C883, $C883, $A$2:A883, ""&gt;""&amp;IFERROR(MAX(FILTER($A$2:A883, $C$2:C883=$C883, $I$2:I883&lt;&gt;1)), 0), $I$2:I883, 1),1))
"),"#DIV/0!")</f>
        <v>#DIV/0!</v>
      </c>
      <c r="K883" s="7" t="e">
        <f t="shared" ca="1" si="17"/>
        <v>#DIV/0!</v>
      </c>
      <c r="L883" s="20" t="e">
        <f t="shared" ca="1" si="18"/>
        <v>#DIV/0!</v>
      </c>
      <c r="M883" s="21" t="e">
        <f t="shared" ca="1" si="19"/>
        <v>#DIV/0!</v>
      </c>
      <c r="N883" s="20" t="str">
        <f ca="1">IFERROR(__xludf.DUMMYFUNCTION("IF(COUNTIFS($C$2:C883, C883, $A$2:A883, ""&lt;="" &amp; A883) &lt; 30, STDEV.P(FILTER($G$2:G883, $C$2:C883 = C883)), STDEV.P(FILTER($G$2:G883, $C$2:C883 = C883, $A$2:A883 &gt;= A883 - 30)))
"),"#DIV/0!")</f>
        <v>#DIV/0!</v>
      </c>
    </row>
    <row r="884" spans="1:14" x14ac:dyDescent="0.2">
      <c r="A884" s="41"/>
      <c r="B884" s="32"/>
      <c r="C884" s="32"/>
      <c r="D884" s="33"/>
      <c r="E884" s="33"/>
      <c r="F884" s="33"/>
      <c r="G884" s="19" t="e">
        <f t="shared" si="15"/>
        <v>#DIV/0!</v>
      </c>
      <c r="H884" s="20" t="str">
        <f ca="1">IFERROR(__xludf.DUMMYFUNCTION("IF(COUNTIFS($C$2:C884, C884, $A$2:A884, ""&lt;="" &amp; A884) &lt; 30, AVERAGEIF($C$2:C884, C884, $G$2:G884), AVERAGE(FILTER($G$2:G884, $C$2:C884 = C884, $A$2:A884 &gt;= A884 - 30)))
"),"#DIV/0!")</f>
        <v>#DIV/0!</v>
      </c>
      <c r="I884" s="20" t="e">
        <f t="shared" ca="1" si="16"/>
        <v>#DIV/0!</v>
      </c>
      <c r="J884" s="20" t="str">
        <f ca="1">IFERROR(__xludf.DUMMYFUNCTION("IF(OR($I884=2, $I884=3), 0, IFERROR(COUNTIFS($C$2:C884, $C884, $A$2:A884, ""&gt;""&amp;IFERROR(MAX(FILTER($A$2:A884, $C$2:C884=$C884, $I$2:I884&lt;&gt;1)), 0), $I$2:I884, 1),1))
"),"#DIV/0!")</f>
        <v>#DIV/0!</v>
      </c>
      <c r="K884" s="7" t="e">
        <f t="shared" ca="1" si="17"/>
        <v>#DIV/0!</v>
      </c>
      <c r="L884" s="20" t="e">
        <f t="shared" ca="1" si="18"/>
        <v>#DIV/0!</v>
      </c>
      <c r="M884" s="21" t="e">
        <f t="shared" ca="1" si="19"/>
        <v>#DIV/0!</v>
      </c>
      <c r="N884" s="20" t="str">
        <f ca="1">IFERROR(__xludf.DUMMYFUNCTION("IF(COUNTIFS($C$2:C884, C884, $A$2:A884, ""&lt;="" &amp; A884) &lt; 30, STDEV.P(FILTER($G$2:G884, $C$2:C884 = C884)), STDEV.P(FILTER($G$2:G884, $C$2:C884 = C884, $A$2:A884 &gt;= A884 - 30)))
"),"#DIV/0!")</f>
        <v>#DIV/0!</v>
      </c>
    </row>
    <row r="885" spans="1:14" x14ac:dyDescent="0.2">
      <c r="A885" s="41"/>
      <c r="B885" s="32"/>
      <c r="C885" s="32"/>
      <c r="D885" s="33"/>
      <c r="E885" s="33"/>
      <c r="F885" s="33"/>
      <c r="G885" s="19" t="e">
        <f t="shared" si="15"/>
        <v>#DIV/0!</v>
      </c>
      <c r="H885" s="20" t="str">
        <f ca="1">IFERROR(__xludf.DUMMYFUNCTION("IF(COUNTIFS($C$2:C885, C885, $A$2:A885, ""&lt;="" &amp; A885) &lt; 30, AVERAGEIF($C$2:C885, C885, $G$2:G885), AVERAGE(FILTER($G$2:G885, $C$2:C885 = C885, $A$2:A885 &gt;= A885 - 30)))
"),"#DIV/0!")</f>
        <v>#DIV/0!</v>
      </c>
      <c r="I885" s="20" t="e">
        <f t="shared" ca="1" si="16"/>
        <v>#DIV/0!</v>
      </c>
      <c r="J885" s="20" t="str">
        <f ca="1">IFERROR(__xludf.DUMMYFUNCTION("IF(OR($I885=2, $I885=3), 0, IFERROR(COUNTIFS($C$2:C885, $C885, $A$2:A885, ""&gt;""&amp;IFERROR(MAX(FILTER($A$2:A885, $C$2:C885=$C885, $I$2:I885&lt;&gt;1)), 0), $I$2:I885, 1),1))
"),"#DIV/0!")</f>
        <v>#DIV/0!</v>
      </c>
      <c r="K885" s="7" t="e">
        <f t="shared" ca="1" si="17"/>
        <v>#DIV/0!</v>
      </c>
      <c r="L885" s="20" t="e">
        <f t="shared" ca="1" si="18"/>
        <v>#DIV/0!</v>
      </c>
      <c r="M885" s="21" t="e">
        <f t="shared" ca="1" si="19"/>
        <v>#DIV/0!</v>
      </c>
      <c r="N885" s="20" t="str">
        <f ca="1">IFERROR(__xludf.DUMMYFUNCTION("IF(COUNTIFS($C$2:C885, C885, $A$2:A885, ""&lt;="" &amp; A885) &lt; 30, STDEV.P(FILTER($G$2:G885, $C$2:C885 = C885)), STDEV.P(FILTER($G$2:G885, $C$2:C885 = C885, $A$2:A885 &gt;= A885 - 30)))
"),"#DIV/0!")</f>
        <v>#DIV/0!</v>
      </c>
    </row>
    <row r="886" spans="1:14" x14ac:dyDescent="0.2">
      <c r="A886" s="41"/>
      <c r="B886" s="32"/>
      <c r="C886" s="32"/>
      <c r="D886" s="33"/>
      <c r="E886" s="33"/>
      <c r="F886" s="33"/>
      <c r="G886" s="19" t="e">
        <f t="shared" si="15"/>
        <v>#DIV/0!</v>
      </c>
      <c r="H886" s="20" t="str">
        <f ca="1">IFERROR(__xludf.DUMMYFUNCTION("IF(COUNTIFS($C$2:C886, C886, $A$2:A886, ""&lt;="" &amp; A886) &lt; 30, AVERAGEIF($C$2:C886, C886, $G$2:G886), AVERAGE(FILTER($G$2:G886, $C$2:C886 = C886, $A$2:A886 &gt;= A886 - 30)))
"),"#DIV/0!")</f>
        <v>#DIV/0!</v>
      </c>
      <c r="I886" s="20" t="e">
        <f t="shared" ca="1" si="16"/>
        <v>#DIV/0!</v>
      </c>
      <c r="J886" s="20" t="str">
        <f ca="1">IFERROR(__xludf.DUMMYFUNCTION("IF(OR($I886=2, $I886=3), 0, IFERROR(COUNTIFS($C$2:C886, $C886, $A$2:A886, ""&gt;""&amp;IFERROR(MAX(FILTER($A$2:A886, $C$2:C886=$C886, $I$2:I886&lt;&gt;1)), 0), $I$2:I886, 1),1))
"),"#DIV/0!")</f>
        <v>#DIV/0!</v>
      </c>
      <c r="K886" s="7" t="e">
        <f t="shared" ca="1" si="17"/>
        <v>#DIV/0!</v>
      </c>
      <c r="L886" s="20" t="e">
        <f t="shared" ca="1" si="18"/>
        <v>#DIV/0!</v>
      </c>
      <c r="M886" s="21" t="e">
        <f t="shared" ca="1" si="19"/>
        <v>#DIV/0!</v>
      </c>
      <c r="N886" s="20" t="str">
        <f ca="1">IFERROR(__xludf.DUMMYFUNCTION("IF(COUNTIFS($C$2:C886, C886, $A$2:A886, ""&lt;="" &amp; A886) &lt; 30, STDEV.P(FILTER($G$2:G886, $C$2:C886 = C886)), STDEV.P(FILTER($G$2:G886, $C$2:C886 = C886, $A$2:A886 &gt;= A886 - 30)))
"),"#DIV/0!")</f>
        <v>#DIV/0!</v>
      </c>
    </row>
    <row r="887" spans="1:14" x14ac:dyDescent="0.2">
      <c r="A887" s="41"/>
      <c r="B887" s="32"/>
      <c r="C887" s="32"/>
      <c r="D887" s="33"/>
      <c r="E887" s="33"/>
      <c r="F887" s="33"/>
      <c r="G887" s="19" t="e">
        <f t="shared" si="15"/>
        <v>#DIV/0!</v>
      </c>
      <c r="H887" s="20" t="str">
        <f ca="1">IFERROR(__xludf.DUMMYFUNCTION("IF(COUNTIFS($C$2:C887, C887, $A$2:A887, ""&lt;="" &amp; A887) &lt; 30, AVERAGEIF($C$2:C887, C887, $G$2:G887), AVERAGE(FILTER($G$2:G887, $C$2:C887 = C887, $A$2:A887 &gt;= A887 - 30)))
"),"#DIV/0!")</f>
        <v>#DIV/0!</v>
      </c>
      <c r="I887" s="20" t="e">
        <f t="shared" ca="1" si="16"/>
        <v>#DIV/0!</v>
      </c>
      <c r="J887" s="20" t="str">
        <f ca="1">IFERROR(__xludf.DUMMYFUNCTION("IF(OR($I887=2, $I887=3), 0, IFERROR(COUNTIFS($C$2:C887, $C887, $A$2:A887, ""&gt;""&amp;IFERROR(MAX(FILTER($A$2:A887, $C$2:C887=$C887, $I$2:I887&lt;&gt;1)), 0), $I$2:I887, 1),1))
"),"#DIV/0!")</f>
        <v>#DIV/0!</v>
      </c>
      <c r="K887" s="7" t="e">
        <f t="shared" ca="1" si="17"/>
        <v>#DIV/0!</v>
      </c>
      <c r="L887" s="20" t="e">
        <f t="shared" ca="1" si="18"/>
        <v>#DIV/0!</v>
      </c>
      <c r="M887" s="21" t="e">
        <f t="shared" ca="1" si="19"/>
        <v>#DIV/0!</v>
      </c>
      <c r="N887" s="20" t="str">
        <f ca="1">IFERROR(__xludf.DUMMYFUNCTION("IF(COUNTIFS($C$2:C887, C887, $A$2:A887, ""&lt;="" &amp; A887) &lt; 30, STDEV.P(FILTER($G$2:G887, $C$2:C887 = C887)), STDEV.P(FILTER($G$2:G887, $C$2:C887 = C887, $A$2:A887 &gt;= A887 - 30)))
"),"#DIV/0!")</f>
        <v>#DIV/0!</v>
      </c>
    </row>
    <row r="888" spans="1:14" x14ac:dyDescent="0.2">
      <c r="A888" s="41"/>
      <c r="B888" s="32"/>
      <c r="C888" s="32"/>
      <c r="D888" s="33"/>
      <c r="E888" s="33"/>
      <c r="F888" s="33"/>
      <c r="G888" s="19" t="e">
        <f t="shared" si="15"/>
        <v>#DIV/0!</v>
      </c>
      <c r="H888" s="20" t="str">
        <f ca="1">IFERROR(__xludf.DUMMYFUNCTION("IF(COUNTIFS($C$2:C888, C888, $A$2:A888, ""&lt;="" &amp; A888) &lt; 30, AVERAGEIF($C$2:C888, C888, $G$2:G888), AVERAGE(FILTER($G$2:G888, $C$2:C888 = C888, $A$2:A888 &gt;= A888 - 30)))
"),"#DIV/0!")</f>
        <v>#DIV/0!</v>
      </c>
      <c r="I888" s="20" t="e">
        <f t="shared" ca="1" si="16"/>
        <v>#DIV/0!</v>
      </c>
      <c r="J888" s="20" t="str">
        <f ca="1">IFERROR(__xludf.DUMMYFUNCTION("IF(OR($I888=2, $I888=3), 0, IFERROR(COUNTIFS($C$2:C888, $C888, $A$2:A888, ""&gt;""&amp;IFERROR(MAX(FILTER($A$2:A888, $C$2:C888=$C888, $I$2:I888&lt;&gt;1)), 0), $I$2:I888, 1),1))
"),"#DIV/0!")</f>
        <v>#DIV/0!</v>
      </c>
      <c r="K888" s="7" t="e">
        <f t="shared" ca="1" si="17"/>
        <v>#DIV/0!</v>
      </c>
      <c r="L888" s="20" t="e">
        <f t="shared" ca="1" si="18"/>
        <v>#DIV/0!</v>
      </c>
      <c r="M888" s="21" t="e">
        <f t="shared" ca="1" si="19"/>
        <v>#DIV/0!</v>
      </c>
      <c r="N888" s="20" t="str">
        <f ca="1">IFERROR(__xludf.DUMMYFUNCTION("IF(COUNTIFS($C$2:C888, C888, $A$2:A888, ""&lt;="" &amp; A888) &lt; 30, STDEV.P(FILTER($G$2:G888, $C$2:C888 = C888)), STDEV.P(FILTER($G$2:G888, $C$2:C888 = C888, $A$2:A888 &gt;= A888 - 30)))
"),"#DIV/0!")</f>
        <v>#DIV/0!</v>
      </c>
    </row>
    <row r="889" spans="1:14" x14ac:dyDescent="0.2">
      <c r="A889" s="41"/>
      <c r="B889" s="32"/>
      <c r="C889" s="32"/>
      <c r="D889" s="33"/>
      <c r="E889" s="33"/>
      <c r="F889" s="33"/>
      <c r="G889" s="19" t="e">
        <f t="shared" si="15"/>
        <v>#DIV/0!</v>
      </c>
      <c r="H889" s="20" t="str">
        <f ca="1">IFERROR(__xludf.DUMMYFUNCTION("IF(COUNTIFS($C$2:C889, C889, $A$2:A889, ""&lt;="" &amp; A889) &lt; 30, AVERAGEIF($C$2:C889, C889, $G$2:G889), AVERAGE(FILTER($G$2:G889, $C$2:C889 = C889, $A$2:A889 &gt;= A889 - 30)))
"),"#DIV/0!")</f>
        <v>#DIV/0!</v>
      </c>
      <c r="I889" s="20" t="e">
        <f t="shared" ca="1" si="16"/>
        <v>#DIV/0!</v>
      </c>
      <c r="J889" s="20" t="str">
        <f ca="1">IFERROR(__xludf.DUMMYFUNCTION("IF(OR($I889=2, $I889=3), 0, IFERROR(COUNTIFS($C$2:C889, $C889, $A$2:A889, ""&gt;""&amp;IFERROR(MAX(FILTER($A$2:A889, $C$2:C889=$C889, $I$2:I889&lt;&gt;1)), 0), $I$2:I889, 1),1))
"),"#DIV/0!")</f>
        <v>#DIV/0!</v>
      </c>
      <c r="K889" s="7" t="e">
        <f t="shared" ca="1" si="17"/>
        <v>#DIV/0!</v>
      </c>
      <c r="L889" s="20" t="e">
        <f t="shared" ca="1" si="18"/>
        <v>#DIV/0!</v>
      </c>
      <c r="M889" s="21" t="e">
        <f t="shared" ca="1" si="19"/>
        <v>#DIV/0!</v>
      </c>
      <c r="N889" s="20" t="str">
        <f ca="1">IFERROR(__xludf.DUMMYFUNCTION("IF(COUNTIFS($C$2:C889, C889, $A$2:A889, ""&lt;="" &amp; A889) &lt; 30, STDEV.P(FILTER($G$2:G889, $C$2:C889 = C889)), STDEV.P(FILTER($G$2:G889, $C$2:C889 = C889, $A$2:A889 &gt;= A889 - 30)))
"),"#DIV/0!")</f>
        <v>#DIV/0!</v>
      </c>
    </row>
    <row r="890" spans="1:14" x14ac:dyDescent="0.2">
      <c r="A890" s="41"/>
      <c r="B890" s="32"/>
      <c r="C890" s="32"/>
      <c r="D890" s="33"/>
      <c r="E890" s="33"/>
      <c r="F890" s="33"/>
      <c r="G890" s="19" t="e">
        <f t="shared" si="15"/>
        <v>#DIV/0!</v>
      </c>
      <c r="H890" s="20" t="str">
        <f ca="1">IFERROR(__xludf.DUMMYFUNCTION("IF(COUNTIFS($C$2:C890, C890, $A$2:A890, ""&lt;="" &amp; A890) &lt; 30, AVERAGEIF($C$2:C890, C890, $G$2:G890), AVERAGE(FILTER($G$2:G890, $C$2:C890 = C890, $A$2:A890 &gt;= A890 - 30)))
"),"#DIV/0!")</f>
        <v>#DIV/0!</v>
      </c>
      <c r="I890" s="20" t="e">
        <f t="shared" ca="1" si="16"/>
        <v>#DIV/0!</v>
      </c>
      <c r="J890" s="20" t="str">
        <f ca="1">IFERROR(__xludf.DUMMYFUNCTION("IF(OR($I890=2, $I890=3), 0, IFERROR(COUNTIFS($C$2:C890, $C890, $A$2:A890, ""&gt;""&amp;IFERROR(MAX(FILTER($A$2:A890, $C$2:C890=$C890, $I$2:I890&lt;&gt;1)), 0), $I$2:I890, 1),1))
"),"#DIV/0!")</f>
        <v>#DIV/0!</v>
      </c>
      <c r="K890" s="7" t="e">
        <f t="shared" ca="1" si="17"/>
        <v>#DIV/0!</v>
      </c>
      <c r="L890" s="20" t="e">
        <f t="shared" ca="1" si="18"/>
        <v>#DIV/0!</v>
      </c>
      <c r="M890" s="21" t="e">
        <f t="shared" ca="1" si="19"/>
        <v>#DIV/0!</v>
      </c>
      <c r="N890" s="20" t="str">
        <f ca="1">IFERROR(__xludf.DUMMYFUNCTION("IF(COUNTIFS($C$2:C890, C890, $A$2:A890, ""&lt;="" &amp; A890) &lt; 30, STDEV.P(FILTER($G$2:G890, $C$2:C890 = C890)), STDEV.P(FILTER($G$2:G890, $C$2:C890 = C890, $A$2:A890 &gt;= A890 - 30)))
"),"#DIV/0!")</f>
        <v>#DIV/0!</v>
      </c>
    </row>
    <row r="891" spans="1:14" x14ac:dyDescent="0.2">
      <c r="A891" s="41"/>
      <c r="B891" s="32"/>
      <c r="C891" s="32"/>
      <c r="D891" s="33"/>
      <c r="E891" s="33"/>
      <c r="F891" s="33"/>
      <c r="G891" s="19" t="e">
        <f t="shared" si="15"/>
        <v>#DIV/0!</v>
      </c>
      <c r="H891" s="20" t="str">
        <f ca="1">IFERROR(__xludf.DUMMYFUNCTION("IF(COUNTIFS($C$2:C891, C891, $A$2:A891, ""&lt;="" &amp; A891) &lt; 30, AVERAGEIF($C$2:C891, C891, $G$2:G891), AVERAGE(FILTER($G$2:G891, $C$2:C891 = C891, $A$2:A891 &gt;= A891 - 30)))
"),"#DIV/0!")</f>
        <v>#DIV/0!</v>
      </c>
      <c r="I891" s="20" t="e">
        <f t="shared" ca="1" si="16"/>
        <v>#DIV/0!</v>
      </c>
      <c r="J891" s="20" t="str">
        <f ca="1">IFERROR(__xludf.DUMMYFUNCTION("IF(OR($I891=2, $I891=3), 0, IFERROR(COUNTIFS($C$2:C891, $C891, $A$2:A891, ""&gt;""&amp;IFERROR(MAX(FILTER($A$2:A891, $C$2:C891=$C891, $I$2:I891&lt;&gt;1)), 0), $I$2:I891, 1),1))
"),"#DIV/0!")</f>
        <v>#DIV/0!</v>
      </c>
      <c r="K891" s="7" t="e">
        <f t="shared" ca="1" si="17"/>
        <v>#DIV/0!</v>
      </c>
      <c r="L891" s="20" t="e">
        <f t="shared" ca="1" si="18"/>
        <v>#DIV/0!</v>
      </c>
      <c r="M891" s="21" t="e">
        <f t="shared" ca="1" si="19"/>
        <v>#DIV/0!</v>
      </c>
      <c r="N891" s="20" t="str">
        <f ca="1">IFERROR(__xludf.DUMMYFUNCTION("IF(COUNTIFS($C$2:C891, C891, $A$2:A891, ""&lt;="" &amp; A891) &lt; 30, STDEV.P(FILTER($G$2:G891, $C$2:C891 = C891)), STDEV.P(FILTER($G$2:G891, $C$2:C891 = C891, $A$2:A891 &gt;= A891 - 30)))
"),"#DIV/0!")</f>
        <v>#DIV/0!</v>
      </c>
    </row>
    <row r="892" spans="1:14" x14ac:dyDescent="0.2">
      <c r="A892" s="41"/>
      <c r="B892" s="32"/>
      <c r="C892" s="32"/>
      <c r="D892" s="33"/>
      <c r="E892" s="33"/>
      <c r="F892" s="33"/>
      <c r="G892" s="19" t="e">
        <f t="shared" si="15"/>
        <v>#DIV/0!</v>
      </c>
      <c r="H892" s="20" t="str">
        <f ca="1">IFERROR(__xludf.DUMMYFUNCTION("IF(COUNTIFS($C$2:C892, C892, $A$2:A892, ""&lt;="" &amp; A892) &lt; 30, AVERAGEIF($C$2:C892, C892, $G$2:G892), AVERAGE(FILTER($G$2:G892, $C$2:C892 = C892, $A$2:A892 &gt;= A892 - 30)))
"),"#DIV/0!")</f>
        <v>#DIV/0!</v>
      </c>
      <c r="I892" s="20" t="e">
        <f t="shared" ca="1" si="16"/>
        <v>#DIV/0!</v>
      </c>
      <c r="J892" s="20" t="str">
        <f ca="1">IFERROR(__xludf.DUMMYFUNCTION("IF(OR($I892=2, $I892=3), 0, IFERROR(COUNTIFS($C$2:C892, $C892, $A$2:A892, ""&gt;""&amp;IFERROR(MAX(FILTER($A$2:A892, $C$2:C892=$C892, $I$2:I892&lt;&gt;1)), 0), $I$2:I892, 1),1))
"),"#DIV/0!")</f>
        <v>#DIV/0!</v>
      </c>
      <c r="K892" s="7" t="e">
        <f t="shared" ca="1" si="17"/>
        <v>#DIV/0!</v>
      </c>
      <c r="L892" s="20" t="e">
        <f t="shared" ca="1" si="18"/>
        <v>#DIV/0!</v>
      </c>
      <c r="M892" s="21" t="e">
        <f t="shared" ca="1" si="19"/>
        <v>#DIV/0!</v>
      </c>
      <c r="N892" s="20" t="str">
        <f ca="1">IFERROR(__xludf.DUMMYFUNCTION("IF(COUNTIFS($C$2:C892, C892, $A$2:A892, ""&lt;="" &amp; A892) &lt; 30, STDEV.P(FILTER($G$2:G892, $C$2:C892 = C892)), STDEV.P(FILTER($G$2:G892, $C$2:C892 = C892, $A$2:A892 &gt;= A892 - 30)))
"),"#DIV/0!")</f>
        <v>#DIV/0!</v>
      </c>
    </row>
    <row r="893" spans="1:14" x14ac:dyDescent="0.2">
      <c r="A893" s="41"/>
      <c r="B893" s="32"/>
      <c r="C893" s="32"/>
      <c r="D893" s="33"/>
      <c r="E893" s="33"/>
      <c r="F893" s="33"/>
      <c r="G893" s="19" t="e">
        <f t="shared" si="15"/>
        <v>#DIV/0!</v>
      </c>
      <c r="H893" s="20" t="str">
        <f ca="1">IFERROR(__xludf.DUMMYFUNCTION("IF(COUNTIFS($C$2:C893, C893, $A$2:A893, ""&lt;="" &amp; A893) &lt; 30, AVERAGEIF($C$2:C893, C893, $G$2:G893), AVERAGE(FILTER($G$2:G893, $C$2:C893 = C893, $A$2:A893 &gt;= A893 - 30)))
"),"#DIV/0!")</f>
        <v>#DIV/0!</v>
      </c>
      <c r="I893" s="20" t="e">
        <f t="shared" ca="1" si="16"/>
        <v>#DIV/0!</v>
      </c>
      <c r="J893" s="20" t="str">
        <f ca="1">IFERROR(__xludf.DUMMYFUNCTION("IF(OR($I893=2, $I893=3), 0, IFERROR(COUNTIFS($C$2:C893, $C893, $A$2:A893, ""&gt;""&amp;IFERROR(MAX(FILTER($A$2:A893, $C$2:C893=$C893, $I$2:I893&lt;&gt;1)), 0), $I$2:I893, 1),1))
"),"#DIV/0!")</f>
        <v>#DIV/0!</v>
      </c>
      <c r="K893" s="7" t="e">
        <f t="shared" ca="1" si="17"/>
        <v>#DIV/0!</v>
      </c>
      <c r="L893" s="20" t="e">
        <f t="shared" ca="1" si="18"/>
        <v>#DIV/0!</v>
      </c>
      <c r="M893" s="21" t="e">
        <f t="shared" ca="1" si="19"/>
        <v>#DIV/0!</v>
      </c>
      <c r="N893" s="20" t="str">
        <f ca="1">IFERROR(__xludf.DUMMYFUNCTION("IF(COUNTIFS($C$2:C893, C893, $A$2:A893, ""&lt;="" &amp; A893) &lt; 30, STDEV.P(FILTER($G$2:G893, $C$2:C893 = C893)), STDEV.P(FILTER($G$2:G893, $C$2:C893 = C893, $A$2:A893 &gt;= A893 - 30)))
"),"#DIV/0!")</f>
        <v>#DIV/0!</v>
      </c>
    </row>
    <row r="894" spans="1:14" x14ac:dyDescent="0.2">
      <c r="A894" s="41"/>
      <c r="B894" s="40"/>
      <c r="C894" s="40"/>
      <c r="D894" s="31"/>
      <c r="E894" s="31"/>
      <c r="F894" s="31"/>
      <c r="G894" s="19" t="e">
        <f t="shared" si="15"/>
        <v>#DIV/0!</v>
      </c>
      <c r="H894" s="20" t="str">
        <f ca="1">IFERROR(__xludf.DUMMYFUNCTION("IF(COUNTIFS($C$2:C894, C894, $A$2:A894, ""&lt;="" &amp; A894) &lt; 30, AVERAGEIF($C$2:C894, C894, $G$2:G894), AVERAGE(FILTER($G$2:G894, $C$2:C894 = C894, $A$2:A894 &gt;= A894 - 30)))
"),"#DIV/0!")</f>
        <v>#DIV/0!</v>
      </c>
      <c r="I894" s="20" t="e">
        <f t="shared" ca="1" si="16"/>
        <v>#DIV/0!</v>
      </c>
      <c r="J894" s="20" t="str">
        <f ca="1">IFERROR(__xludf.DUMMYFUNCTION("IF(OR($I894=2, $I894=3), 0, IFERROR(COUNTIFS($C$2:C894, $C894, $A$2:A894, ""&gt;""&amp;IFERROR(MAX(FILTER($A$2:A894, $C$2:C894=$C894, $I$2:I894&lt;&gt;1)), 0), $I$2:I894, 1),1))
"),"#DIV/0!")</f>
        <v>#DIV/0!</v>
      </c>
      <c r="K894" s="7" t="e">
        <f t="shared" ca="1" si="17"/>
        <v>#DIV/0!</v>
      </c>
      <c r="L894" s="20" t="e">
        <f t="shared" ca="1" si="18"/>
        <v>#DIV/0!</v>
      </c>
      <c r="M894" s="21" t="e">
        <f t="shared" ca="1" si="19"/>
        <v>#DIV/0!</v>
      </c>
      <c r="N894" s="20" t="str">
        <f ca="1">IFERROR(__xludf.DUMMYFUNCTION("IF(COUNTIFS($C$2:C894, C894, $A$2:A894, ""&lt;="" &amp; A894) &lt; 30, STDEV.P(FILTER($G$2:G894, $C$2:C894 = C894)), STDEV.P(FILTER($G$2:G894, $C$2:C894 = C894, $A$2:A894 &gt;= A894 - 30)))
"),"#DIV/0!")</f>
        <v>#DIV/0!</v>
      </c>
    </row>
    <row r="895" spans="1:14" x14ac:dyDescent="0.2">
      <c r="A895" s="41"/>
      <c r="B895" s="40"/>
      <c r="C895" s="40"/>
      <c r="D895" s="31"/>
      <c r="E895" s="31"/>
      <c r="F895" s="31"/>
      <c r="G895" s="19" t="e">
        <f t="shared" si="15"/>
        <v>#DIV/0!</v>
      </c>
      <c r="H895" s="20" t="str">
        <f ca="1">IFERROR(__xludf.DUMMYFUNCTION("IF(COUNTIFS($C$2:C895, C895, $A$2:A895, ""&lt;="" &amp; A895) &lt; 30, AVERAGEIF($C$2:C895, C895, $G$2:G895), AVERAGE(FILTER($G$2:G895, $C$2:C895 = C895, $A$2:A895 &gt;= A895 - 30)))
"),"#DIV/0!")</f>
        <v>#DIV/0!</v>
      </c>
      <c r="I895" s="20" t="e">
        <f t="shared" ca="1" si="16"/>
        <v>#DIV/0!</v>
      </c>
      <c r="J895" s="20" t="str">
        <f ca="1">IFERROR(__xludf.DUMMYFUNCTION("IF(OR($I895=2, $I895=3), 0, IFERROR(COUNTIFS($C$2:C895, $C895, $A$2:A895, ""&gt;""&amp;IFERROR(MAX(FILTER($A$2:A895, $C$2:C895=$C895, $I$2:I895&lt;&gt;1)), 0), $I$2:I895, 1),1))
"),"#DIV/0!")</f>
        <v>#DIV/0!</v>
      </c>
      <c r="K895" s="7" t="e">
        <f t="shared" ca="1" si="17"/>
        <v>#DIV/0!</v>
      </c>
      <c r="L895" s="20" t="e">
        <f t="shared" ca="1" si="18"/>
        <v>#DIV/0!</v>
      </c>
      <c r="M895" s="21" t="e">
        <f t="shared" ca="1" si="19"/>
        <v>#DIV/0!</v>
      </c>
      <c r="N895" s="20" t="str">
        <f ca="1">IFERROR(__xludf.DUMMYFUNCTION("IF(COUNTIFS($C$2:C895, C895, $A$2:A895, ""&lt;="" &amp; A895) &lt; 30, STDEV.P(FILTER($G$2:G895, $C$2:C895 = C895)), STDEV.P(FILTER($G$2:G895, $C$2:C895 = C895, $A$2:A895 &gt;= A895 - 30)))
"),"#DIV/0!")</f>
        <v>#DIV/0!</v>
      </c>
    </row>
    <row r="896" spans="1:14" x14ac:dyDescent="0.2">
      <c r="A896" s="41"/>
      <c r="B896" s="40"/>
      <c r="C896" s="40"/>
      <c r="D896" s="31"/>
      <c r="E896" s="31"/>
      <c r="F896" s="31"/>
      <c r="G896" s="19" t="e">
        <f t="shared" si="15"/>
        <v>#DIV/0!</v>
      </c>
      <c r="H896" s="20" t="str">
        <f ca="1">IFERROR(__xludf.DUMMYFUNCTION("IF(COUNTIFS($C$2:C896, C896, $A$2:A896, ""&lt;="" &amp; A896) &lt; 30, AVERAGEIF($C$2:C896, C896, $G$2:G896), AVERAGE(FILTER($G$2:G896, $C$2:C896 = C896, $A$2:A896 &gt;= A896 - 30)))
"),"#DIV/0!")</f>
        <v>#DIV/0!</v>
      </c>
      <c r="I896" s="20" t="e">
        <f t="shared" ca="1" si="16"/>
        <v>#DIV/0!</v>
      </c>
      <c r="J896" s="20" t="str">
        <f ca="1">IFERROR(__xludf.DUMMYFUNCTION("IF(OR($I896=2, $I896=3), 0, IFERROR(COUNTIFS($C$2:C896, $C896, $A$2:A896, ""&gt;""&amp;IFERROR(MAX(FILTER($A$2:A896, $C$2:C896=$C896, $I$2:I896&lt;&gt;1)), 0), $I$2:I896, 1),1))
"),"#DIV/0!")</f>
        <v>#DIV/0!</v>
      </c>
      <c r="K896" s="7" t="e">
        <f t="shared" ca="1" si="17"/>
        <v>#DIV/0!</v>
      </c>
      <c r="L896" s="20" t="e">
        <f t="shared" ca="1" si="18"/>
        <v>#DIV/0!</v>
      </c>
      <c r="M896" s="21" t="e">
        <f t="shared" ca="1" si="19"/>
        <v>#DIV/0!</v>
      </c>
      <c r="N896" s="20" t="str">
        <f ca="1">IFERROR(__xludf.DUMMYFUNCTION("IF(COUNTIFS($C$2:C896, C896, $A$2:A896, ""&lt;="" &amp; A896) &lt; 30, STDEV.P(FILTER($G$2:G896, $C$2:C896 = C896)), STDEV.P(FILTER($G$2:G896, $C$2:C896 = C896, $A$2:A896 &gt;= A896 - 30)))
"),"#DIV/0!")</f>
        <v>#DIV/0!</v>
      </c>
    </row>
    <row r="897" spans="1:14" x14ac:dyDescent="0.2">
      <c r="A897" s="41"/>
      <c r="B897" s="40"/>
      <c r="C897" s="40"/>
      <c r="D897" s="31"/>
      <c r="E897" s="31"/>
      <c r="F897" s="31"/>
      <c r="G897" s="19" t="e">
        <f t="shared" si="15"/>
        <v>#DIV/0!</v>
      </c>
      <c r="H897" s="20" t="str">
        <f ca="1">IFERROR(__xludf.DUMMYFUNCTION("IF(COUNTIFS($C$2:C897, C897, $A$2:A897, ""&lt;="" &amp; A897) &lt; 30, AVERAGEIF($C$2:C897, C897, $G$2:G897), AVERAGE(FILTER($G$2:G897, $C$2:C897 = C897, $A$2:A897 &gt;= A897 - 30)))
"),"#DIV/0!")</f>
        <v>#DIV/0!</v>
      </c>
      <c r="I897" s="20" t="e">
        <f t="shared" ca="1" si="16"/>
        <v>#DIV/0!</v>
      </c>
      <c r="J897" s="20" t="str">
        <f ca="1">IFERROR(__xludf.DUMMYFUNCTION("IF(OR($I897=2, $I897=3), 0, IFERROR(COUNTIFS($C$2:C897, $C897, $A$2:A897, ""&gt;""&amp;IFERROR(MAX(FILTER($A$2:A897, $C$2:C897=$C897, $I$2:I897&lt;&gt;1)), 0), $I$2:I897, 1),1))
"),"#DIV/0!")</f>
        <v>#DIV/0!</v>
      </c>
      <c r="K897" s="7" t="e">
        <f t="shared" ca="1" si="17"/>
        <v>#DIV/0!</v>
      </c>
      <c r="L897" s="20" t="e">
        <f t="shared" ca="1" si="18"/>
        <v>#DIV/0!</v>
      </c>
      <c r="M897" s="21" t="e">
        <f t="shared" ca="1" si="19"/>
        <v>#DIV/0!</v>
      </c>
      <c r="N897" s="20" t="str">
        <f ca="1">IFERROR(__xludf.DUMMYFUNCTION("IF(COUNTIFS($C$2:C897, C897, $A$2:A897, ""&lt;="" &amp; A897) &lt; 30, STDEV.P(FILTER($G$2:G897, $C$2:C897 = C897)), STDEV.P(FILTER($G$2:G897, $C$2:C897 = C897, $A$2:A897 &gt;= A897 - 30)))
"),"#DIV/0!")</f>
        <v>#DIV/0!</v>
      </c>
    </row>
    <row r="898" spans="1:14" x14ac:dyDescent="0.2">
      <c r="A898" s="41"/>
      <c r="B898" s="40"/>
      <c r="C898" s="40"/>
      <c r="D898" s="31"/>
      <c r="E898" s="31"/>
      <c r="F898" s="31"/>
      <c r="G898" s="19" t="e">
        <f t="shared" si="15"/>
        <v>#DIV/0!</v>
      </c>
      <c r="H898" s="20" t="str">
        <f ca="1">IFERROR(__xludf.DUMMYFUNCTION("IF(COUNTIFS($C$2:C898, C898, $A$2:A898, ""&lt;="" &amp; A898) &lt; 30, AVERAGEIF($C$2:C898, C898, $G$2:G898), AVERAGE(FILTER($G$2:G898, $C$2:C898 = C898, $A$2:A898 &gt;= A898 - 30)))
"),"#DIV/0!")</f>
        <v>#DIV/0!</v>
      </c>
      <c r="I898" s="20" t="e">
        <f t="shared" ca="1" si="16"/>
        <v>#DIV/0!</v>
      </c>
      <c r="J898" s="20" t="str">
        <f ca="1">IFERROR(__xludf.DUMMYFUNCTION("IF(OR($I898=2, $I898=3), 0, IFERROR(COUNTIFS($C$2:C898, $C898, $A$2:A898, ""&gt;""&amp;IFERROR(MAX(FILTER($A$2:A898, $C$2:C898=$C898, $I$2:I898&lt;&gt;1)), 0), $I$2:I898, 1),1))
"),"#DIV/0!")</f>
        <v>#DIV/0!</v>
      </c>
      <c r="K898" s="7" t="e">
        <f t="shared" ca="1" si="17"/>
        <v>#DIV/0!</v>
      </c>
      <c r="L898" s="20" t="e">
        <f t="shared" ca="1" si="18"/>
        <v>#DIV/0!</v>
      </c>
      <c r="M898" s="21" t="e">
        <f t="shared" ca="1" si="19"/>
        <v>#DIV/0!</v>
      </c>
      <c r="N898" s="20" t="str">
        <f ca="1">IFERROR(__xludf.DUMMYFUNCTION("IF(COUNTIFS($C$2:C898, C898, $A$2:A898, ""&lt;="" &amp; A898) &lt; 30, STDEV.P(FILTER($G$2:G898, $C$2:C898 = C898)), STDEV.P(FILTER($G$2:G898, $C$2:C898 = C898, $A$2:A898 &gt;= A898 - 30)))
"),"#DIV/0!")</f>
        <v>#DIV/0!</v>
      </c>
    </row>
    <row r="899" spans="1:14" x14ac:dyDescent="0.2">
      <c r="A899" s="41"/>
      <c r="B899" s="40"/>
      <c r="C899" s="40"/>
      <c r="D899" s="31"/>
      <c r="E899" s="31"/>
      <c r="F899" s="31"/>
      <c r="G899" s="19" t="e">
        <f t="shared" si="15"/>
        <v>#DIV/0!</v>
      </c>
      <c r="H899" s="20" t="str">
        <f ca="1">IFERROR(__xludf.DUMMYFUNCTION("IF(COUNTIFS($C$2:C899, C899, $A$2:A899, ""&lt;="" &amp; A899) &lt; 30, AVERAGEIF($C$2:C899, C899, $G$2:G899), AVERAGE(FILTER($G$2:G899, $C$2:C899 = C899, $A$2:A899 &gt;= A899 - 30)))
"),"#DIV/0!")</f>
        <v>#DIV/0!</v>
      </c>
      <c r="I899" s="20" t="e">
        <f t="shared" ca="1" si="16"/>
        <v>#DIV/0!</v>
      </c>
      <c r="J899" s="20" t="str">
        <f ca="1">IFERROR(__xludf.DUMMYFUNCTION("IF(OR($I899=2, $I899=3), 0, IFERROR(COUNTIFS($C$2:C899, $C899, $A$2:A899, ""&gt;""&amp;IFERROR(MAX(FILTER($A$2:A899, $C$2:C899=$C899, $I$2:I899&lt;&gt;1)), 0), $I$2:I899, 1),1))
"),"#DIV/0!")</f>
        <v>#DIV/0!</v>
      </c>
      <c r="K899" s="7" t="e">
        <f t="shared" ca="1" si="17"/>
        <v>#DIV/0!</v>
      </c>
      <c r="L899" s="20" t="e">
        <f t="shared" ca="1" si="18"/>
        <v>#DIV/0!</v>
      </c>
      <c r="M899" s="21" t="e">
        <f t="shared" ca="1" si="19"/>
        <v>#DIV/0!</v>
      </c>
      <c r="N899" s="20" t="str">
        <f ca="1">IFERROR(__xludf.DUMMYFUNCTION("IF(COUNTIFS($C$2:C899, C899, $A$2:A899, ""&lt;="" &amp; A899) &lt; 30, STDEV.P(FILTER($G$2:G899, $C$2:C899 = C899)), STDEV.P(FILTER($G$2:G899, $C$2:C899 = C899, $A$2:A899 &gt;= A899 - 30)))
"),"#DIV/0!")</f>
        <v>#DIV/0!</v>
      </c>
    </row>
    <row r="900" spans="1:14" x14ac:dyDescent="0.2">
      <c r="A900" s="41"/>
      <c r="B900" s="32"/>
      <c r="C900" s="32"/>
      <c r="D900" s="33"/>
      <c r="E900" s="33"/>
      <c r="F900" s="33"/>
      <c r="G900" s="19" t="e">
        <f t="shared" si="15"/>
        <v>#DIV/0!</v>
      </c>
      <c r="H900" s="20" t="str">
        <f ca="1">IFERROR(__xludf.DUMMYFUNCTION("IF(COUNTIFS($C$2:C900, C900, $A$2:A900, ""&lt;="" &amp; A900) &lt; 30, AVERAGEIF($C$2:C900, C900, $G$2:G900), AVERAGE(FILTER($G$2:G900, $C$2:C900 = C900, $A$2:A900 &gt;= A900 - 30)))
"),"#DIV/0!")</f>
        <v>#DIV/0!</v>
      </c>
      <c r="I900" s="20" t="e">
        <f t="shared" ca="1" si="16"/>
        <v>#DIV/0!</v>
      </c>
      <c r="J900" s="20" t="str">
        <f ca="1">IFERROR(__xludf.DUMMYFUNCTION("IF(OR($I900=2, $I900=3), 0, IFERROR(COUNTIFS($C$2:C900, $C900, $A$2:A900, ""&gt;""&amp;IFERROR(MAX(FILTER($A$2:A900, $C$2:C900=$C900, $I$2:I900&lt;&gt;1)), 0), $I$2:I900, 1),1))
"),"#DIV/0!")</f>
        <v>#DIV/0!</v>
      </c>
      <c r="K900" s="7" t="e">
        <f t="shared" ca="1" si="17"/>
        <v>#DIV/0!</v>
      </c>
      <c r="L900" s="20" t="e">
        <f t="shared" ca="1" si="18"/>
        <v>#DIV/0!</v>
      </c>
      <c r="M900" s="21" t="e">
        <f t="shared" ca="1" si="19"/>
        <v>#DIV/0!</v>
      </c>
      <c r="N900" s="20" t="str">
        <f ca="1">IFERROR(__xludf.DUMMYFUNCTION("IF(COUNTIFS($C$2:C900, C900, $A$2:A900, ""&lt;="" &amp; A900) &lt; 30, STDEV.P(FILTER($G$2:G900, $C$2:C900 = C900)), STDEV.P(FILTER($G$2:G900, $C$2:C900 = C900, $A$2:A900 &gt;= A900 - 30)))
"),"#DIV/0!")</f>
        <v>#DIV/0!</v>
      </c>
    </row>
    <row r="901" spans="1:14" x14ac:dyDescent="0.2">
      <c r="A901" s="41"/>
      <c r="B901" s="32"/>
      <c r="C901" s="32"/>
      <c r="D901" s="33"/>
      <c r="E901" s="33"/>
      <c r="F901" s="33"/>
      <c r="G901" s="19" t="e">
        <f t="shared" si="15"/>
        <v>#DIV/0!</v>
      </c>
      <c r="H901" s="20" t="str">
        <f ca="1">IFERROR(__xludf.DUMMYFUNCTION("IF(COUNTIFS($C$2:C901, C901, $A$2:A901, ""&lt;="" &amp; A901) &lt; 30, AVERAGEIF($C$2:C901, C901, $G$2:G901), AVERAGE(FILTER($G$2:G901, $C$2:C901 = C901, $A$2:A901 &gt;= A901 - 30)))
"),"#DIV/0!")</f>
        <v>#DIV/0!</v>
      </c>
      <c r="I901" s="20" t="e">
        <f t="shared" ca="1" si="16"/>
        <v>#DIV/0!</v>
      </c>
      <c r="J901" s="20" t="str">
        <f ca="1">IFERROR(__xludf.DUMMYFUNCTION("IF(OR($I901=2, $I901=3), 0, IFERROR(COUNTIFS($C$2:C901, $C901, $A$2:A901, ""&gt;""&amp;IFERROR(MAX(FILTER($A$2:A901, $C$2:C901=$C901, $I$2:I901&lt;&gt;1)), 0), $I$2:I901, 1),1))
"),"#DIV/0!")</f>
        <v>#DIV/0!</v>
      </c>
      <c r="K901" s="7" t="e">
        <f t="shared" ca="1" si="17"/>
        <v>#DIV/0!</v>
      </c>
      <c r="L901" s="20" t="e">
        <f t="shared" ca="1" si="18"/>
        <v>#DIV/0!</v>
      </c>
      <c r="M901" s="21" t="e">
        <f t="shared" ca="1" si="19"/>
        <v>#DIV/0!</v>
      </c>
      <c r="N901" s="20" t="str">
        <f ca="1">IFERROR(__xludf.DUMMYFUNCTION("IF(COUNTIFS($C$2:C901, C901, $A$2:A901, ""&lt;="" &amp; A901) &lt; 30, STDEV.P(FILTER($G$2:G901, $C$2:C901 = C901)), STDEV.P(FILTER($G$2:G901, $C$2:C901 = C901, $A$2:A901 &gt;= A901 - 30)))
"),"#DIV/0!")</f>
        <v>#DIV/0!</v>
      </c>
    </row>
    <row r="902" spans="1:14" x14ac:dyDescent="0.2">
      <c r="A902" s="41"/>
      <c r="B902" s="32"/>
      <c r="C902" s="32"/>
      <c r="D902" s="33"/>
      <c r="E902" s="33"/>
      <c r="F902" s="33"/>
      <c r="G902" s="19" t="e">
        <f t="shared" si="15"/>
        <v>#DIV/0!</v>
      </c>
      <c r="H902" s="20" t="str">
        <f ca="1">IFERROR(__xludf.DUMMYFUNCTION("IF(COUNTIFS($C$2:C902, C902, $A$2:A902, ""&lt;="" &amp; A902) &lt; 30, AVERAGEIF($C$2:C902, C902, $G$2:G902), AVERAGE(FILTER($G$2:G902, $C$2:C902 = C902, $A$2:A902 &gt;= A902 - 30)))
"),"#DIV/0!")</f>
        <v>#DIV/0!</v>
      </c>
      <c r="I902" s="20" t="e">
        <f t="shared" ca="1" si="16"/>
        <v>#DIV/0!</v>
      </c>
      <c r="J902" s="20" t="str">
        <f ca="1">IFERROR(__xludf.DUMMYFUNCTION("IF(OR($I902=2, $I902=3), 0, IFERROR(COUNTIFS($C$2:C902, $C902, $A$2:A902, ""&gt;""&amp;IFERROR(MAX(FILTER($A$2:A902, $C$2:C902=$C902, $I$2:I902&lt;&gt;1)), 0), $I$2:I902, 1),1))
"),"#DIV/0!")</f>
        <v>#DIV/0!</v>
      </c>
      <c r="K902" s="7" t="e">
        <f t="shared" ca="1" si="17"/>
        <v>#DIV/0!</v>
      </c>
      <c r="L902" s="20" t="e">
        <f t="shared" ca="1" si="18"/>
        <v>#DIV/0!</v>
      </c>
      <c r="M902" s="21" t="e">
        <f t="shared" ca="1" si="19"/>
        <v>#DIV/0!</v>
      </c>
      <c r="N902" s="20" t="str">
        <f ca="1">IFERROR(__xludf.DUMMYFUNCTION("IF(COUNTIFS($C$2:C902, C902, $A$2:A902, ""&lt;="" &amp; A902) &lt; 30, STDEV.P(FILTER($G$2:G902, $C$2:C902 = C902)), STDEV.P(FILTER($G$2:G902, $C$2:C902 = C902, $A$2:A902 &gt;= A902 - 30)))
"),"#DIV/0!")</f>
        <v>#DIV/0!</v>
      </c>
    </row>
    <row r="903" spans="1:14" x14ac:dyDescent="0.2">
      <c r="A903" s="41"/>
      <c r="B903" s="32"/>
      <c r="C903" s="32"/>
      <c r="D903" s="33"/>
      <c r="E903" s="33"/>
      <c r="F903" s="33"/>
      <c r="G903" s="19" t="e">
        <f t="shared" si="15"/>
        <v>#DIV/0!</v>
      </c>
      <c r="H903" s="20" t="str">
        <f ca="1">IFERROR(__xludf.DUMMYFUNCTION("IF(COUNTIFS($C$2:C903, C903, $A$2:A903, ""&lt;="" &amp; A903) &lt; 30, AVERAGEIF($C$2:C903, C903, $G$2:G903), AVERAGE(FILTER($G$2:G903, $C$2:C903 = C903, $A$2:A903 &gt;= A903 - 30)))
"),"#DIV/0!")</f>
        <v>#DIV/0!</v>
      </c>
      <c r="I903" s="20" t="e">
        <f t="shared" ca="1" si="16"/>
        <v>#DIV/0!</v>
      </c>
      <c r="J903" s="20" t="str">
        <f ca="1">IFERROR(__xludf.DUMMYFUNCTION("IF(OR($I903=2, $I903=3), 0, IFERROR(COUNTIFS($C$2:C903, $C903, $A$2:A903, ""&gt;""&amp;IFERROR(MAX(FILTER($A$2:A903, $C$2:C903=$C903, $I$2:I903&lt;&gt;1)), 0), $I$2:I903, 1),1))
"),"#DIV/0!")</f>
        <v>#DIV/0!</v>
      </c>
      <c r="K903" s="7" t="e">
        <f t="shared" ca="1" si="17"/>
        <v>#DIV/0!</v>
      </c>
      <c r="L903" s="20" t="e">
        <f t="shared" ca="1" si="18"/>
        <v>#DIV/0!</v>
      </c>
      <c r="M903" s="21" t="e">
        <f t="shared" ca="1" si="19"/>
        <v>#DIV/0!</v>
      </c>
      <c r="N903" s="20" t="str">
        <f ca="1">IFERROR(__xludf.DUMMYFUNCTION("IF(COUNTIFS($C$2:C903, C903, $A$2:A903, ""&lt;="" &amp; A903) &lt; 30, STDEV.P(FILTER($G$2:G903, $C$2:C903 = C903)), STDEV.P(FILTER($G$2:G903, $C$2:C903 = C903, $A$2:A903 &gt;= A903 - 30)))
"),"#DIV/0!")</f>
        <v>#DIV/0!</v>
      </c>
    </row>
    <row r="904" spans="1:14" x14ac:dyDescent="0.2">
      <c r="A904" s="41"/>
      <c r="B904" s="32"/>
      <c r="C904" s="32"/>
      <c r="D904" s="33"/>
      <c r="E904" s="33"/>
      <c r="F904" s="33"/>
      <c r="G904" s="19" t="e">
        <f t="shared" si="15"/>
        <v>#DIV/0!</v>
      </c>
      <c r="H904" s="20" t="str">
        <f ca="1">IFERROR(__xludf.DUMMYFUNCTION("IF(COUNTIFS($C$2:C904, C904, $A$2:A904, ""&lt;="" &amp; A904) &lt; 30, AVERAGEIF($C$2:C904, C904, $G$2:G904), AVERAGE(FILTER($G$2:G904, $C$2:C904 = C904, $A$2:A904 &gt;= A904 - 30)))
"),"#DIV/0!")</f>
        <v>#DIV/0!</v>
      </c>
      <c r="I904" s="20" t="e">
        <f t="shared" ca="1" si="16"/>
        <v>#DIV/0!</v>
      </c>
      <c r="J904" s="20" t="str">
        <f ca="1">IFERROR(__xludf.DUMMYFUNCTION("IF(OR($I904=2, $I904=3), 0, IFERROR(COUNTIFS($C$2:C904, $C904, $A$2:A904, ""&gt;""&amp;IFERROR(MAX(FILTER($A$2:A904, $C$2:C904=$C904, $I$2:I904&lt;&gt;1)), 0), $I$2:I904, 1),1))
"),"#DIV/0!")</f>
        <v>#DIV/0!</v>
      </c>
      <c r="K904" s="7" t="e">
        <f t="shared" ca="1" si="17"/>
        <v>#DIV/0!</v>
      </c>
      <c r="L904" s="20" t="e">
        <f t="shared" ca="1" si="18"/>
        <v>#DIV/0!</v>
      </c>
      <c r="M904" s="21" t="e">
        <f t="shared" ca="1" si="19"/>
        <v>#DIV/0!</v>
      </c>
      <c r="N904" s="20" t="str">
        <f ca="1">IFERROR(__xludf.DUMMYFUNCTION("IF(COUNTIFS($C$2:C904, C904, $A$2:A904, ""&lt;="" &amp; A904) &lt; 30, STDEV.P(FILTER($G$2:G904, $C$2:C904 = C904)), STDEV.P(FILTER($G$2:G904, $C$2:C904 = C904, $A$2:A904 &gt;= A904 - 30)))
"),"#DIV/0!")</f>
        <v>#DIV/0!</v>
      </c>
    </row>
    <row r="905" spans="1:14" x14ac:dyDescent="0.2">
      <c r="A905" s="41"/>
      <c r="B905" s="32"/>
      <c r="C905" s="32"/>
      <c r="D905" s="33"/>
      <c r="E905" s="33"/>
      <c r="F905" s="33"/>
      <c r="G905" s="19" t="e">
        <f t="shared" si="15"/>
        <v>#DIV/0!</v>
      </c>
      <c r="H905" s="20" t="str">
        <f ca="1">IFERROR(__xludf.DUMMYFUNCTION("IF(COUNTIFS($C$2:C905, C905, $A$2:A905, ""&lt;="" &amp; A905) &lt; 30, AVERAGEIF($C$2:C905, C905, $G$2:G905), AVERAGE(FILTER($G$2:G905, $C$2:C905 = C905, $A$2:A905 &gt;= A905 - 30)))
"),"#DIV/0!")</f>
        <v>#DIV/0!</v>
      </c>
      <c r="I905" s="20" t="e">
        <f t="shared" ca="1" si="16"/>
        <v>#DIV/0!</v>
      </c>
      <c r="J905" s="20" t="str">
        <f ca="1">IFERROR(__xludf.DUMMYFUNCTION("IF(OR($I905=2, $I905=3), 0, IFERROR(COUNTIFS($C$2:C905, $C905, $A$2:A905, ""&gt;""&amp;IFERROR(MAX(FILTER($A$2:A905, $C$2:C905=$C905, $I$2:I905&lt;&gt;1)), 0), $I$2:I905, 1),1))
"),"#DIV/0!")</f>
        <v>#DIV/0!</v>
      </c>
      <c r="K905" s="7" t="e">
        <f t="shared" ca="1" si="17"/>
        <v>#DIV/0!</v>
      </c>
      <c r="L905" s="20" t="e">
        <f t="shared" ca="1" si="18"/>
        <v>#DIV/0!</v>
      </c>
      <c r="M905" s="21" t="e">
        <f t="shared" ca="1" si="19"/>
        <v>#DIV/0!</v>
      </c>
      <c r="N905" s="20" t="str">
        <f ca="1">IFERROR(__xludf.DUMMYFUNCTION("IF(COUNTIFS($C$2:C905, C905, $A$2:A905, ""&lt;="" &amp; A905) &lt; 30, STDEV.P(FILTER($G$2:G905, $C$2:C905 = C905)), STDEV.P(FILTER($G$2:G905, $C$2:C905 = C905, $A$2:A905 &gt;= A905 - 30)))
"),"#DIV/0!")</f>
        <v>#DIV/0!</v>
      </c>
    </row>
    <row r="906" spans="1:14" x14ac:dyDescent="0.2">
      <c r="A906" s="41"/>
      <c r="B906" s="32"/>
      <c r="C906" s="32"/>
      <c r="D906" s="33"/>
      <c r="E906" s="33"/>
      <c r="F906" s="33"/>
      <c r="G906" s="19" t="e">
        <f t="shared" si="15"/>
        <v>#DIV/0!</v>
      </c>
      <c r="H906" s="20" t="str">
        <f ca="1">IFERROR(__xludf.DUMMYFUNCTION("IF(COUNTIFS($C$2:C906, C906, $A$2:A906, ""&lt;="" &amp; A906) &lt; 30, AVERAGEIF($C$2:C906, C906, $G$2:G906), AVERAGE(FILTER($G$2:G906, $C$2:C906 = C906, $A$2:A906 &gt;= A906 - 30)))
"),"#DIV/0!")</f>
        <v>#DIV/0!</v>
      </c>
      <c r="I906" s="20" t="e">
        <f t="shared" ca="1" si="16"/>
        <v>#DIV/0!</v>
      </c>
      <c r="J906" s="20" t="str">
        <f ca="1">IFERROR(__xludf.DUMMYFUNCTION("IF(OR($I906=2, $I906=3), 0, IFERROR(COUNTIFS($C$2:C906, $C906, $A$2:A906, ""&gt;""&amp;IFERROR(MAX(FILTER($A$2:A906, $C$2:C906=$C906, $I$2:I906&lt;&gt;1)), 0), $I$2:I906, 1),1))
"),"#DIV/0!")</f>
        <v>#DIV/0!</v>
      </c>
      <c r="K906" s="7" t="e">
        <f t="shared" ca="1" si="17"/>
        <v>#DIV/0!</v>
      </c>
      <c r="L906" s="20" t="e">
        <f t="shared" ca="1" si="18"/>
        <v>#DIV/0!</v>
      </c>
      <c r="M906" s="21" t="e">
        <f t="shared" ca="1" si="19"/>
        <v>#DIV/0!</v>
      </c>
      <c r="N906" s="20" t="str">
        <f ca="1">IFERROR(__xludf.DUMMYFUNCTION("IF(COUNTIFS($C$2:C906, C906, $A$2:A906, ""&lt;="" &amp; A906) &lt; 30, STDEV.P(FILTER($G$2:G906, $C$2:C906 = C906)), STDEV.P(FILTER($G$2:G906, $C$2:C906 = C906, $A$2:A906 &gt;= A906 - 30)))
"),"#DIV/0!")</f>
        <v>#DIV/0!</v>
      </c>
    </row>
    <row r="907" spans="1:14" x14ac:dyDescent="0.2">
      <c r="A907" s="41"/>
      <c r="B907" s="32"/>
      <c r="C907" s="32"/>
      <c r="D907" s="33"/>
      <c r="E907" s="33"/>
      <c r="F907" s="33"/>
      <c r="G907" s="19" t="e">
        <f t="shared" si="15"/>
        <v>#DIV/0!</v>
      </c>
      <c r="H907" s="20" t="str">
        <f ca="1">IFERROR(__xludf.DUMMYFUNCTION("IF(COUNTIFS($C$2:C907, C907, $A$2:A907, ""&lt;="" &amp; A907) &lt; 30, AVERAGEIF($C$2:C907, C907, $G$2:G907), AVERAGE(FILTER($G$2:G907, $C$2:C907 = C907, $A$2:A907 &gt;= A907 - 30)))
"),"#DIV/0!")</f>
        <v>#DIV/0!</v>
      </c>
      <c r="I907" s="20" t="e">
        <f t="shared" ca="1" si="16"/>
        <v>#DIV/0!</v>
      </c>
      <c r="J907" s="20" t="str">
        <f ca="1">IFERROR(__xludf.DUMMYFUNCTION("IF(OR($I907=2, $I907=3), 0, IFERROR(COUNTIFS($C$2:C907, $C907, $A$2:A907, ""&gt;""&amp;IFERROR(MAX(FILTER($A$2:A907, $C$2:C907=$C907, $I$2:I907&lt;&gt;1)), 0), $I$2:I907, 1),1))
"),"#DIV/0!")</f>
        <v>#DIV/0!</v>
      </c>
      <c r="K907" s="7" t="e">
        <f t="shared" ca="1" si="17"/>
        <v>#DIV/0!</v>
      </c>
      <c r="L907" s="20" t="e">
        <f t="shared" ca="1" si="18"/>
        <v>#DIV/0!</v>
      </c>
      <c r="M907" s="21" t="e">
        <f t="shared" ca="1" si="19"/>
        <v>#DIV/0!</v>
      </c>
      <c r="N907" s="20" t="str">
        <f ca="1">IFERROR(__xludf.DUMMYFUNCTION("IF(COUNTIFS($C$2:C907, C907, $A$2:A907, ""&lt;="" &amp; A907) &lt; 30, STDEV.P(FILTER($G$2:G907, $C$2:C907 = C907)), STDEV.P(FILTER($G$2:G907, $C$2:C907 = C907, $A$2:A907 &gt;= A907 - 30)))
"),"#DIV/0!")</f>
        <v>#DIV/0!</v>
      </c>
    </row>
    <row r="908" spans="1:14" x14ac:dyDescent="0.2">
      <c r="A908" s="41"/>
      <c r="B908" s="32"/>
      <c r="C908" s="32"/>
      <c r="D908" s="33"/>
      <c r="E908" s="33"/>
      <c r="F908" s="33"/>
      <c r="G908" s="19" t="e">
        <f t="shared" si="15"/>
        <v>#DIV/0!</v>
      </c>
      <c r="H908" s="20" t="str">
        <f ca="1">IFERROR(__xludf.DUMMYFUNCTION("IF(COUNTIFS($C$2:C908, C908, $A$2:A908, ""&lt;="" &amp; A908) &lt; 30, AVERAGEIF($C$2:C908, C908, $G$2:G908), AVERAGE(FILTER($G$2:G908, $C$2:C908 = C908, $A$2:A908 &gt;= A908 - 30)))
"),"#DIV/0!")</f>
        <v>#DIV/0!</v>
      </c>
      <c r="I908" s="20" t="e">
        <f t="shared" ca="1" si="16"/>
        <v>#DIV/0!</v>
      </c>
      <c r="J908" s="20" t="str">
        <f ca="1">IFERROR(__xludf.DUMMYFUNCTION("IF(OR($I908=2, $I908=3), 0, IFERROR(COUNTIFS($C$2:C908, $C908, $A$2:A908, ""&gt;""&amp;IFERROR(MAX(FILTER($A$2:A908, $C$2:C908=$C908, $I$2:I908&lt;&gt;1)), 0), $I$2:I908, 1),1))
"),"#DIV/0!")</f>
        <v>#DIV/0!</v>
      </c>
      <c r="K908" s="7" t="e">
        <f t="shared" ca="1" si="17"/>
        <v>#DIV/0!</v>
      </c>
      <c r="L908" s="20" t="e">
        <f t="shared" ca="1" si="18"/>
        <v>#DIV/0!</v>
      </c>
      <c r="M908" s="21" t="e">
        <f t="shared" ca="1" si="19"/>
        <v>#DIV/0!</v>
      </c>
      <c r="N908" s="20" t="str">
        <f ca="1">IFERROR(__xludf.DUMMYFUNCTION("IF(COUNTIFS($C$2:C908, C908, $A$2:A908, ""&lt;="" &amp; A908) &lt; 30, STDEV.P(FILTER($G$2:G908, $C$2:C908 = C908)), STDEV.P(FILTER($G$2:G908, $C$2:C908 = C908, $A$2:A908 &gt;= A908 - 30)))
"),"#DIV/0!")</f>
        <v>#DIV/0!</v>
      </c>
    </row>
    <row r="909" spans="1:14" x14ac:dyDescent="0.2">
      <c r="A909" s="41"/>
      <c r="B909" s="32"/>
      <c r="C909" s="32"/>
      <c r="D909" s="33"/>
      <c r="E909" s="33"/>
      <c r="F909" s="33"/>
      <c r="G909" s="19" t="e">
        <f t="shared" si="15"/>
        <v>#DIV/0!</v>
      </c>
      <c r="H909" s="20" t="str">
        <f ca="1">IFERROR(__xludf.DUMMYFUNCTION("IF(COUNTIFS($C$2:C909, C909, $A$2:A909, ""&lt;="" &amp; A909) &lt; 30, AVERAGEIF($C$2:C909, C909, $G$2:G909), AVERAGE(FILTER($G$2:G909, $C$2:C909 = C909, $A$2:A909 &gt;= A909 - 30)))
"),"#DIV/0!")</f>
        <v>#DIV/0!</v>
      </c>
      <c r="I909" s="20" t="e">
        <f t="shared" ca="1" si="16"/>
        <v>#DIV/0!</v>
      </c>
      <c r="J909" s="20" t="str">
        <f ca="1">IFERROR(__xludf.DUMMYFUNCTION("IF(OR($I909=2, $I909=3), 0, IFERROR(COUNTIFS($C$2:C909, $C909, $A$2:A909, ""&gt;""&amp;IFERROR(MAX(FILTER($A$2:A909, $C$2:C909=$C909, $I$2:I909&lt;&gt;1)), 0), $I$2:I909, 1),1))
"),"#DIV/0!")</f>
        <v>#DIV/0!</v>
      </c>
      <c r="K909" s="7" t="e">
        <f t="shared" ca="1" si="17"/>
        <v>#DIV/0!</v>
      </c>
      <c r="L909" s="20" t="e">
        <f t="shared" ca="1" si="18"/>
        <v>#DIV/0!</v>
      </c>
      <c r="M909" s="21" t="e">
        <f t="shared" ca="1" si="19"/>
        <v>#DIV/0!</v>
      </c>
      <c r="N909" s="20" t="str">
        <f ca="1">IFERROR(__xludf.DUMMYFUNCTION("IF(COUNTIFS($C$2:C909, C909, $A$2:A909, ""&lt;="" &amp; A909) &lt; 30, STDEV.P(FILTER($G$2:G909, $C$2:C909 = C909)), STDEV.P(FILTER($G$2:G909, $C$2:C909 = C909, $A$2:A909 &gt;= A909 - 30)))
"),"#DIV/0!")</f>
        <v>#DIV/0!</v>
      </c>
    </row>
    <row r="910" spans="1:14" x14ac:dyDescent="0.2">
      <c r="A910" s="41"/>
      <c r="B910" s="32"/>
      <c r="C910" s="32"/>
      <c r="D910" s="33"/>
      <c r="E910" s="33"/>
      <c r="F910" s="33"/>
      <c r="G910" s="19" t="e">
        <f t="shared" si="15"/>
        <v>#DIV/0!</v>
      </c>
      <c r="H910" s="20" t="str">
        <f ca="1">IFERROR(__xludf.DUMMYFUNCTION("IF(COUNTIFS($C$2:C910, C910, $A$2:A910, ""&lt;="" &amp; A910) &lt; 30, AVERAGEIF($C$2:C910, C910, $G$2:G910), AVERAGE(FILTER($G$2:G910, $C$2:C910 = C910, $A$2:A910 &gt;= A910 - 30)))
"),"#DIV/0!")</f>
        <v>#DIV/0!</v>
      </c>
      <c r="I910" s="20" t="e">
        <f t="shared" ca="1" si="16"/>
        <v>#DIV/0!</v>
      </c>
      <c r="J910" s="20" t="str">
        <f ca="1">IFERROR(__xludf.DUMMYFUNCTION("IF(OR($I910=2, $I910=3), 0, IFERROR(COUNTIFS($C$2:C910, $C910, $A$2:A910, ""&gt;""&amp;IFERROR(MAX(FILTER($A$2:A910, $C$2:C910=$C910, $I$2:I910&lt;&gt;1)), 0), $I$2:I910, 1),1))
"),"#DIV/0!")</f>
        <v>#DIV/0!</v>
      </c>
      <c r="K910" s="7" t="e">
        <f t="shared" ca="1" si="17"/>
        <v>#DIV/0!</v>
      </c>
      <c r="L910" s="20" t="e">
        <f t="shared" ca="1" si="18"/>
        <v>#DIV/0!</v>
      </c>
      <c r="M910" s="21" t="e">
        <f t="shared" ca="1" si="19"/>
        <v>#DIV/0!</v>
      </c>
      <c r="N910" s="20" t="str">
        <f ca="1">IFERROR(__xludf.DUMMYFUNCTION("IF(COUNTIFS($C$2:C910, C910, $A$2:A910, ""&lt;="" &amp; A910) &lt; 30, STDEV.P(FILTER($G$2:G910, $C$2:C910 = C910)), STDEV.P(FILTER($G$2:G910, $C$2:C910 = C910, $A$2:A910 &gt;= A910 - 30)))
"),"#DIV/0!")</f>
        <v>#DIV/0!</v>
      </c>
    </row>
    <row r="911" spans="1:14" x14ac:dyDescent="0.2">
      <c r="A911" s="41"/>
      <c r="B911" s="32"/>
      <c r="C911" s="32"/>
      <c r="D911" s="33"/>
      <c r="E911" s="33"/>
      <c r="F911" s="33"/>
      <c r="G911" s="19" t="e">
        <f t="shared" si="15"/>
        <v>#DIV/0!</v>
      </c>
      <c r="H911" s="20" t="str">
        <f ca="1">IFERROR(__xludf.DUMMYFUNCTION("IF(COUNTIFS($C$2:C911, C911, $A$2:A911, ""&lt;="" &amp; A911) &lt; 30, AVERAGEIF($C$2:C911, C911, $G$2:G911), AVERAGE(FILTER($G$2:G911, $C$2:C911 = C911, $A$2:A911 &gt;= A911 - 30)))
"),"#DIV/0!")</f>
        <v>#DIV/0!</v>
      </c>
      <c r="I911" s="20" t="e">
        <f t="shared" ca="1" si="16"/>
        <v>#DIV/0!</v>
      </c>
      <c r="J911" s="20" t="str">
        <f ca="1">IFERROR(__xludf.DUMMYFUNCTION("IF(OR($I911=2, $I911=3), 0, IFERROR(COUNTIFS($C$2:C911, $C911, $A$2:A911, ""&gt;""&amp;IFERROR(MAX(FILTER($A$2:A911, $C$2:C911=$C911, $I$2:I911&lt;&gt;1)), 0), $I$2:I911, 1),1))
"),"#DIV/0!")</f>
        <v>#DIV/0!</v>
      </c>
      <c r="K911" s="7" t="e">
        <f t="shared" ca="1" si="17"/>
        <v>#DIV/0!</v>
      </c>
      <c r="L911" s="20" t="e">
        <f t="shared" ca="1" si="18"/>
        <v>#DIV/0!</v>
      </c>
      <c r="M911" s="21" t="e">
        <f t="shared" ca="1" si="19"/>
        <v>#DIV/0!</v>
      </c>
      <c r="N911" s="20" t="str">
        <f ca="1">IFERROR(__xludf.DUMMYFUNCTION("IF(COUNTIFS($C$2:C911, C911, $A$2:A911, ""&lt;="" &amp; A911) &lt; 30, STDEV.P(FILTER($G$2:G911, $C$2:C911 = C911)), STDEV.P(FILTER($G$2:G911, $C$2:C911 = C911, $A$2:A911 &gt;= A911 - 30)))
"),"#DIV/0!")</f>
        <v>#DIV/0!</v>
      </c>
    </row>
    <row r="912" spans="1:14" x14ac:dyDescent="0.2">
      <c r="A912" s="41"/>
      <c r="B912" s="32"/>
      <c r="C912" s="32"/>
      <c r="D912" s="33"/>
      <c r="E912" s="33"/>
      <c r="F912" s="33"/>
      <c r="G912" s="19" t="e">
        <f t="shared" si="15"/>
        <v>#DIV/0!</v>
      </c>
      <c r="H912" s="20" t="str">
        <f ca="1">IFERROR(__xludf.DUMMYFUNCTION("IF(COUNTIFS($C$2:C912, C912, $A$2:A912, ""&lt;="" &amp; A912) &lt; 30, AVERAGEIF($C$2:C912, C912, $G$2:G912), AVERAGE(FILTER($G$2:G912, $C$2:C912 = C912, $A$2:A912 &gt;= A912 - 30)))
"),"#DIV/0!")</f>
        <v>#DIV/0!</v>
      </c>
      <c r="I912" s="20" t="e">
        <f t="shared" ca="1" si="16"/>
        <v>#DIV/0!</v>
      </c>
      <c r="J912" s="20" t="str">
        <f ca="1">IFERROR(__xludf.DUMMYFUNCTION("IF(OR($I912=2, $I912=3), 0, IFERROR(COUNTIFS($C$2:C912, $C912, $A$2:A912, ""&gt;""&amp;IFERROR(MAX(FILTER($A$2:A912, $C$2:C912=$C912, $I$2:I912&lt;&gt;1)), 0), $I$2:I912, 1),1))
"),"#DIV/0!")</f>
        <v>#DIV/0!</v>
      </c>
      <c r="K912" s="7" t="e">
        <f t="shared" ca="1" si="17"/>
        <v>#DIV/0!</v>
      </c>
      <c r="L912" s="20" t="e">
        <f t="shared" ca="1" si="18"/>
        <v>#DIV/0!</v>
      </c>
      <c r="M912" s="21" t="e">
        <f t="shared" ca="1" si="19"/>
        <v>#DIV/0!</v>
      </c>
      <c r="N912" s="20" t="str">
        <f ca="1">IFERROR(__xludf.DUMMYFUNCTION("IF(COUNTIFS($C$2:C912, C912, $A$2:A912, ""&lt;="" &amp; A912) &lt; 30, STDEV.P(FILTER($G$2:G912, $C$2:C912 = C912)), STDEV.P(FILTER($G$2:G912, $C$2:C912 = C912, $A$2:A912 &gt;= A912 - 30)))
"),"#DIV/0!")</f>
        <v>#DIV/0!</v>
      </c>
    </row>
    <row r="913" spans="1:14" x14ac:dyDescent="0.2">
      <c r="A913" s="41"/>
      <c r="B913" s="40"/>
      <c r="C913" s="40"/>
      <c r="D913" s="31"/>
      <c r="E913" s="31"/>
      <c r="F913" s="31"/>
      <c r="G913" s="19" t="e">
        <f t="shared" si="15"/>
        <v>#DIV/0!</v>
      </c>
      <c r="H913" s="20" t="str">
        <f ca="1">IFERROR(__xludf.DUMMYFUNCTION("IF(COUNTIFS($C$2:C913, C913, $A$2:A913, ""&lt;="" &amp; A913) &lt; 30, AVERAGEIF($C$2:C913, C913, $G$2:G913), AVERAGE(FILTER($G$2:G913, $C$2:C913 = C913, $A$2:A913 &gt;= A913 - 30)))
"),"#DIV/0!")</f>
        <v>#DIV/0!</v>
      </c>
      <c r="I913" s="20" t="e">
        <f t="shared" ca="1" si="16"/>
        <v>#DIV/0!</v>
      </c>
      <c r="J913" s="20" t="str">
        <f ca="1">IFERROR(__xludf.DUMMYFUNCTION("IF(OR($I913=2, $I913=3), 0, IFERROR(COUNTIFS($C$2:C913, $C913, $A$2:A913, ""&gt;""&amp;IFERROR(MAX(FILTER($A$2:A913, $C$2:C913=$C913, $I$2:I913&lt;&gt;1)), 0), $I$2:I913, 1),1))
"),"#DIV/0!")</f>
        <v>#DIV/0!</v>
      </c>
      <c r="K913" s="7" t="e">
        <f t="shared" ca="1" si="17"/>
        <v>#DIV/0!</v>
      </c>
      <c r="L913" s="20" t="e">
        <f t="shared" ca="1" si="18"/>
        <v>#DIV/0!</v>
      </c>
      <c r="M913" s="21" t="e">
        <f t="shared" ca="1" si="19"/>
        <v>#DIV/0!</v>
      </c>
      <c r="N913" s="20" t="str">
        <f ca="1">IFERROR(__xludf.DUMMYFUNCTION("IF(COUNTIFS($C$2:C913, C913, $A$2:A913, ""&lt;="" &amp; A913) &lt; 30, STDEV.P(FILTER($G$2:G913, $C$2:C913 = C913)), STDEV.P(FILTER($G$2:G913, $C$2:C913 = C913, $A$2:A913 &gt;= A913 - 30)))
"),"#DIV/0!")</f>
        <v>#DIV/0!</v>
      </c>
    </row>
    <row r="914" spans="1:14" x14ac:dyDescent="0.2">
      <c r="A914" s="41"/>
      <c r="B914" s="40"/>
      <c r="C914" s="40"/>
      <c r="D914" s="31"/>
      <c r="E914" s="31"/>
      <c r="F914" s="31"/>
      <c r="G914" s="19" t="e">
        <f t="shared" si="15"/>
        <v>#DIV/0!</v>
      </c>
      <c r="H914" s="20" t="str">
        <f ca="1">IFERROR(__xludf.DUMMYFUNCTION("IF(COUNTIFS($C$2:C914, C914, $A$2:A914, ""&lt;="" &amp; A914) &lt; 30, AVERAGEIF($C$2:C914, C914, $G$2:G914), AVERAGE(FILTER($G$2:G914, $C$2:C914 = C914, $A$2:A914 &gt;= A914 - 30)))
"),"#DIV/0!")</f>
        <v>#DIV/0!</v>
      </c>
      <c r="I914" s="20" t="e">
        <f t="shared" ca="1" si="16"/>
        <v>#DIV/0!</v>
      </c>
      <c r="J914" s="20" t="str">
        <f ca="1">IFERROR(__xludf.DUMMYFUNCTION("IF(OR($I914=2, $I914=3), 0, IFERROR(COUNTIFS($C$2:C914, $C914, $A$2:A914, ""&gt;""&amp;IFERROR(MAX(FILTER($A$2:A914, $C$2:C914=$C914, $I$2:I914&lt;&gt;1)), 0), $I$2:I914, 1),1))
"),"#DIV/0!")</f>
        <v>#DIV/0!</v>
      </c>
      <c r="K914" s="7" t="e">
        <f t="shared" ca="1" si="17"/>
        <v>#DIV/0!</v>
      </c>
      <c r="L914" s="20" t="e">
        <f t="shared" ca="1" si="18"/>
        <v>#DIV/0!</v>
      </c>
      <c r="M914" s="21" t="e">
        <f t="shared" ca="1" si="19"/>
        <v>#DIV/0!</v>
      </c>
      <c r="N914" s="20" t="str">
        <f ca="1">IFERROR(__xludf.DUMMYFUNCTION("IF(COUNTIFS($C$2:C914, C914, $A$2:A914, ""&lt;="" &amp; A914) &lt; 30, STDEV.P(FILTER($G$2:G914, $C$2:C914 = C914)), STDEV.P(FILTER($G$2:G914, $C$2:C914 = C914, $A$2:A914 &gt;= A914 - 30)))
"),"#DIV/0!")</f>
        <v>#DIV/0!</v>
      </c>
    </row>
    <row r="915" spans="1:14" x14ac:dyDescent="0.2">
      <c r="A915" s="41"/>
      <c r="B915" s="40"/>
      <c r="C915" s="40"/>
      <c r="D915" s="31"/>
      <c r="E915" s="31"/>
      <c r="F915" s="31"/>
      <c r="G915" s="19" t="e">
        <f t="shared" si="15"/>
        <v>#DIV/0!</v>
      </c>
      <c r="H915" s="20" t="str">
        <f ca="1">IFERROR(__xludf.DUMMYFUNCTION("IF(COUNTIFS($C$2:C915, C915, $A$2:A915, ""&lt;="" &amp; A915) &lt; 30, AVERAGEIF($C$2:C915, C915, $G$2:G915), AVERAGE(FILTER($G$2:G915, $C$2:C915 = C915, $A$2:A915 &gt;= A915 - 30)))
"),"#DIV/0!")</f>
        <v>#DIV/0!</v>
      </c>
      <c r="I915" s="20" t="e">
        <f t="shared" ca="1" si="16"/>
        <v>#DIV/0!</v>
      </c>
      <c r="J915" s="20" t="str">
        <f ca="1">IFERROR(__xludf.DUMMYFUNCTION("IF(OR($I915=2, $I915=3), 0, IFERROR(COUNTIFS($C$2:C915, $C915, $A$2:A915, ""&gt;""&amp;IFERROR(MAX(FILTER($A$2:A915, $C$2:C915=$C915, $I$2:I915&lt;&gt;1)), 0), $I$2:I915, 1),1))
"),"#DIV/0!")</f>
        <v>#DIV/0!</v>
      </c>
      <c r="K915" s="7" t="e">
        <f t="shared" ca="1" si="17"/>
        <v>#DIV/0!</v>
      </c>
      <c r="L915" s="20" t="e">
        <f t="shared" ca="1" si="18"/>
        <v>#DIV/0!</v>
      </c>
      <c r="M915" s="21" t="e">
        <f t="shared" ca="1" si="19"/>
        <v>#DIV/0!</v>
      </c>
      <c r="N915" s="20" t="str">
        <f ca="1">IFERROR(__xludf.DUMMYFUNCTION("IF(COUNTIFS($C$2:C915, C915, $A$2:A915, ""&lt;="" &amp; A915) &lt; 30, STDEV.P(FILTER($G$2:G915, $C$2:C915 = C915)), STDEV.P(FILTER($G$2:G915, $C$2:C915 = C915, $A$2:A915 &gt;= A915 - 30)))
"),"#DIV/0!")</f>
        <v>#DIV/0!</v>
      </c>
    </row>
    <row r="916" spans="1:14" x14ac:dyDescent="0.2">
      <c r="A916" s="41"/>
      <c r="B916" s="40"/>
      <c r="C916" s="40"/>
      <c r="D916" s="31"/>
      <c r="E916" s="31"/>
      <c r="F916" s="31"/>
      <c r="G916" s="19" t="e">
        <f t="shared" si="15"/>
        <v>#DIV/0!</v>
      </c>
      <c r="H916" s="20" t="str">
        <f ca="1">IFERROR(__xludf.DUMMYFUNCTION("IF(COUNTIFS($C$2:C916, C916, $A$2:A916, ""&lt;="" &amp; A916) &lt; 30, AVERAGEIF($C$2:C916, C916, $G$2:G916), AVERAGE(FILTER($G$2:G916, $C$2:C916 = C916, $A$2:A916 &gt;= A916 - 30)))
"),"#DIV/0!")</f>
        <v>#DIV/0!</v>
      </c>
      <c r="I916" s="20" t="e">
        <f t="shared" ca="1" si="16"/>
        <v>#DIV/0!</v>
      </c>
      <c r="J916" s="20" t="str">
        <f ca="1">IFERROR(__xludf.DUMMYFUNCTION("IF(OR($I916=2, $I916=3), 0, IFERROR(COUNTIFS($C$2:C916, $C916, $A$2:A916, ""&gt;""&amp;IFERROR(MAX(FILTER($A$2:A916, $C$2:C916=$C916, $I$2:I916&lt;&gt;1)), 0), $I$2:I916, 1),1))
"),"#DIV/0!")</f>
        <v>#DIV/0!</v>
      </c>
      <c r="K916" s="7" t="e">
        <f t="shared" ca="1" si="17"/>
        <v>#DIV/0!</v>
      </c>
      <c r="L916" s="20" t="e">
        <f t="shared" ca="1" si="18"/>
        <v>#DIV/0!</v>
      </c>
      <c r="M916" s="21" t="e">
        <f t="shared" ca="1" si="19"/>
        <v>#DIV/0!</v>
      </c>
      <c r="N916" s="20" t="str">
        <f ca="1">IFERROR(__xludf.DUMMYFUNCTION("IF(COUNTIFS($C$2:C916, C916, $A$2:A916, ""&lt;="" &amp; A916) &lt; 30, STDEV.P(FILTER($G$2:G916, $C$2:C916 = C916)), STDEV.P(FILTER($G$2:G916, $C$2:C916 = C916, $A$2:A916 &gt;= A916 - 30)))
"),"#DIV/0!")</f>
        <v>#DIV/0!</v>
      </c>
    </row>
    <row r="917" spans="1:14" x14ac:dyDescent="0.2">
      <c r="A917" s="41"/>
      <c r="B917" s="40"/>
      <c r="C917" s="40"/>
      <c r="D917" s="31"/>
      <c r="E917" s="31"/>
      <c r="F917" s="31"/>
      <c r="G917" s="19" t="e">
        <f t="shared" si="15"/>
        <v>#DIV/0!</v>
      </c>
      <c r="H917" s="20" t="str">
        <f ca="1">IFERROR(__xludf.DUMMYFUNCTION("IF(COUNTIFS($C$2:C917, C917, $A$2:A917, ""&lt;="" &amp; A917) &lt; 30, AVERAGEIF($C$2:C917, C917, $G$2:G917), AVERAGE(FILTER($G$2:G917, $C$2:C917 = C917, $A$2:A917 &gt;= A917 - 30)))
"),"#DIV/0!")</f>
        <v>#DIV/0!</v>
      </c>
      <c r="I917" s="20" t="e">
        <f t="shared" ca="1" si="16"/>
        <v>#DIV/0!</v>
      </c>
      <c r="J917" s="20" t="str">
        <f ca="1">IFERROR(__xludf.DUMMYFUNCTION("IF(OR($I917=2, $I917=3), 0, IFERROR(COUNTIFS($C$2:C917, $C917, $A$2:A917, ""&gt;""&amp;IFERROR(MAX(FILTER($A$2:A917, $C$2:C917=$C917, $I$2:I917&lt;&gt;1)), 0), $I$2:I917, 1),1))
"),"#DIV/0!")</f>
        <v>#DIV/0!</v>
      </c>
      <c r="K917" s="7" t="e">
        <f t="shared" ca="1" si="17"/>
        <v>#DIV/0!</v>
      </c>
      <c r="L917" s="20" t="e">
        <f t="shared" ca="1" si="18"/>
        <v>#DIV/0!</v>
      </c>
      <c r="M917" s="21" t="e">
        <f t="shared" ca="1" si="19"/>
        <v>#DIV/0!</v>
      </c>
      <c r="N917" s="20" t="str">
        <f ca="1">IFERROR(__xludf.DUMMYFUNCTION("IF(COUNTIFS($C$2:C917, C917, $A$2:A917, ""&lt;="" &amp; A917) &lt; 30, STDEV.P(FILTER($G$2:G917, $C$2:C917 = C917)), STDEV.P(FILTER($G$2:G917, $C$2:C917 = C917, $A$2:A917 &gt;= A917 - 30)))
"),"#DIV/0!")</f>
        <v>#DIV/0!</v>
      </c>
    </row>
    <row r="918" spans="1:14" x14ac:dyDescent="0.2">
      <c r="A918" s="41"/>
      <c r="B918" s="40"/>
      <c r="C918" s="40"/>
      <c r="D918" s="31"/>
      <c r="E918" s="31"/>
      <c r="F918" s="31"/>
      <c r="G918" s="19" t="e">
        <f t="shared" si="15"/>
        <v>#DIV/0!</v>
      </c>
      <c r="H918" s="20" t="str">
        <f ca="1">IFERROR(__xludf.DUMMYFUNCTION("IF(COUNTIFS($C$2:C918, C918, $A$2:A918, ""&lt;="" &amp; A918) &lt; 30, AVERAGEIF($C$2:C918, C918, $G$2:G918), AVERAGE(FILTER($G$2:G918, $C$2:C918 = C918, $A$2:A918 &gt;= A918 - 30)))
"),"#DIV/0!")</f>
        <v>#DIV/0!</v>
      </c>
      <c r="I918" s="20" t="e">
        <f t="shared" ca="1" si="16"/>
        <v>#DIV/0!</v>
      </c>
      <c r="J918" s="20" t="str">
        <f ca="1">IFERROR(__xludf.DUMMYFUNCTION("IF(OR($I918=2, $I918=3), 0, IFERROR(COUNTIFS($C$2:C918, $C918, $A$2:A918, ""&gt;""&amp;IFERROR(MAX(FILTER($A$2:A918, $C$2:C918=$C918, $I$2:I918&lt;&gt;1)), 0), $I$2:I918, 1),1))
"),"#DIV/0!")</f>
        <v>#DIV/0!</v>
      </c>
      <c r="K918" s="7" t="e">
        <f t="shared" ca="1" si="17"/>
        <v>#DIV/0!</v>
      </c>
      <c r="L918" s="20" t="e">
        <f t="shared" ca="1" si="18"/>
        <v>#DIV/0!</v>
      </c>
      <c r="M918" s="21" t="e">
        <f t="shared" ca="1" si="19"/>
        <v>#DIV/0!</v>
      </c>
      <c r="N918" s="20" t="str">
        <f ca="1">IFERROR(__xludf.DUMMYFUNCTION("IF(COUNTIFS($C$2:C918, C918, $A$2:A918, ""&lt;="" &amp; A918) &lt; 30, STDEV.P(FILTER($G$2:G918, $C$2:C918 = C918)), STDEV.P(FILTER($G$2:G918, $C$2:C918 = C918, $A$2:A918 &gt;= A918 - 30)))
"),"#DIV/0!")</f>
        <v>#DIV/0!</v>
      </c>
    </row>
    <row r="919" spans="1:14" x14ac:dyDescent="0.2">
      <c r="A919" s="41"/>
      <c r="B919" s="32"/>
      <c r="C919" s="32"/>
      <c r="D919" s="33"/>
      <c r="E919" s="33"/>
      <c r="F919" s="33"/>
      <c r="G919" s="19" t="e">
        <f t="shared" si="15"/>
        <v>#DIV/0!</v>
      </c>
      <c r="H919" s="20" t="str">
        <f ca="1">IFERROR(__xludf.DUMMYFUNCTION("IF(COUNTIFS($C$2:C919, C919, $A$2:A919, ""&lt;="" &amp; A919) &lt; 30, AVERAGEIF($C$2:C919, C919, $G$2:G919), AVERAGE(FILTER($G$2:G919, $C$2:C919 = C919, $A$2:A919 &gt;= A919 - 30)))
"),"#DIV/0!")</f>
        <v>#DIV/0!</v>
      </c>
      <c r="I919" s="20" t="e">
        <f t="shared" ca="1" si="16"/>
        <v>#DIV/0!</v>
      </c>
      <c r="J919" s="20" t="str">
        <f ca="1">IFERROR(__xludf.DUMMYFUNCTION("IF(OR($I919=2, $I919=3), 0, IFERROR(COUNTIFS($C$2:C919, $C919, $A$2:A919, ""&gt;""&amp;IFERROR(MAX(FILTER($A$2:A919, $C$2:C919=$C919, $I$2:I919&lt;&gt;1)), 0), $I$2:I919, 1),1))
"),"#DIV/0!")</f>
        <v>#DIV/0!</v>
      </c>
      <c r="K919" s="7" t="e">
        <f t="shared" ca="1" si="17"/>
        <v>#DIV/0!</v>
      </c>
      <c r="L919" s="20" t="e">
        <f t="shared" ca="1" si="18"/>
        <v>#DIV/0!</v>
      </c>
      <c r="M919" s="21" t="e">
        <f t="shared" ca="1" si="19"/>
        <v>#DIV/0!</v>
      </c>
      <c r="N919" s="20" t="str">
        <f ca="1">IFERROR(__xludf.DUMMYFUNCTION("IF(COUNTIFS($C$2:C919, C919, $A$2:A919, ""&lt;="" &amp; A919) &lt; 30, STDEV.P(FILTER($G$2:G919, $C$2:C919 = C919)), STDEV.P(FILTER($G$2:G919, $C$2:C919 = C919, $A$2:A919 &gt;= A919 - 30)))
"),"#DIV/0!")</f>
        <v>#DIV/0!</v>
      </c>
    </row>
    <row r="920" spans="1:14" x14ac:dyDescent="0.2">
      <c r="A920" s="41"/>
      <c r="B920" s="32"/>
      <c r="C920" s="32"/>
      <c r="D920" s="33"/>
      <c r="E920" s="33"/>
      <c r="F920" s="33"/>
      <c r="G920" s="19" t="e">
        <f t="shared" si="15"/>
        <v>#DIV/0!</v>
      </c>
      <c r="H920" s="20" t="str">
        <f ca="1">IFERROR(__xludf.DUMMYFUNCTION("IF(COUNTIFS($C$2:C920, C920, $A$2:A920, ""&lt;="" &amp; A920) &lt; 30, AVERAGEIF($C$2:C920, C920, $G$2:G920), AVERAGE(FILTER($G$2:G920, $C$2:C920 = C920, $A$2:A920 &gt;= A920 - 30)))
"),"#DIV/0!")</f>
        <v>#DIV/0!</v>
      </c>
      <c r="I920" s="20" t="e">
        <f t="shared" ca="1" si="16"/>
        <v>#DIV/0!</v>
      </c>
      <c r="J920" s="20" t="str">
        <f ca="1">IFERROR(__xludf.DUMMYFUNCTION("IF(OR($I920=2, $I920=3), 0, IFERROR(COUNTIFS($C$2:C920, $C920, $A$2:A920, ""&gt;""&amp;IFERROR(MAX(FILTER($A$2:A920, $C$2:C920=$C920, $I$2:I920&lt;&gt;1)), 0), $I$2:I920, 1),1))
"),"#DIV/0!")</f>
        <v>#DIV/0!</v>
      </c>
      <c r="K920" s="7" t="e">
        <f t="shared" ca="1" si="17"/>
        <v>#DIV/0!</v>
      </c>
      <c r="L920" s="20" t="e">
        <f t="shared" ca="1" si="18"/>
        <v>#DIV/0!</v>
      </c>
      <c r="M920" s="21" t="e">
        <f t="shared" ca="1" si="19"/>
        <v>#DIV/0!</v>
      </c>
      <c r="N920" s="20" t="str">
        <f ca="1">IFERROR(__xludf.DUMMYFUNCTION("IF(COUNTIFS($C$2:C920, C920, $A$2:A920, ""&lt;="" &amp; A920) &lt; 30, STDEV.P(FILTER($G$2:G920, $C$2:C920 = C920)), STDEV.P(FILTER($G$2:G920, $C$2:C920 = C920, $A$2:A920 &gt;= A920 - 30)))
"),"#DIV/0!")</f>
        <v>#DIV/0!</v>
      </c>
    </row>
    <row r="921" spans="1:14" x14ac:dyDescent="0.2">
      <c r="A921" s="41"/>
      <c r="B921" s="32"/>
      <c r="C921" s="32"/>
      <c r="D921" s="33"/>
      <c r="E921" s="33"/>
      <c r="F921" s="33"/>
      <c r="G921" s="19" t="e">
        <f t="shared" si="15"/>
        <v>#DIV/0!</v>
      </c>
      <c r="H921" s="20" t="str">
        <f ca="1">IFERROR(__xludf.DUMMYFUNCTION("IF(COUNTIFS($C$2:C921, C921, $A$2:A921, ""&lt;="" &amp; A921) &lt; 30, AVERAGEIF($C$2:C921, C921, $G$2:G921), AVERAGE(FILTER($G$2:G921, $C$2:C921 = C921, $A$2:A921 &gt;= A921 - 30)))
"),"#DIV/0!")</f>
        <v>#DIV/0!</v>
      </c>
      <c r="I921" s="20" t="e">
        <f t="shared" ca="1" si="16"/>
        <v>#DIV/0!</v>
      </c>
      <c r="J921" s="20" t="str">
        <f ca="1">IFERROR(__xludf.DUMMYFUNCTION("IF(OR($I921=2, $I921=3), 0, IFERROR(COUNTIFS($C$2:C921, $C921, $A$2:A921, ""&gt;""&amp;IFERROR(MAX(FILTER($A$2:A921, $C$2:C921=$C921, $I$2:I921&lt;&gt;1)), 0), $I$2:I921, 1),1))
"),"#DIV/0!")</f>
        <v>#DIV/0!</v>
      </c>
      <c r="K921" s="7" t="e">
        <f t="shared" ca="1" si="17"/>
        <v>#DIV/0!</v>
      </c>
      <c r="L921" s="20" t="e">
        <f t="shared" ca="1" si="18"/>
        <v>#DIV/0!</v>
      </c>
      <c r="M921" s="21" t="e">
        <f t="shared" ca="1" si="19"/>
        <v>#DIV/0!</v>
      </c>
      <c r="N921" s="20" t="str">
        <f ca="1">IFERROR(__xludf.DUMMYFUNCTION("IF(COUNTIFS($C$2:C921, C921, $A$2:A921, ""&lt;="" &amp; A921) &lt; 30, STDEV.P(FILTER($G$2:G921, $C$2:C921 = C921)), STDEV.P(FILTER($G$2:G921, $C$2:C921 = C921, $A$2:A921 &gt;= A921 - 30)))
"),"#DIV/0!")</f>
        <v>#DIV/0!</v>
      </c>
    </row>
    <row r="922" spans="1:14" x14ac:dyDescent="0.2">
      <c r="A922" s="41"/>
      <c r="B922" s="32"/>
      <c r="C922" s="32"/>
      <c r="D922" s="33"/>
      <c r="E922" s="33"/>
      <c r="F922" s="33"/>
      <c r="G922" s="19" t="e">
        <f t="shared" si="15"/>
        <v>#DIV/0!</v>
      </c>
      <c r="H922" s="20" t="str">
        <f ca="1">IFERROR(__xludf.DUMMYFUNCTION("IF(COUNTIFS($C$2:C922, C922, $A$2:A922, ""&lt;="" &amp; A922) &lt; 30, AVERAGEIF($C$2:C922, C922, $G$2:G922), AVERAGE(FILTER($G$2:G922, $C$2:C922 = C922, $A$2:A922 &gt;= A922 - 30)))
"),"#DIV/0!")</f>
        <v>#DIV/0!</v>
      </c>
      <c r="I922" s="20" t="e">
        <f t="shared" ca="1" si="16"/>
        <v>#DIV/0!</v>
      </c>
      <c r="J922" s="20" t="str">
        <f ca="1">IFERROR(__xludf.DUMMYFUNCTION("IF(OR($I922=2, $I922=3), 0, IFERROR(COUNTIFS($C$2:C922, $C922, $A$2:A922, ""&gt;""&amp;IFERROR(MAX(FILTER($A$2:A922, $C$2:C922=$C922, $I$2:I922&lt;&gt;1)), 0), $I$2:I922, 1),1))
"),"#DIV/0!")</f>
        <v>#DIV/0!</v>
      </c>
      <c r="K922" s="7" t="e">
        <f t="shared" ca="1" si="17"/>
        <v>#DIV/0!</v>
      </c>
      <c r="L922" s="20" t="e">
        <f t="shared" ca="1" si="18"/>
        <v>#DIV/0!</v>
      </c>
      <c r="M922" s="21" t="e">
        <f t="shared" ca="1" si="19"/>
        <v>#DIV/0!</v>
      </c>
      <c r="N922" s="20" t="str">
        <f ca="1">IFERROR(__xludf.DUMMYFUNCTION("IF(COUNTIFS($C$2:C922, C922, $A$2:A922, ""&lt;="" &amp; A922) &lt; 30, STDEV.P(FILTER($G$2:G922, $C$2:C922 = C922)), STDEV.P(FILTER($G$2:G922, $C$2:C922 = C922, $A$2:A922 &gt;= A922 - 30)))
"),"#DIV/0!")</f>
        <v>#DIV/0!</v>
      </c>
    </row>
    <row r="923" spans="1:14" x14ac:dyDescent="0.2">
      <c r="A923" s="41"/>
      <c r="B923" s="32"/>
      <c r="C923" s="32"/>
      <c r="D923" s="33"/>
      <c r="E923" s="33"/>
      <c r="F923" s="33"/>
      <c r="G923" s="19" t="e">
        <f t="shared" si="15"/>
        <v>#DIV/0!</v>
      </c>
      <c r="H923" s="20" t="str">
        <f ca="1">IFERROR(__xludf.DUMMYFUNCTION("IF(COUNTIFS($C$2:C923, C923, $A$2:A923, ""&lt;="" &amp; A923) &lt; 30, AVERAGEIF($C$2:C923, C923, $G$2:G923), AVERAGE(FILTER($G$2:G923, $C$2:C923 = C923, $A$2:A923 &gt;= A923 - 30)))
"),"#DIV/0!")</f>
        <v>#DIV/0!</v>
      </c>
      <c r="I923" s="20" t="e">
        <f t="shared" ca="1" si="16"/>
        <v>#DIV/0!</v>
      </c>
      <c r="J923" s="20" t="str">
        <f ca="1">IFERROR(__xludf.DUMMYFUNCTION("IF(OR($I923=2, $I923=3), 0, IFERROR(COUNTIFS($C$2:C923, $C923, $A$2:A923, ""&gt;""&amp;IFERROR(MAX(FILTER($A$2:A923, $C$2:C923=$C923, $I$2:I923&lt;&gt;1)), 0), $I$2:I923, 1),1))
"),"#DIV/0!")</f>
        <v>#DIV/0!</v>
      </c>
      <c r="K923" s="7" t="e">
        <f t="shared" ca="1" si="17"/>
        <v>#DIV/0!</v>
      </c>
      <c r="L923" s="20" t="e">
        <f t="shared" ca="1" si="18"/>
        <v>#DIV/0!</v>
      </c>
      <c r="M923" s="21" t="e">
        <f t="shared" ca="1" si="19"/>
        <v>#DIV/0!</v>
      </c>
      <c r="N923" s="20" t="str">
        <f ca="1">IFERROR(__xludf.DUMMYFUNCTION("IF(COUNTIFS($C$2:C923, C923, $A$2:A923, ""&lt;="" &amp; A923) &lt; 30, STDEV.P(FILTER($G$2:G923, $C$2:C923 = C923)), STDEV.P(FILTER($G$2:G923, $C$2:C923 = C923, $A$2:A923 &gt;= A923 - 30)))
"),"#DIV/0!")</f>
        <v>#DIV/0!</v>
      </c>
    </row>
    <row r="924" spans="1:14" x14ac:dyDescent="0.2">
      <c r="A924" s="41"/>
      <c r="B924" s="32"/>
      <c r="C924" s="32"/>
      <c r="D924" s="33"/>
      <c r="E924" s="33"/>
      <c r="F924" s="33"/>
      <c r="G924" s="19" t="e">
        <f t="shared" si="15"/>
        <v>#DIV/0!</v>
      </c>
      <c r="H924" s="20" t="str">
        <f ca="1">IFERROR(__xludf.DUMMYFUNCTION("IF(COUNTIFS($C$2:C924, C924, $A$2:A924, ""&lt;="" &amp; A924) &lt; 30, AVERAGEIF($C$2:C924, C924, $G$2:G924), AVERAGE(FILTER($G$2:G924, $C$2:C924 = C924, $A$2:A924 &gt;= A924 - 30)))
"),"#DIV/0!")</f>
        <v>#DIV/0!</v>
      </c>
      <c r="I924" s="20" t="e">
        <f t="shared" ca="1" si="16"/>
        <v>#DIV/0!</v>
      </c>
      <c r="J924" s="20" t="str">
        <f ca="1">IFERROR(__xludf.DUMMYFUNCTION("IF(OR($I924=2, $I924=3), 0, IFERROR(COUNTIFS($C$2:C924, $C924, $A$2:A924, ""&gt;""&amp;IFERROR(MAX(FILTER($A$2:A924, $C$2:C924=$C924, $I$2:I924&lt;&gt;1)), 0), $I$2:I924, 1),1))
"),"#DIV/0!")</f>
        <v>#DIV/0!</v>
      </c>
      <c r="K924" s="7" t="e">
        <f t="shared" ca="1" si="17"/>
        <v>#DIV/0!</v>
      </c>
      <c r="L924" s="20" t="e">
        <f t="shared" ca="1" si="18"/>
        <v>#DIV/0!</v>
      </c>
      <c r="M924" s="21" t="e">
        <f t="shared" ca="1" si="19"/>
        <v>#DIV/0!</v>
      </c>
      <c r="N924" s="20" t="str">
        <f ca="1">IFERROR(__xludf.DUMMYFUNCTION("IF(COUNTIFS($C$2:C924, C924, $A$2:A924, ""&lt;="" &amp; A924) &lt; 30, STDEV.P(FILTER($G$2:G924, $C$2:C924 = C924)), STDEV.P(FILTER($G$2:G924, $C$2:C924 = C924, $A$2:A924 &gt;= A924 - 30)))
"),"#DIV/0!")</f>
        <v>#DIV/0!</v>
      </c>
    </row>
    <row r="925" spans="1:14" x14ac:dyDescent="0.2">
      <c r="A925" s="41"/>
      <c r="B925" s="32"/>
      <c r="C925" s="32"/>
      <c r="D925" s="33"/>
      <c r="E925" s="33"/>
      <c r="F925" s="33"/>
      <c r="G925" s="19" t="e">
        <f t="shared" si="15"/>
        <v>#DIV/0!</v>
      </c>
      <c r="H925" s="20" t="str">
        <f ca="1">IFERROR(__xludf.DUMMYFUNCTION("IF(COUNTIFS($C$2:C925, C925, $A$2:A925, ""&lt;="" &amp; A925) &lt; 30, AVERAGEIF($C$2:C925, C925, $G$2:G925), AVERAGE(FILTER($G$2:G925, $C$2:C925 = C925, $A$2:A925 &gt;= A925 - 30)))
"),"#DIV/0!")</f>
        <v>#DIV/0!</v>
      </c>
      <c r="I925" s="20" t="e">
        <f t="shared" ca="1" si="16"/>
        <v>#DIV/0!</v>
      </c>
      <c r="J925" s="20" t="str">
        <f ca="1">IFERROR(__xludf.DUMMYFUNCTION("IF(OR($I925=2, $I925=3), 0, IFERROR(COUNTIFS($C$2:C925, $C925, $A$2:A925, ""&gt;""&amp;IFERROR(MAX(FILTER($A$2:A925, $C$2:C925=$C925, $I$2:I925&lt;&gt;1)), 0), $I$2:I925, 1),1))
"),"#DIV/0!")</f>
        <v>#DIV/0!</v>
      </c>
      <c r="K925" s="7" t="e">
        <f t="shared" ca="1" si="17"/>
        <v>#DIV/0!</v>
      </c>
      <c r="L925" s="20" t="e">
        <f t="shared" ca="1" si="18"/>
        <v>#DIV/0!</v>
      </c>
      <c r="M925" s="21" t="e">
        <f t="shared" ca="1" si="19"/>
        <v>#DIV/0!</v>
      </c>
      <c r="N925" s="20" t="str">
        <f ca="1">IFERROR(__xludf.DUMMYFUNCTION("IF(COUNTIFS($C$2:C925, C925, $A$2:A925, ""&lt;="" &amp; A925) &lt; 30, STDEV.P(FILTER($G$2:G925, $C$2:C925 = C925)), STDEV.P(FILTER($G$2:G925, $C$2:C925 = C925, $A$2:A925 &gt;= A925 - 30)))
"),"#DIV/0!")</f>
        <v>#DIV/0!</v>
      </c>
    </row>
    <row r="926" spans="1:14" x14ac:dyDescent="0.2">
      <c r="A926" s="41"/>
      <c r="B926" s="32"/>
      <c r="C926" s="32"/>
      <c r="D926" s="33"/>
      <c r="E926" s="33"/>
      <c r="F926" s="33"/>
      <c r="G926" s="19" t="e">
        <f t="shared" si="15"/>
        <v>#DIV/0!</v>
      </c>
      <c r="H926" s="20" t="str">
        <f ca="1">IFERROR(__xludf.DUMMYFUNCTION("IF(COUNTIFS($C$2:C926, C926, $A$2:A926, ""&lt;="" &amp; A926) &lt; 30, AVERAGEIF($C$2:C926, C926, $G$2:G926), AVERAGE(FILTER($G$2:G926, $C$2:C926 = C926, $A$2:A926 &gt;= A926 - 30)))
"),"#DIV/0!")</f>
        <v>#DIV/0!</v>
      </c>
      <c r="I926" s="20" t="e">
        <f t="shared" ca="1" si="16"/>
        <v>#DIV/0!</v>
      </c>
      <c r="J926" s="20" t="str">
        <f ca="1">IFERROR(__xludf.DUMMYFUNCTION("IF(OR($I926=2, $I926=3), 0, IFERROR(COUNTIFS($C$2:C926, $C926, $A$2:A926, ""&gt;""&amp;IFERROR(MAX(FILTER($A$2:A926, $C$2:C926=$C926, $I$2:I926&lt;&gt;1)), 0), $I$2:I926, 1),1))
"),"#DIV/0!")</f>
        <v>#DIV/0!</v>
      </c>
      <c r="K926" s="7" t="e">
        <f t="shared" ca="1" si="17"/>
        <v>#DIV/0!</v>
      </c>
      <c r="L926" s="20" t="e">
        <f t="shared" ca="1" si="18"/>
        <v>#DIV/0!</v>
      </c>
      <c r="M926" s="21" t="e">
        <f t="shared" ca="1" si="19"/>
        <v>#DIV/0!</v>
      </c>
      <c r="N926" s="20" t="str">
        <f ca="1">IFERROR(__xludf.DUMMYFUNCTION("IF(COUNTIFS($C$2:C926, C926, $A$2:A926, ""&lt;="" &amp; A926) &lt; 30, STDEV.P(FILTER($G$2:G926, $C$2:C926 = C926)), STDEV.P(FILTER($G$2:G926, $C$2:C926 = C926, $A$2:A926 &gt;= A926 - 30)))
"),"#DIV/0!")</f>
        <v>#DIV/0!</v>
      </c>
    </row>
    <row r="927" spans="1:14" x14ac:dyDescent="0.2">
      <c r="A927" s="41"/>
      <c r="B927" s="32"/>
      <c r="C927" s="32"/>
      <c r="D927" s="33"/>
      <c r="E927" s="33"/>
      <c r="F927" s="33"/>
      <c r="G927" s="19" t="e">
        <f t="shared" si="15"/>
        <v>#DIV/0!</v>
      </c>
      <c r="H927" s="20" t="str">
        <f ca="1">IFERROR(__xludf.DUMMYFUNCTION("IF(COUNTIFS($C$2:C927, C927, $A$2:A927, ""&lt;="" &amp; A927) &lt; 30, AVERAGEIF($C$2:C927, C927, $G$2:G927), AVERAGE(FILTER($G$2:G927, $C$2:C927 = C927, $A$2:A927 &gt;= A927 - 30)))
"),"#DIV/0!")</f>
        <v>#DIV/0!</v>
      </c>
      <c r="I927" s="20" t="e">
        <f t="shared" ca="1" si="16"/>
        <v>#DIV/0!</v>
      </c>
      <c r="J927" s="20" t="str">
        <f ca="1">IFERROR(__xludf.DUMMYFUNCTION("IF(OR($I927=2, $I927=3), 0, IFERROR(COUNTIFS($C$2:C927, $C927, $A$2:A927, ""&gt;""&amp;IFERROR(MAX(FILTER($A$2:A927, $C$2:C927=$C927, $I$2:I927&lt;&gt;1)), 0), $I$2:I927, 1),1))
"),"#DIV/0!")</f>
        <v>#DIV/0!</v>
      </c>
      <c r="K927" s="7" t="e">
        <f t="shared" ca="1" si="17"/>
        <v>#DIV/0!</v>
      </c>
      <c r="L927" s="20" t="e">
        <f t="shared" ca="1" si="18"/>
        <v>#DIV/0!</v>
      </c>
      <c r="M927" s="21" t="e">
        <f t="shared" ca="1" si="19"/>
        <v>#DIV/0!</v>
      </c>
      <c r="N927" s="20" t="str">
        <f ca="1">IFERROR(__xludf.DUMMYFUNCTION("IF(COUNTIFS($C$2:C927, C927, $A$2:A927, ""&lt;="" &amp; A927) &lt; 30, STDEV.P(FILTER($G$2:G927, $C$2:C927 = C927)), STDEV.P(FILTER($G$2:G927, $C$2:C927 = C927, $A$2:A927 &gt;= A927 - 30)))
"),"#DIV/0!")</f>
        <v>#DIV/0!</v>
      </c>
    </row>
    <row r="928" spans="1:14" x14ac:dyDescent="0.2">
      <c r="A928" s="41"/>
      <c r="B928" s="32"/>
      <c r="C928" s="32"/>
      <c r="D928" s="33"/>
      <c r="E928" s="33"/>
      <c r="F928" s="33"/>
      <c r="G928" s="19" t="e">
        <f t="shared" si="15"/>
        <v>#DIV/0!</v>
      </c>
      <c r="H928" s="20" t="str">
        <f ca="1">IFERROR(__xludf.DUMMYFUNCTION("IF(COUNTIFS($C$2:C928, C928, $A$2:A928, ""&lt;="" &amp; A928) &lt; 30, AVERAGEIF($C$2:C928, C928, $G$2:G928), AVERAGE(FILTER($G$2:G928, $C$2:C928 = C928, $A$2:A928 &gt;= A928 - 30)))
"),"#DIV/0!")</f>
        <v>#DIV/0!</v>
      </c>
      <c r="I928" s="20" t="e">
        <f t="shared" ca="1" si="16"/>
        <v>#DIV/0!</v>
      </c>
      <c r="J928" s="20" t="str">
        <f ca="1">IFERROR(__xludf.DUMMYFUNCTION("IF(OR($I928=2, $I928=3), 0, IFERROR(COUNTIFS($C$2:C928, $C928, $A$2:A928, ""&gt;""&amp;IFERROR(MAX(FILTER($A$2:A928, $C$2:C928=$C928, $I$2:I928&lt;&gt;1)), 0), $I$2:I928, 1),1))
"),"#DIV/0!")</f>
        <v>#DIV/0!</v>
      </c>
      <c r="K928" s="7" t="e">
        <f t="shared" ca="1" si="17"/>
        <v>#DIV/0!</v>
      </c>
      <c r="L928" s="20" t="e">
        <f t="shared" ca="1" si="18"/>
        <v>#DIV/0!</v>
      </c>
      <c r="M928" s="21" t="e">
        <f t="shared" ca="1" si="19"/>
        <v>#DIV/0!</v>
      </c>
      <c r="N928" s="20" t="str">
        <f ca="1">IFERROR(__xludf.DUMMYFUNCTION("IF(COUNTIFS($C$2:C928, C928, $A$2:A928, ""&lt;="" &amp; A928) &lt; 30, STDEV.P(FILTER($G$2:G928, $C$2:C928 = C928)), STDEV.P(FILTER($G$2:G928, $C$2:C928 = C928, $A$2:A928 &gt;= A928 - 30)))
"),"#DIV/0!")</f>
        <v>#DIV/0!</v>
      </c>
    </row>
    <row r="929" spans="1:14" x14ac:dyDescent="0.2">
      <c r="A929" s="41"/>
      <c r="B929" s="32"/>
      <c r="C929" s="32"/>
      <c r="D929" s="33"/>
      <c r="E929" s="33"/>
      <c r="F929" s="33"/>
      <c r="G929" s="19" t="e">
        <f t="shared" si="15"/>
        <v>#DIV/0!</v>
      </c>
      <c r="H929" s="20" t="str">
        <f ca="1">IFERROR(__xludf.DUMMYFUNCTION("IF(COUNTIFS($C$2:C929, C929, $A$2:A929, ""&lt;="" &amp; A929) &lt; 30, AVERAGEIF($C$2:C929, C929, $G$2:G929), AVERAGE(FILTER($G$2:G929, $C$2:C929 = C929, $A$2:A929 &gt;= A929 - 30)))
"),"#DIV/0!")</f>
        <v>#DIV/0!</v>
      </c>
      <c r="I929" s="20" t="e">
        <f t="shared" ca="1" si="16"/>
        <v>#DIV/0!</v>
      </c>
      <c r="J929" s="20" t="str">
        <f ca="1">IFERROR(__xludf.DUMMYFUNCTION("IF(OR($I929=2, $I929=3), 0, IFERROR(COUNTIFS($C$2:C929, $C929, $A$2:A929, ""&gt;""&amp;IFERROR(MAX(FILTER($A$2:A929, $C$2:C929=$C929, $I$2:I929&lt;&gt;1)), 0), $I$2:I929, 1),1))
"),"#DIV/0!")</f>
        <v>#DIV/0!</v>
      </c>
      <c r="K929" s="7" t="e">
        <f t="shared" ca="1" si="17"/>
        <v>#DIV/0!</v>
      </c>
      <c r="L929" s="20" t="e">
        <f t="shared" ca="1" si="18"/>
        <v>#DIV/0!</v>
      </c>
      <c r="M929" s="21" t="e">
        <f t="shared" ca="1" si="19"/>
        <v>#DIV/0!</v>
      </c>
      <c r="N929" s="20" t="str">
        <f ca="1">IFERROR(__xludf.DUMMYFUNCTION("IF(COUNTIFS($C$2:C929, C929, $A$2:A929, ""&lt;="" &amp; A929) &lt; 30, STDEV.P(FILTER($G$2:G929, $C$2:C929 = C929)), STDEV.P(FILTER($G$2:G929, $C$2:C929 = C929, $A$2:A929 &gt;= A929 - 30)))
"),"#DIV/0!")</f>
        <v>#DIV/0!</v>
      </c>
    </row>
    <row r="930" spans="1:14" x14ac:dyDescent="0.2">
      <c r="A930" s="41"/>
      <c r="B930" s="32"/>
      <c r="C930" s="32"/>
      <c r="D930" s="33"/>
      <c r="E930" s="33"/>
      <c r="F930" s="33"/>
      <c r="G930" s="19" t="e">
        <f t="shared" si="15"/>
        <v>#DIV/0!</v>
      </c>
      <c r="H930" s="20" t="str">
        <f ca="1">IFERROR(__xludf.DUMMYFUNCTION("IF(COUNTIFS($C$2:C930, C930, $A$2:A930, ""&lt;="" &amp; A930) &lt; 30, AVERAGEIF($C$2:C930, C930, $G$2:G930), AVERAGE(FILTER($G$2:G930, $C$2:C930 = C930, $A$2:A930 &gt;= A930 - 30)))
"),"#DIV/0!")</f>
        <v>#DIV/0!</v>
      </c>
      <c r="I930" s="20" t="e">
        <f t="shared" ca="1" si="16"/>
        <v>#DIV/0!</v>
      </c>
      <c r="J930" s="20" t="str">
        <f ca="1">IFERROR(__xludf.DUMMYFUNCTION("IF(OR($I930=2, $I930=3), 0, IFERROR(COUNTIFS($C$2:C930, $C930, $A$2:A930, ""&gt;""&amp;IFERROR(MAX(FILTER($A$2:A930, $C$2:C930=$C930, $I$2:I930&lt;&gt;1)), 0), $I$2:I930, 1),1))
"),"#DIV/0!")</f>
        <v>#DIV/0!</v>
      </c>
      <c r="K930" s="7" t="e">
        <f t="shared" ca="1" si="17"/>
        <v>#DIV/0!</v>
      </c>
      <c r="L930" s="20" t="e">
        <f t="shared" ca="1" si="18"/>
        <v>#DIV/0!</v>
      </c>
      <c r="M930" s="21" t="e">
        <f t="shared" ca="1" si="19"/>
        <v>#DIV/0!</v>
      </c>
      <c r="N930" s="20" t="str">
        <f ca="1">IFERROR(__xludf.DUMMYFUNCTION("IF(COUNTIFS($C$2:C930, C930, $A$2:A930, ""&lt;="" &amp; A930) &lt; 30, STDEV.P(FILTER($G$2:G930, $C$2:C930 = C930)), STDEV.P(FILTER($G$2:G930, $C$2:C930 = C930, $A$2:A930 &gt;= A930 - 30)))
"),"#DIV/0!")</f>
        <v>#DIV/0!</v>
      </c>
    </row>
    <row r="931" spans="1:14" x14ac:dyDescent="0.2">
      <c r="A931" s="41"/>
      <c r="B931" s="32"/>
      <c r="C931" s="32"/>
      <c r="D931" s="33"/>
      <c r="E931" s="33"/>
      <c r="F931" s="33"/>
      <c r="G931" s="19" t="e">
        <f t="shared" si="15"/>
        <v>#DIV/0!</v>
      </c>
      <c r="H931" s="20" t="str">
        <f ca="1">IFERROR(__xludf.DUMMYFUNCTION("IF(COUNTIFS($C$2:C931, C931, $A$2:A931, ""&lt;="" &amp; A931) &lt; 30, AVERAGEIF($C$2:C931, C931, $G$2:G931), AVERAGE(FILTER($G$2:G931, $C$2:C931 = C931, $A$2:A931 &gt;= A931 - 30)))
"),"#DIV/0!")</f>
        <v>#DIV/0!</v>
      </c>
      <c r="I931" s="20" t="e">
        <f t="shared" ca="1" si="16"/>
        <v>#DIV/0!</v>
      </c>
      <c r="J931" s="20" t="str">
        <f ca="1">IFERROR(__xludf.DUMMYFUNCTION("IF(OR($I931=2, $I931=3), 0, IFERROR(COUNTIFS($C$2:C931, $C931, $A$2:A931, ""&gt;""&amp;IFERROR(MAX(FILTER($A$2:A931, $C$2:C931=$C931, $I$2:I931&lt;&gt;1)), 0), $I$2:I931, 1),1))
"),"#DIV/0!")</f>
        <v>#DIV/0!</v>
      </c>
      <c r="K931" s="7" t="e">
        <f t="shared" ca="1" si="17"/>
        <v>#DIV/0!</v>
      </c>
      <c r="L931" s="20" t="e">
        <f t="shared" ca="1" si="18"/>
        <v>#DIV/0!</v>
      </c>
      <c r="M931" s="21" t="e">
        <f t="shared" ca="1" si="19"/>
        <v>#DIV/0!</v>
      </c>
      <c r="N931" s="20" t="str">
        <f ca="1">IFERROR(__xludf.DUMMYFUNCTION("IF(COUNTIFS($C$2:C931, C931, $A$2:A931, ""&lt;="" &amp; A931) &lt; 30, STDEV.P(FILTER($G$2:G931, $C$2:C931 = C931)), STDEV.P(FILTER($G$2:G931, $C$2:C931 = C931, $A$2:A931 &gt;= A931 - 30)))
"),"#DIV/0!")</f>
        <v>#DIV/0!</v>
      </c>
    </row>
    <row r="932" spans="1:14" x14ac:dyDescent="0.2">
      <c r="A932" s="41"/>
      <c r="B932" s="40"/>
      <c r="C932" s="40"/>
      <c r="D932" s="31"/>
      <c r="E932" s="31"/>
      <c r="F932" s="31"/>
      <c r="G932" s="19" t="e">
        <f t="shared" si="15"/>
        <v>#DIV/0!</v>
      </c>
      <c r="H932" s="20" t="str">
        <f ca="1">IFERROR(__xludf.DUMMYFUNCTION("IF(COUNTIFS($C$2:C932, C932, $A$2:A932, ""&lt;="" &amp; A932) &lt; 30, AVERAGEIF($C$2:C932, C932, $G$2:G932), AVERAGE(FILTER($G$2:G932, $C$2:C932 = C932, $A$2:A932 &gt;= A932 - 30)))
"),"#DIV/0!")</f>
        <v>#DIV/0!</v>
      </c>
      <c r="I932" s="20" t="e">
        <f t="shared" ca="1" si="16"/>
        <v>#DIV/0!</v>
      </c>
      <c r="J932" s="20" t="str">
        <f ca="1">IFERROR(__xludf.DUMMYFUNCTION("IF(OR($I932=2, $I932=3), 0, IFERROR(COUNTIFS($C$2:C932, $C932, $A$2:A932, ""&gt;""&amp;IFERROR(MAX(FILTER($A$2:A932, $C$2:C932=$C932, $I$2:I932&lt;&gt;1)), 0), $I$2:I932, 1),1))
"),"#DIV/0!")</f>
        <v>#DIV/0!</v>
      </c>
      <c r="K932" s="7" t="e">
        <f t="shared" ca="1" si="17"/>
        <v>#DIV/0!</v>
      </c>
      <c r="L932" s="20" t="e">
        <f t="shared" ca="1" si="18"/>
        <v>#DIV/0!</v>
      </c>
      <c r="M932" s="21" t="e">
        <f t="shared" ca="1" si="19"/>
        <v>#DIV/0!</v>
      </c>
      <c r="N932" s="20" t="str">
        <f ca="1">IFERROR(__xludf.DUMMYFUNCTION("IF(COUNTIFS($C$2:C932, C932, $A$2:A932, ""&lt;="" &amp; A932) &lt; 30, STDEV.P(FILTER($G$2:G932, $C$2:C932 = C932)), STDEV.P(FILTER($G$2:G932, $C$2:C932 = C932, $A$2:A932 &gt;= A932 - 30)))
"),"#DIV/0!")</f>
        <v>#DIV/0!</v>
      </c>
    </row>
    <row r="933" spans="1:14" x14ac:dyDescent="0.2">
      <c r="A933" s="41"/>
      <c r="B933" s="40"/>
      <c r="C933" s="40"/>
      <c r="D933" s="31"/>
      <c r="E933" s="31"/>
      <c r="F933" s="31"/>
      <c r="G933" s="19" t="e">
        <f t="shared" si="15"/>
        <v>#DIV/0!</v>
      </c>
      <c r="H933" s="20" t="str">
        <f ca="1">IFERROR(__xludf.DUMMYFUNCTION("IF(COUNTIFS($C$2:C933, C933, $A$2:A933, ""&lt;="" &amp; A933) &lt; 30, AVERAGEIF($C$2:C933, C933, $G$2:G933), AVERAGE(FILTER($G$2:G933, $C$2:C933 = C933, $A$2:A933 &gt;= A933 - 30)))
"),"#DIV/0!")</f>
        <v>#DIV/0!</v>
      </c>
      <c r="I933" s="20" t="e">
        <f t="shared" ca="1" si="16"/>
        <v>#DIV/0!</v>
      </c>
      <c r="J933" s="20" t="str">
        <f ca="1">IFERROR(__xludf.DUMMYFUNCTION("IF(OR($I933=2, $I933=3), 0, IFERROR(COUNTIFS($C$2:C933, $C933, $A$2:A933, ""&gt;""&amp;IFERROR(MAX(FILTER($A$2:A933, $C$2:C933=$C933, $I$2:I933&lt;&gt;1)), 0), $I$2:I933, 1),1))
"),"#DIV/0!")</f>
        <v>#DIV/0!</v>
      </c>
      <c r="K933" s="7" t="e">
        <f t="shared" ca="1" si="17"/>
        <v>#DIV/0!</v>
      </c>
      <c r="L933" s="20" t="e">
        <f t="shared" ca="1" si="18"/>
        <v>#DIV/0!</v>
      </c>
      <c r="M933" s="21" t="e">
        <f t="shared" ca="1" si="19"/>
        <v>#DIV/0!</v>
      </c>
      <c r="N933" s="20" t="str">
        <f ca="1">IFERROR(__xludf.DUMMYFUNCTION("IF(COUNTIFS($C$2:C933, C933, $A$2:A933, ""&lt;="" &amp; A933) &lt; 30, STDEV.P(FILTER($G$2:G933, $C$2:C933 = C933)), STDEV.P(FILTER($G$2:G933, $C$2:C933 = C933, $A$2:A933 &gt;= A933 - 30)))
"),"#DIV/0!")</f>
        <v>#DIV/0!</v>
      </c>
    </row>
    <row r="934" spans="1:14" x14ac:dyDescent="0.2">
      <c r="A934" s="41"/>
      <c r="B934" s="40"/>
      <c r="C934" s="40"/>
      <c r="D934" s="31"/>
      <c r="E934" s="31"/>
      <c r="F934" s="31"/>
      <c r="G934" s="19" t="e">
        <f t="shared" si="15"/>
        <v>#DIV/0!</v>
      </c>
      <c r="H934" s="20" t="str">
        <f ca="1">IFERROR(__xludf.DUMMYFUNCTION("IF(COUNTIFS($C$2:C934, C934, $A$2:A934, ""&lt;="" &amp; A934) &lt; 30, AVERAGEIF($C$2:C934, C934, $G$2:G934), AVERAGE(FILTER($G$2:G934, $C$2:C934 = C934, $A$2:A934 &gt;= A934 - 30)))
"),"#DIV/0!")</f>
        <v>#DIV/0!</v>
      </c>
      <c r="I934" s="20" t="e">
        <f t="shared" ca="1" si="16"/>
        <v>#DIV/0!</v>
      </c>
      <c r="J934" s="20" t="str">
        <f ca="1">IFERROR(__xludf.DUMMYFUNCTION("IF(OR($I934=2, $I934=3), 0, IFERROR(COUNTIFS($C$2:C934, $C934, $A$2:A934, ""&gt;""&amp;IFERROR(MAX(FILTER($A$2:A934, $C$2:C934=$C934, $I$2:I934&lt;&gt;1)), 0), $I$2:I934, 1),1))
"),"#DIV/0!")</f>
        <v>#DIV/0!</v>
      </c>
      <c r="K934" s="7" t="e">
        <f t="shared" ca="1" si="17"/>
        <v>#DIV/0!</v>
      </c>
      <c r="L934" s="20" t="e">
        <f t="shared" ca="1" si="18"/>
        <v>#DIV/0!</v>
      </c>
      <c r="M934" s="21" t="e">
        <f t="shared" ca="1" si="19"/>
        <v>#DIV/0!</v>
      </c>
      <c r="N934" s="20" t="str">
        <f ca="1">IFERROR(__xludf.DUMMYFUNCTION("IF(COUNTIFS($C$2:C934, C934, $A$2:A934, ""&lt;="" &amp; A934) &lt; 30, STDEV.P(FILTER($G$2:G934, $C$2:C934 = C934)), STDEV.P(FILTER($G$2:G934, $C$2:C934 = C934, $A$2:A934 &gt;= A934 - 30)))
"),"#DIV/0!")</f>
        <v>#DIV/0!</v>
      </c>
    </row>
    <row r="935" spans="1:14" x14ac:dyDescent="0.2">
      <c r="A935" s="41"/>
      <c r="B935" s="40"/>
      <c r="C935" s="40"/>
      <c r="D935" s="31"/>
      <c r="E935" s="31"/>
      <c r="F935" s="31"/>
      <c r="G935" s="19" t="e">
        <f t="shared" si="15"/>
        <v>#DIV/0!</v>
      </c>
      <c r="H935" s="20" t="str">
        <f ca="1">IFERROR(__xludf.DUMMYFUNCTION("IF(COUNTIFS($C$2:C935, C935, $A$2:A935, ""&lt;="" &amp; A935) &lt; 30, AVERAGEIF($C$2:C935, C935, $G$2:G935), AVERAGE(FILTER($G$2:G935, $C$2:C935 = C935, $A$2:A935 &gt;= A935 - 30)))
"),"#DIV/0!")</f>
        <v>#DIV/0!</v>
      </c>
      <c r="I935" s="20" t="e">
        <f t="shared" ca="1" si="16"/>
        <v>#DIV/0!</v>
      </c>
      <c r="J935" s="20" t="str">
        <f ca="1">IFERROR(__xludf.DUMMYFUNCTION("IF(OR($I935=2, $I935=3), 0, IFERROR(COUNTIFS($C$2:C935, $C935, $A$2:A935, ""&gt;""&amp;IFERROR(MAX(FILTER($A$2:A935, $C$2:C935=$C935, $I$2:I935&lt;&gt;1)), 0), $I$2:I935, 1),1))
"),"#DIV/0!")</f>
        <v>#DIV/0!</v>
      </c>
      <c r="K935" s="7" t="e">
        <f t="shared" ca="1" si="17"/>
        <v>#DIV/0!</v>
      </c>
      <c r="L935" s="20" t="e">
        <f t="shared" ca="1" si="18"/>
        <v>#DIV/0!</v>
      </c>
      <c r="M935" s="21" t="e">
        <f t="shared" ca="1" si="19"/>
        <v>#DIV/0!</v>
      </c>
      <c r="N935" s="20" t="str">
        <f ca="1">IFERROR(__xludf.DUMMYFUNCTION("IF(COUNTIFS($C$2:C935, C935, $A$2:A935, ""&lt;="" &amp; A935) &lt; 30, STDEV.P(FILTER($G$2:G935, $C$2:C935 = C935)), STDEV.P(FILTER($G$2:G935, $C$2:C935 = C935, $A$2:A935 &gt;= A935 - 30)))
"),"#DIV/0!")</f>
        <v>#DIV/0!</v>
      </c>
    </row>
    <row r="936" spans="1:14" x14ac:dyDescent="0.2">
      <c r="A936" s="41"/>
      <c r="B936" s="40"/>
      <c r="C936" s="40"/>
      <c r="D936" s="31"/>
      <c r="E936" s="31"/>
      <c r="F936" s="31"/>
      <c r="G936" s="19" t="e">
        <f t="shared" si="15"/>
        <v>#DIV/0!</v>
      </c>
      <c r="H936" s="20" t="str">
        <f ca="1">IFERROR(__xludf.DUMMYFUNCTION("IF(COUNTIFS($C$2:C936, C936, $A$2:A936, ""&lt;="" &amp; A936) &lt; 30, AVERAGEIF($C$2:C936, C936, $G$2:G936), AVERAGE(FILTER($G$2:G936, $C$2:C936 = C936, $A$2:A936 &gt;= A936 - 30)))
"),"#DIV/0!")</f>
        <v>#DIV/0!</v>
      </c>
      <c r="I936" s="20" t="e">
        <f t="shared" ca="1" si="16"/>
        <v>#DIV/0!</v>
      </c>
      <c r="J936" s="20" t="str">
        <f ca="1">IFERROR(__xludf.DUMMYFUNCTION("IF(OR($I936=2, $I936=3), 0, IFERROR(COUNTIFS($C$2:C936, $C936, $A$2:A936, ""&gt;""&amp;IFERROR(MAX(FILTER($A$2:A936, $C$2:C936=$C936, $I$2:I936&lt;&gt;1)), 0), $I$2:I936, 1),1))
"),"#DIV/0!")</f>
        <v>#DIV/0!</v>
      </c>
      <c r="K936" s="7" t="e">
        <f t="shared" ca="1" si="17"/>
        <v>#DIV/0!</v>
      </c>
      <c r="L936" s="20" t="e">
        <f t="shared" ca="1" si="18"/>
        <v>#DIV/0!</v>
      </c>
      <c r="M936" s="21" t="e">
        <f t="shared" ca="1" si="19"/>
        <v>#DIV/0!</v>
      </c>
      <c r="N936" s="20" t="str">
        <f ca="1">IFERROR(__xludf.DUMMYFUNCTION("IF(COUNTIFS($C$2:C936, C936, $A$2:A936, ""&lt;="" &amp; A936) &lt; 30, STDEV.P(FILTER($G$2:G936, $C$2:C936 = C936)), STDEV.P(FILTER($G$2:G936, $C$2:C936 = C936, $A$2:A936 &gt;= A936 - 30)))
"),"#DIV/0!")</f>
        <v>#DIV/0!</v>
      </c>
    </row>
    <row r="937" spans="1:14" x14ac:dyDescent="0.2">
      <c r="A937" s="41"/>
      <c r="B937" s="40"/>
      <c r="C937" s="40"/>
      <c r="D937" s="31"/>
      <c r="E937" s="31"/>
      <c r="F937" s="31"/>
      <c r="G937" s="19" t="e">
        <f t="shared" si="15"/>
        <v>#DIV/0!</v>
      </c>
      <c r="H937" s="20" t="str">
        <f ca="1">IFERROR(__xludf.DUMMYFUNCTION("IF(COUNTIFS($C$2:C937, C937, $A$2:A937, ""&lt;="" &amp; A937) &lt; 30, AVERAGEIF($C$2:C937, C937, $G$2:G937), AVERAGE(FILTER($G$2:G937, $C$2:C937 = C937, $A$2:A937 &gt;= A937 - 30)))
"),"#DIV/0!")</f>
        <v>#DIV/0!</v>
      </c>
      <c r="I937" s="20" t="e">
        <f t="shared" ca="1" si="16"/>
        <v>#DIV/0!</v>
      </c>
      <c r="J937" s="20" t="str">
        <f ca="1">IFERROR(__xludf.DUMMYFUNCTION("IF(OR($I937=2, $I937=3), 0, IFERROR(COUNTIFS($C$2:C937, $C937, $A$2:A937, ""&gt;""&amp;IFERROR(MAX(FILTER($A$2:A937, $C$2:C937=$C937, $I$2:I937&lt;&gt;1)), 0), $I$2:I937, 1),1))
"),"#DIV/0!")</f>
        <v>#DIV/0!</v>
      </c>
      <c r="K937" s="7" t="e">
        <f t="shared" ca="1" si="17"/>
        <v>#DIV/0!</v>
      </c>
      <c r="L937" s="20" t="e">
        <f t="shared" ca="1" si="18"/>
        <v>#DIV/0!</v>
      </c>
      <c r="M937" s="21" t="e">
        <f t="shared" ca="1" si="19"/>
        <v>#DIV/0!</v>
      </c>
      <c r="N937" s="20" t="str">
        <f ca="1">IFERROR(__xludf.DUMMYFUNCTION("IF(COUNTIFS($C$2:C937, C937, $A$2:A937, ""&lt;="" &amp; A937) &lt; 30, STDEV.P(FILTER($G$2:G937, $C$2:C937 = C937)), STDEV.P(FILTER($G$2:G937, $C$2:C937 = C937, $A$2:A937 &gt;= A937 - 30)))
"),"#DIV/0!")</f>
        <v>#DIV/0!</v>
      </c>
    </row>
    <row r="938" spans="1:14" x14ac:dyDescent="0.2">
      <c r="A938" s="41"/>
      <c r="B938" s="32"/>
      <c r="C938" s="32"/>
      <c r="D938" s="33"/>
      <c r="E938" s="33"/>
      <c r="F938" s="33"/>
      <c r="G938" s="19" t="e">
        <f t="shared" si="15"/>
        <v>#DIV/0!</v>
      </c>
      <c r="H938" s="20" t="str">
        <f ca="1">IFERROR(__xludf.DUMMYFUNCTION("IF(COUNTIFS($C$2:C938, C938, $A$2:A938, ""&lt;="" &amp; A938) &lt; 30, AVERAGEIF($C$2:C938, C938, $G$2:G938), AVERAGE(FILTER($G$2:G938, $C$2:C938 = C938, $A$2:A938 &gt;= A938 - 30)))
"),"#DIV/0!")</f>
        <v>#DIV/0!</v>
      </c>
      <c r="I938" s="20" t="e">
        <f t="shared" ca="1" si="16"/>
        <v>#DIV/0!</v>
      </c>
      <c r="J938" s="20" t="str">
        <f ca="1">IFERROR(__xludf.DUMMYFUNCTION("IF(OR($I938=2, $I938=3), 0, IFERROR(COUNTIFS($C$2:C938, $C938, $A$2:A938, ""&gt;""&amp;IFERROR(MAX(FILTER($A$2:A938, $C$2:C938=$C938, $I$2:I938&lt;&gt;1)), 0), $I$2:I938, 1),1))
"),"#DIV/0!")</f>
        <v>#DIV/0!</v>
      </c>
      <c r="K938" s="7" t="e">
        <f t="shared" ca="1" si="17"/>
        <v>#DIV/0!</v>
      </c>
      <c r="L938" s="20" t="e">
        <f t="shared" ca="1" si="18"/>
        <v>#DIV/0!</v>
      </c>
      <c r="M938" s="21" t="e">
        <f t="shared" ca="1" si="19"/>
        <v>#DIV/0!</v>
      </c>
      <c r="N938" s="20" t="str">
        <f ca="1">IFERROR(__xludf.DUMMYFUNCTION("IF(COUNTIFS($C$2:C938, C938, $A$2:A938, ""&lt;="" &amp; A938) &lt; 30, STDEV.P(FILTER($G$2:G938, $C$2:C938 = C938)), STDEV.P(FILTER($G$2:G938, $C$2:C938 = C938, $A$2:A938 &gt;= A938 - 30)))
"),"#DIV/0!")</f>
        <v>#DIV/0!</v>
      </c>
    </row>
    <row r="939" spans="1:14" x14ac:dyDescent="0.2">
      <c r="A939" s="41"/>
      <c r="B939" s="32"/>
      <c r="C939" s="32"/>
      <c r="D939" s="33"/>
      <c r="E939" s="33"/>
      <c r="F939" s="33"/>
      <c r="G939" s="19" t="e">
        <f t="shared" si="15"/>
        <v>#DIV/0!</v>
      </c>
      <c r="H939" s="20" t="str">
        <f ca="1">IFERROR(__xludf.DUMMYFUNCTION("IF(COUNTIFS($C$2:C939, C939, $A$2:A939, ""&lt;="" &amp; A939) &lt; 30, AVERAGEIF($C$2:C939, C939, $G$2:G939), AVERAGE(FILTER($G$2:G939, $C$2:C939 = C939, $A$2:A939 &gt;= A939 - 30)))
"),"#DIV/0!")</f>
        <v>#DIV/0!</v>
      </c>
      <c r="I939" s="20" t="e">
        <f t="shared" ca="1" si="16"/>
        <v>#DIV/0!</v>
      </c>
      <c r="J939" s="20" t="str">
        <f ca="1">IFERROR(__xludf.DUMMYFUNCTION("IF(OR($I939=2, $I939=3), 0, IFERROR(COUNTIFS($C$2:C939, $C939, $A$2:A939, ""&gt;""&amp;IFERROR(MAX(FILTER($A$2:A939, $C$2:C939=$C939, $I$2:I939&lt;&gt;1)), 0), $I$2:I939, 1),1))
"),"#DIV/0!")</f>
        <v>#DIV/0!</v>
      </c>
      <c r="K939" s="7" t="e">
        <f t="shared" ca="1" si="17"/>
        <v>#DIV/0!</v>
      </c>
      <c r="L939" s="20" t="e">
        <f t="shared" ca="1" si="18"/>
        <v>#DIV/0!</v>
      </c>
      <c r="M939" s="21" t="e">
        <f t="shared" ca="1" si="19"/>
        <v>#DIV/0!</v>
      </c>
      <c r="N939" s="20" t="str">
        <f ca="1">IFERROR(__xludf.DUMMYFUNCTION("IF(COUNTIFS($C$2:C939, C939, $A$2:A939, ""&lt;="" &amp; A939) &lt; 30, STDEV.P(FILTER($G$2:G939, $C$2:C939 = C939)), STDEV.P(FILTER($G$2:G939, $C$2:C939 = C939, $A$2:A939 &gt;= A939 - 30)))
"),"#DIV/0!")</f>
        <v>#DIV/0!</v>
      </c>
    </row>
    <row r="940" spans="1:14" x14ac:dyDescent="0.2">
      <c r="A940" s="41"/>
      <c r="B940" s="32"/>
      <c r="C940" s="32"/>
      <c r="D940" s="33"/>
      <c r="E940" s="33"/>
      <c r="F940" s="33"/>
      <c r="G940" s="19" t="e">
        <f t="shared" si="15"/>
        <v>#DIV/0!</v>
      </c>
      <c r="H940" s="20" t="str">
        <f ca="1">IFERROR(__xludf.DUMMYFUNCTION("IF(COUNTIFS($C$2:C940, C940, $A$2:A940, ""&lt;="" &amp; A940) &lt; 30, AVERAGEIF($C$2:C940, C940, $G$2:G940), AVERAGE(FILTER($G$2:G940, $C$2:C940 = C940, $A$2:A940 &gt;= A940 - 30)))
"),"#DIV/0!")</f>
        <v>#DIV/0!</v>
      </c>
      <c r="I940" s="20" t="e">
        <f t="shared" ca="1" si="16"/>
        <v>#DIV/0!</v>
      </c>
      <c r="J940" s="20" t="str">
        <f ca="1">IFERROR(__xludf.DUMMYFUNCTION("IF(OR($I940=2, $I940=3), 0, IFERROR(COUNTIFS($C$2:C940, $C940, $A$2:A940, ""&gt;""&amp;IFERROR(MAX(FILTER($A$2:A940, $C$2:C940=$C940, $I$2:I940&lt;&gt;1)), 0), $I$2:I940, 1),1))
"),"#DIV/0!")</f>
        <v>#DIV/0!</v>
      </c>
      <c r="K940" s="7" t="e">
        <f t="shared" ca="1" si="17"/>
        <v>#DIV/0!</v>
      </c>
      <c r="L940" s="20" t="e">
        <f t="shared" ca="1" si="18"/>
        <v>#DIV/0!</v>
      </c>
      <c r="M940" s="21" t="e">
        <f t="shared" ca="1" si="19"/>
        <v>#DIV/0!</v>
      </c>
      <c r="N940" s="20" t="str">
        <f ca="1">IFERROR(__xludf.DUMMYFUNCTION("IF(COUNTIFS($C$2:C940, C940, $A$2:A940, ""&lt;="" &amp; A940) &lt; 30, STDEV.P(FILTER($G$2:G940, $C$2:C940 = C940)), STDEV.P(FILTER($G$2:G940, $C$2:C940 = C940, $A$2:A940 &gt;= A940 - 30)))
"),"#DIV/0!")</f>
        <v>#DIV/0!</v>
      </c>
    </row>
    <row r="941" spans="1:14" x14ac:dyDescent="0.2">
      <c r="A941" s="41"/>
      <c r="B941" s="32"/>
      <c r="C941" s="32"/>
      <c r="D941" s="33"/>
      <c r="E941" s="33"/>
      <c r="F941" s="33"/>
      <c r="G941" s="19" t="e">
        <f t="shared" si="15"/>
        <v>#DIV/0!</v>
      </c>
      <c r="H941" s="20" t="str">
        <f ca="1">IFERROR(__xludf.DUMMYFUNCTION("IF(COUNTIFS($C$2:C941, C941, $A$2:A941, ""&lt;="" &amp; A941) &lt; 30, AVERAGEIF($C$2:C941, C941, $G$2:G941), AVERAGE(FILTER($G$2:G941, $C$2:C941 = C941, $A$2:A941 &gt;= A941 - 30)))
"),"#DIV/0!")</f>
        <v>#DIV/0!</v>
      </c>
      <c r="I941" s="20" t="e">
        <f t="shared" ca="1" si="16"/>
        <v>#DIV/0!</v>
      </c>
      <c r="J941" s="20" t="str">
        <f ca="1">IFERROR(__xludf.DUMMYFUNCTION("IF(OR($I941=2, $I941=3), 0, IFERROR(COUNTIFS($C$2:C941, $C941, $A$2:A941, ""&gt;""&amp;IFERROR(MAX(FILTER($A$2:A941, $C$2:C941=$C941, $I$2:I941&lt;&gt;1)), 0), $I$2:I941, 1),1))
"),"#DIV/0!")</f>
        <v>#DIV/0!</v>
      </c>
      <c r="K941" s="7" t="e">
        <f t="shared" ca="1" si="17"/>
        <v>#DIV/0!</v>
      </c>
      <c r="L941" s="20" t="e">
        <f t="shared" ca="1" si="18"/>
        <v>#DIV/0!</v>
      </c>
      <c r="M941" s="21" t="e">
        <f t="shared" ca="1" si="19"/>
        <v>#DIV/0!</v>
      </c>
      <c r="N941" s="20" t="str">
        <f ca="1">IFERROR(__xludf.DUMMYFUNCTION("IF(COUNTIFS($C$2:C941, C941, $A$2:A941, ""&lt;="" &amp; A941) &lt; 30, STDEV.P(FILTER($G$2:G941, $C$2:C941 = C941)), STDEV.P(FILTER($G$2:G941, $C$2:C941 = C941, $A$2:A941 &gt;= A941 - 30)))
"),"#DIV/0!")</f>
        <v>#DIV/0!</v>
      </c>
    </row>
    <row r="942" spans="1:14" x14ac:dyDescent="0.2">
      <c r="A942" s="41"/>
      <c r="B942" s="32"/>
      <c r="C942" s="32"/>
      <c r="D942" s="33"/>
      <c r="E942" s="33"/>
      <c r="F942" s="33"/>
      <c r="G942" s="19" t="e">
        <f t="shared" si="15"/>
        <v>#DIV/0!</v>
      </c>
      <c r="H942" s="20" t="str">
        <f ca="1">IFERROR(__xludf.DUMMYFUNCTION("IF(COUNTIFS($C$2:C942, C942, $A$2:A942, ""&lt;="" &amp; A942) &lt; 30, AVERAGEIF($C$2:C942, C942, $G$2:G942), AVERAGE(FILTER($G$2:G942, $C$2:C942 = C942, $A$2:A942 &gt;= A942 - 30)))
"),"#DIV/0!")</f>
        <v>#DIV/0!</v>
      </c>
      <c r="I942" s="20" t="e">
        <f t="shared" ca="1" si="16"/>
        <v>#DIV/0!</v>
      </c>
      <c r="J942" s="20" t="str">
        <f ca="1">IFERROR(__xludf.DUMMYFUNCTION("IF(OR($I942=2, $I942=3), 0, IFERROR(COUNTIFS($C$2:C942, $C942, $A$2:A942, ""&gt;""&amp;IFERROR(MAX(FILTER($A$2:A942, $C$2:C942=$C942, $I$2:I942&lt;&gt;1)), 0), $I$2:I942, 1),1))
"),"#DIV/0!")</f>
        <v>#DIV/0!</v>
      </c>
      <c r="K942" s="7" t="e">
        <f t="shared" ca="1" si="17"/>
        <v>#DIV/0!</v>
      </c>
      <c r="L942" s="20" t="e">
        <f t="shared" ca="1" si="18"/>
        <v>#DIV/0!</v>
      </c>
      <c r="M942" s="21" t="e">
        <f t="shared" ca="1" si="19"/>
        <v>#DIV/0!</v>
      </c>
      <c r="N942" s="20" t="str">
        <f ca="1">IFERROR(__xludf.DUMMYFUNCTION("IF(COUNTIFS($C$2:C942, C942, $A$2:A942, ""&lt;="" &amp; A942) &lt; 30, STDEV.P(FILTER($G$2:G942, $C$2:C942 = C942)), STDEV.P(FILTER($G$2:G942, $C$2:C942 = C942, $A$2:A942 &gt;= A942 - 30)))
"),"#DIV/0!")</f>
        <v>#DIV/0!</v>
      </c>
    </row>
    <row r="943" spans="1:14" x14ac:dyDescent="0.2">
      <c r="A943" s="41"/>
      <c r="B943" s="32"/>
      <c r="C943" s="32"/>
      <c r="D943" s="33"/>
      <c r="E943" s="33"/>
      <c r="F943" s="33"/>
      <c r="G943" s="19" t="e">
        <f t="shared" si="15"/>
        <v>#DIV/0!</v>
      </c>
      <c r="H943" s="20" t="str">
        <f ca="1">IFERROR(__xludf.DUMMYFUNCTION("IF(COUNTIFS($C$2:C943, C943, $A$2:A943, ""&lt;="" &amp; A943) &lt; 30, AVERAGEIF($C$2:C943, C943, $G$2:G943), AVERAGE(FILTER($G$2:G943, $C$2:C943 = C943, $A$2:A943 &gt;= A943 - 30)))
"),"#DIV/0!")</f>
        <v>#DIV/0!</v>
      </c>
      <c r="I943" s="20" t="e">
        <f t="shared" ca="1" si="16"/>
        <v>#DIV/0!</v>
      </c>
      <c r="J943" s="20" t="str">
        <f ca="1">IFERROR(__xludf.DUMMYFUNCTION("IF(OR($I943=2, $I943=3), 0, IFERROR(COUNTIFS($C$2:C943, $C943, $A$2:A943, ""&gt;""&amp;IFERROR(MAX(FILTER($A$2:A943, $C$2:C943=$C943, $I$2:I943&lt;&gt;1)), 0), $I$2:I943, 1),1))
"),"#DIV/0!")</f>
        <v>#DIV/0!</v>
      </c>
      <c r="K943" s="7" t="e">
        <f t="shared" ca="1" si="17"/>
        <v>#DIV/0!</v>
      </c>
      <c r="L943" s="20" t="e">
        <f t="shared" ca="1" si="18"/>
        <v>#DIV/0!</v>
      </c>
      <c r="M943" s="21" t="e">
        <f t="shared" ca="1" si="19"/>
        <v>#DIV/0!</v>
      </c>
      <c r="N943" s="20" t="str">
        <f ca="1">IFERROR(__xludf.DUMMYFUNCTION("IF(COUNTIFS($C$2:C943, C943, $A$2:A943, ""&lt;="" &amp; A943) &lt; 30, STDEV.P(FILTER($G$2:G943, $C$2:C943 = C943)), STDEV.P(FILTER($G$2:G943, $C$2:C943 = C943, $A$2:A943 &gt;= A943 - 30)))
"),"#DIV/0!")</f>
        <v>#DIV/0!</v>
      </c>
    </row>
    <row r="944" spans="1:14" x14ac:dyDescent="0.2">
      <c r="A944" s="41"/>
      <c r="B944" s="32"/>
      <c r="C944" s="32"/>
      <c r="D944" s="33"/>
      <c r="E944" s="33"/>
      <c r="F944" s="33"/>
      <c r="G944" s="19" t="e">
        <f t="shared" si="15"/>
        <v>#DIV/0!</v>
      </c>
      <c r="H944" s="20" t="str">
        <f ca="1">IFERROR(__xludf.DUMMYFUNCTION("IF(COUNTIFS($C$2:C944, C944, $A$2:A944, ""&lt;="" &amp; A944) &lt; 30, AVERAGEIF($C$2:C944, C944, $G$2:G944), AVERAGE(FILTER($G$2:G944, $C$2:C944 = C944, $A$2:A944 &gt;= A944 - 30)))
"),"#DIV/0!")</f>
        <v>#DIV/0!</v>
      </c>
      <c r="I944" s="20" t="e">
        <f t="shared" ca="1" si="16"/>
        <v>#DIV/0!</v>
      </c>
      <c r="J944" s="20" t="str">
        <f ca="1">IFERROR(__xludf.DUMMYFUNCTION("IF(OR($I944=2, $I944=3), 0, IFERROR(COUNTIFS($C$2:C944, $C944, $A$2:A944, ""&gt;""&amp;IFERROR(MAX(FILTER($A$2:A944, $C$2:C944=$C944, $I$2:I944&lt;&gt;1)), 0), $I$2:I944, 1),1))
"),"#DIV/0!")</f>
        <v>#DIV/0!</v>
      </c>
      <c r="K944" s="7" t="e">
        <f t="shared" ca="1" si="17"/>
        <v>#DIV/0!</v>
      </c>
      <c r="L944" s="20" t="e">
        <f t="shared" ca="1" si="18"/>
        <v>#DIV/0!</v>
      </c>
      <c r="M944" s="21" t="e">
        <f t="shared" ca="1" si="19"/>
        <v>#DIV/0!</v>
      </c>
      <c r="N944" s="20" t="str">
        <f ca="1">IFERROR(__xludf.DUMMYFUNCTION("IF(COUNTIFS($C$2:C944, C944, $A$2:A944, ""&lt;="" &amp; A944) &lt; 30, STDEV.P(FILTER($G$2:G944, $C$2:C944 = C944)), STDEV.P(FILTER($G$2:G944, $C$2:C944 = C944, $A$2:A944 &gt;= A944 - 30)))
"),"#DIV/0!")</f>
        <v>#DIV/0!</v>
      </c>
    </row>
    <row r="945" spans="1:14" x14ac:dyDescent="0.2">
      <c r="A945" s="41"/>
      <c r="B945" s="32"/>
      <c r="C945" s="32"/>
      <c r="D945" s="33"/>
      <c r="E945" s="33"/>
      <c r="F945" s="33"/>
      <c r="G945" s="19" t="e">
        <f t="shared" si="15"/>
        <v>#DIV/0!</v>
      </c>
      <c r="H945" s="20" t="str">
        <f ca="1">IFERROR(__xludf.DUMMYFUNCTION("IF(COUNTIFS($C$2:C945, C945, $A$2:A945, ""&lt;="" &amp; A945) &lt; 30, AVERAGEIF($C$2:C945, C945, $G$2:G945), AVERAGE(FILTER($G$2:G945, $C$2:C945 = C945, $A$2:A945 &gt;= A945 - 30)))
"),"#DIV/0!")</f>
        <v>#DIV/0!</v>
      </c>
      <c r="I945" s="20" t="e">
        <f t="shared" ca="1" si="16"/>
        <v>#DIV/0!</v>
      </c>
      <c r="J945" s="20" t="str">
        <f ca="1">IFERROR(__xludf.DUMMYFUNCTION("IF(OR($I945=2, $I945=3), 0, IFERROR(COUNTIFS($C$2:C945, $C945, $A$2:A945, ""&gt;""&amp;IFERROR(MAX(FILTER($A$2:A945, $C$2:C945=$C945, $I$2:I945&lt;&gt;1)), 0), $I$2:I945, 1),1))
"),"#DIV/0!")</f>
        <v>#DIV/0!</v>
      </c>
      <c r="K945" s="7" t="e">
        <f t="shared" ca="1" si="17"/>
        <v>#DIV/0!</v>
      </c>
      <c r="L945" s="20" t="e">
        <f t="shared" ca="1" si="18"/>
        <v>#DIV/0!</v>
      </c>
      <c r="M945" s="21" t="e">
        <f t="shared" ca="1" si="19"/>
        <v>#DIV/0!</v>
      </c>
      <c r="N945" s="20" t="str">
        <f ca="1">IFERROR(__xludf.DUMMYFUNCTION("IF(COUNTIFS($C$2:C945, C945, $A$2:A945, ""&lt;="" &amp; A945) &lt; 30, STDEV.P(FILTER($G$2:G945, $C$2:C945 = C945)), STDEV.P(FILTER($G$2:G945, $C$2:C945 = C945, $A$2:A945 &gt;= A945 - 30)))
"),"#DIV/0!")</f>
        <v>#DIV/0!</v>
      </c>
    </row>
    <row r="946" spans="1:14" x14ac:dyDescent="0.2">
      <c r="A946" s="41"/>
      <c r="B946" s="32"/>
      <c r="C946" s="32"/>
      <c r="D946" s="33"/>
      <c r="E946" s="33"/>
      <c r="F946" s="33"/>
      <c r="G946" s="19" t="e">
        <f t="shared" si="15"/>
        <v>#DIV/0!</v>
      </c>
      <c r="H946" s="20" t="str">
        <f ca="1">IFERROR(__xludf.DUMMYFUNCTION("IF(COUNTIFS($C$2:C946, C946, $A$2:A946, ""&lt;="" &amp; A946) &lt; 30, AVERAGEIF($C$2:C946, C946, $G$2:G946), AVERAGE(FILTER($G$2:G946, $C$2:C946 = C946, $A$2:A946 &gt;= A946 - 30)))
"),"#DIV/0!")</f>
        <v>#DIV/0!</v>
      </c>
      <c r="I946" s="20" t="e">
        <f t="shared" ca="1" si="16"/>
        <v>#DIV/0!</v>
      </c>
      <c r="J946" s="20" t="str">
        <f ca="1">IFERROR(__xludf.DUMMYFUNCTION("IF(OR($I946=2, $I946=3), 0, IFERROR(COUNTIFS($C$2:C946, $C946, $A$2:A946, ""&gt;""&amp;IFERROR(MAX(FILTER($A$2:A946, $C$2:C946=$C946, $I$2:I946&lt;&gt;1)), 0), $I$2:I946, 1),1))
"),"#DIV/0!")</f>
        <v>#DIV/0!</v>
      </c>
      <c r="K946" s="7" t="e">
        <f t="shared" ca="1" si="17"/>
        <v>#DIV/0!</v>
      </c>
      <c r="L946" s="20" t="e">
        <f t="shared" ca="1" si="18"/>
        <v>#DIV/0!</v>
      </c>
      <c r="M946" s="21" t="e">
        <f t="shared" ca="1" si="19"/>
        <v>#DIV/0!</v>
      </c>
      <c r="N946" s="20" t="str">
        <f ca="1">IFERROR(__xludf.DUMMYFUNCTION("IF(COUNTIFS($C$2:C946, C946, $A$2:A946, ""&lt;="" &amp; A946) &lt; 30, STDEV.P(FILTER($G$2:G946, $C$2:C946 = C946)), STDEV.P(FILTER($G$2:G946, $C$2:C946 = C946, $A$2:A946 &gt;= A946 - 30)))
"),"#DIV/0!")</f>
        <v>#DIV/0!</v>
      </c>
    </row>
    <row r="947" spans="1:14" x14ac:dyDescent="0.2">
      <c r="A947" s="41"/>
      <c r="B947" s="32"/>
      <c r="C947" s="32"/>
      <c r="D947" s="33"/>
      <c r="E947" s="33"/>
      <c r="F947" s="33"/>
      <c r="G947" s="19" t="e">
        <f t="shared" si="15"/>
        <v>#DIV/0!</v>
      </c>
      <c r="H947" s="20" t="str">
        <f ca="1">IFERROR(__xludf.DUMMYFUNCTION("IF(COUNTIFS($C$2:C947, C947, $A$2:A947, ""&lt;="" &amp; A947) &lt; 30, AVERAGEIF($C$2:C947, C947, $G$2:G947), AVERAGE(FILTER($G$2:G947, $C$2:C947 = C947, $A$2:A947 &gt;= A947 - 30)))
"),"#DIV/0!")</f>
        <v>#DIV/0!</v>
      </c>
      <c r="I947" s="20" t="e">
        <f t="shared" ca="1" si="16"/>
        <v>#DIV/0!</v>
      </c>
      <c r="J947" s="20" t="str">
        <f ca="1">IFERROR(__xludf.DUMMYFUNCTION("IF(OR($I947=2, $I947=3), 0, IFERROR(COUNTIFS($C$2:C947, $C947, $A$2:A947, ""&gt;""&amp;IFERROR(MAX(FILTER($A$2:A947, $C$2:C947=$C947, $I$2:I947&lt;&gt;1)), 0), $I$2:I947, 1),1))
"),"#DIV/0!")</f>
        <v>#DIV/0!</v>
      </c>
      <c r="K947" s="7" t="e">
        <f t="shared" ca="1" si="17"/>
        <v>#DIV/0!</v>
      </c>
      <c r="L947" s="20" t="e">
        <f t="shared" ca="1" si="18"/>
        <v>#DIV/0!</v>
      </c>
      <c r="M947" s="21" t="e">
        <f t="shared" ca="1" si="19"/>
        <v>#DIV/0!</v>
      </c>
      <c r="N947" s="20" t="str">
        <f ca="1">IFERROR(__xludf.DUMMYFUNCTION("IF(COUNTIFS($C$2:C947, C947, $A$2:A947, ""&lt;="" &amp; A947) &lt; 30, STDEV.P(FILTER($G$2:G947, $C$2:C947 = C947)), STDEV.P(FILTER($G$2:G947, $C$2:C947 = C947, $A$2:A947 &gt;= A947 - 30)))
"),"#DIV/0!")</f>
        <v>#DIV/0!</v>
      </c>
    </row>
    <row r="948" spans="1:14" x14ac:dyDescent="0.2">
      <c r="A948" s="41"/>
      <c r="B948" s="32"/>
      <c r="C948" s="32"/>
      <c r="D948" s="33"/>
      <c r="E948" s="33"/>
      <c r="F948" s="33"/>
      <c r="G948" s="19" t="e">
        <f t="shared" si="15"/>
        <v>#DIV/0!</v>
      </c>
      <c r="H948" s="20" t="str">
        <f ca="1">IFERROR(__xludf.DUMMYFUNCTION("IF(COUNTIFS($C$2:C948, C948, $A$2:A948, ""&lt;="" &amp; A948) &lt; 30, AVERAGEIF($C$2:C948, C948, $G$2:G948), AVERAGE(FILTER($G$2:G948, $C$2:C948 = C948, $A$2:A948 &gt;= A948 - 30)))
"),"#DIV/0!")</f>
        <v>#DIV/0!</v>
      </c>
      <c r="I948" s="20" t="e">
        <f t="shared" ca="1" si="16"/>
        <v>#DIV/0!</v>
      </c>
      <c r="J948" s="20" t="str">
        <f ca="1">IFERROR(__xludf.DUMMYFUNCTION("IF(OR($I948=2, $I948=3), 0, IFERROR(COUNTIFS($C$2:C948, $C948, $A$2:A948, ""&gt;""&amp;IFERROR(MAX(FILTER($A$2:A948, $C$2:C948=$C948, $I$2:I948&lt;&gt;1)), 0), $I$2:I948, 1),1))
"),"#DIV/0!")</f>
        <v>#DIV/0!</v>
      </c>
      <c r="K948" s="7" t="e">
        <f t="shared" ca="1" si="17"/>
        <v>#DIV/0!</v>
      </c>
      <c r="L948" s="20" t="e">
        <f t="shared" ca="1" si="18"/>
        <v>#DIV/0!</v>
      </c>
      <c r="M948" s="21" t="e">
        <f t="shared" ca="1" si="19"/>
        <v>#DIV/0!</v>
      </c>
      <c r="N948" s="20" t="str">
        <f ca="1">IFERROR(__xludf.DUMMYFUNCTION("IF(COUNTIFS($C$2:C948, C948, $A$2:A948, ""&lt;="" &amp; A948) &lt; 30, STDEV.P(FILTER($G$2:G948, $C$2:C948 = C948)), STDEV.P(FILTER($G$2:G948, $C$2:C948 = C948, $A$2:A948 &gt;= A948 - 30)))
"),"#DIV/0!")</f>
        <v>#DIV/0!</v>
      </c>
    </row>
    <row r="949" spans="1:14" x14ac:dyDescent="0.2">
      <c r="A949" s="41"/>
      <c r="B949" s="40"/>
      <c r="C949" s="40"/>
      <c r="D949" s="31"/>
      <c r="E949" s="31"/>
      <c r="F949" s="31"/>
      <c r="G949" s="19" t="e">
        <f t="shared" si="15"/>
        <v>#DIV/0!</v>
      </c>
      <c r="H949" s="20" t="str">
        <f ca="1">IFERROR(__xludf.DUMMYFUNCTION("IF(COUNTIFS($C$2:C949, C949, $A$2:A949, ""&lt;="" &amp; A949) &lt; 30, AVERAGEIF($C$2:C949, C949, $G$2:G949), AVERAGE(FILTER($G$2:G949, $C$2:C949 = C949, $A$2:A949 &gt;= A949 - 30)))
"),"#DIV/0!")</f>
        <v>#DIV/0!</v>
      </c>
      <c r="I949" s="20" t="e">
        <f t="shared" ca="1" si="16"/>
        <v>#DIV/0!</v>
      </c>
      <c r="J949" s="20" t="str">
        <f ca="1">IFERROR(__xludf.DUMMYFUNCTION("IF(OR($I949=2, $I949=3), 0, IFERROR(COUNTIFS($C$2:C949, $C949, $A$2:A949, ""&gt;""&amp;IFERROR(MAX(FILTER($A$2:A949, $C$2:C949=$C949, $I$2:I949&lt;&gt;1)), 0), $I$2:I949, 1),1))
"),"#DIV/0!")</f>
        <v>#DIV/0!</v>
      </c>
      <c r="K949" s="7" t="e">
        <f t="shared" ca="1" si="17"/>
        <v>#DIV/0!</v>
      </c>
      <c r="L949" s="20" t="e">
        <f t="shared" ca="1" si="18"/>
        <v>#DIV/0!</v>
      </c>
      <c r="M949" s="21" t="e">
        <f t="shared" ca="1" si="19"/>
        <v>#DIV/0!</v>
      </c>
      <c r="N949" s="20" t="str">
        <f ca="1">IFERROR(__xludf.DUMMYFUNCTION("IF(COUNTIFS($C$2:C949, C949, $A$2:A949, ""&lt;="" &amp; A949) &lt; 30, STDEV.P(FILTER($G$2:G949, $C$2:C949 = C949)), STDEV.P(FILTER($G$2:G949, $C$2:C949 = C949, $A$2:A949 &gt;= A949 - 30)))
"),"#DIV/0!")</f>
        <v>#DIV/0!</v>
      </c>
    </row>
    <row r="950" spans="1:14" x14ac:dyDescent="0.2">
      <c r="A950" s="41"/>
      <c r="B950" s="40"/>
      <c r="C950" s="40"/>
      <c r="D950" s="31"/>
      <c r="E950" s="31"/>
      <c r="F950" s="31"/>
      <c r="G950" s="19" t="e">
        <f t="shared" si="15"/>
        <v>#DIV/0!</v>
      </c>
      <c r="H950" s="20" t="str">
        <f ca="1">IFERROR(__xludf.DUMMYFUNCTION("IF(COUNTIFS($C$2:C950, C950, $A$2:A950, ""&lt;="" &amp; A950) &lt; 30, AVERAGEIF($C$2:C950, C950, $G$2:G950), AVERAGE(FILTER($G$2:G950, $C$2:C950 = C950, $A$2:A950 &gt;= A950 - 30)))
"),"#DIV/0!")</f>
        <v>#DIV/0!</v>
      </c>
      <c r="I950" s="20" t="e">
        <f t="shared" ca="1" si="16"/>
        <v>#DIV/0!</v>
      </c>
      <c r="J950" s="20" t="str">
        <f ca="1">IFERROR(__xludf.DUMMYFUNCTION("IF(OR($I950=2, $I950=3), 0, IFERROR(COUNTIFS($C$2:C950, $C950, $A$2:A950, ""&gt;""&amp;IFERROR(MAX(FILTER($A$2:A950, $C$2:C950=$C950, $I$2:I950&lt;&gt;1)), 0), $I$2:I950, 1),1))
"),"#DIV/0!")</f>
        <v>#DIV/0!</v>
      </c>
      <c r="K950" s="7" t="e">
        <f t="shared" ca="1" si="17"/>
        <v>#DIV/0!</v>
      </c>
      <c r="L950" s="20" t="e">
        <f t="shared" ca="1" si="18"/>
        <v>#DIV/0!</v>
      </c>
      <c r="M950" s="21" t="e">
        <f t="shared" ca="1" si="19"/>
        <v>#DIV/0!</v>
      </c>
      <c r="N950" s="20" t="str">
        <f ca="1">IFERROR(__xludf.DUMMYFUNCTION("IF(COUNTIFS($C$2:C950, C950, $A$2:A950, ""&lt;="" &amp; A950) &lt; 30, STDEV.P(FILTER($G$2:G950, $C$2:C950 = C950)), STDEV.P(FILTER($G$2:G950, $C$2:C950 = C950, $A$2:A950 &gt;= A950 - 30)))
"),"#DIV/0!")</f>
        <v>#DIV/0!</v>
      </c>
    </row>
    <row r="951" spans="1:14" x14ac:dyDescent="0.2">
      <c r="A951" s="41"/>
      <c r="B951" s="40"/>
      <c r="C951" s="40"/>
      <c r="D951" s="31"/>
      <c r="E951" s="31"/>
      <c r="F951" s="31"/>
      <c r="G951" s="19" t="e">
        <f t="shared" si="15"/>
        <v>#DIV/0!</v>
      </c>
      <c r="H951" s="20" t="str">
        <f ca="1">IFERROR(__xludf.DUMMYFUNCTION("IF(COUNTIFS($C$2:C951, C951, $A$2:A951, ""&lt;="" &amp; A951) &lt; 30, AVERAGEIF($C$2:C951, C951, $G$2:G951), AVERAGE(FILTER($G$2:G951, $C$2:C951 = C951, $A$2:A951 &gt;= A951 - 30)))
"),"#DIV/0!")</f>
        <v>#DIV/0!</v>
      </c>
      <c r="I951" s="20" t="e">
        <f t="shared" ca="1" si="16"/>
        <v>#DIV/0!</v>
      </c>
      <c r="J951" s="20" t="str">
        <f ca="1">IFERROR(__xludf.DUMMYFUNCTION("IF(OR($I951=2, $I951=3), 0, IFERROR(COUNTIFS($C$2:C951, $C951, $A$2:A951, ""&gt;""&amp;IFERROR(MAX(FILTER($A$2:A951, $C$2:C951=$C951, $I$2:I951&lt;&gt;1)), 0), $I$2:I951, 1),1))
"),"#DIV/0!")</f>
        <v>#DIV/0!</v>
      </c>
      <c r="K951" s="7" t="e">
        <f t="shared" ca="1" si="17"/>
        <v>#DIV/0!</v>
      </c>
      <c r="L951" s="20" t="e">
        <f t="shared" ca="1" si="18"/>
        <v>#DIV/0!</v>
      </c>
      <c r="M951" s="21" t="e">
        <f t="shared" ca="1" si="19"/>
        <v>#DIV/0!</v>
      </c>
      <c r="N951" s="20" t="str">
        <f ca="1">IFERROR(__xludf.DUMMYFUNCTION("IF(COUNTIFS($C$2:C951, C951, $A$2:A951, ""&lt;="" &amp; A951) &lt; 30, STDEV.P(FILTER($G$2:G951, $C$2:C951 = C951)), STDEV.P(FILTER($G$2:G951, $C$2:C951 = C951, $A$2:A951 &gt;= A951 - 30)))
"),"#DIV/0!")</f>
        <v>#DIV/0!</v>
      </c>
    </row>
    <row r="952" spans="1:14" x14ac:dyDescent="0.2">
      <c r="A952" s="41"/>
      <c r="B952" s="40"/>
      <c r="C952" s="40"/>
      <c r="D952" s="31"/>
      <c r="E952" s="31"/>
      <c r="F952" s="31"/>
      <c r="G952" s="19" t="e">
        <f t="shared" si="15"/>
        <v>#DIV/0!</v>
      </c>
      <c r="H952" s="20" t="str">
        <f ca="1">IFERROR(__xludf.DUMMYFUNCTION("IF(COUNTIFS($C$2:C952, C952, $A$2:A952, ""&lt;="" &amp; A952) &lt; 30, AVERAGEIF($C$2:C952, C952, $G$2:G952), AVERAGE(FILTER($G$2:G952, $C$2:C952 = C952, $A$2:A952 &gt;= A952 - 30)))
"),"#DIV/0!")</f>
        <v>#DIV/0!</v>
      </c>
      <c r="I952" s="20" t="e">
        <f t="shared" ca="1" si="16"/>
        <v>#DIV/0!</v>
      </c>
      <c r="J952" s="20" t="str">
        <f ca="1">IFERROR(__xludf.DUMMYFUNCTION("IF(OR($I952=2, $I952=3), 0, IFERROR(COUNTIFS($C$2:C952, $C952, $A$2:A952, ""&gt;""&amp;IFERROR(MAX(FILTER($A$2:A952, $C$2:C952=$C952, $I$2:I952&lt;&gt;1)), 0), $I$2:I952, 1),1))
"),"#DIV/0!")</f>
        <v>#DIV/0!</v>
      </c>
      <c r="K952" s="7" t="e">
        <f t="shared" ca="1" si="17"/>
        <v>#DIV/0!</v>
      </c>
      <c r="L952" s="20" t="e">
        <f t="shared" ca="1" si="18"/>
        <v>#DIV/0!</v>
      </c>
      <c r="M952" s="21" t="e">
        <f t="shared" ca="1" si="19"/>
        <v>#DIV/0!</v>
      </c>
      <c r="N952" s="20" t="str">
        <f ca="1">IFERROR(__xludf.DUMMYFUNCTION("IF(COUNTIFS($C$2:C952, C952, $A$2:A952, ""&lt;="" &amp; A952) &lt; 30, STDEV.P(FILTER($G$2:G952, $C$2:C952 = C952)), STDEV.P(FILTER($G$2:G952, $C$2:C952 = C952, $A$2:A952 &gt;= A952 - 30)))
"),"#DIV/0!")</f>
        <v>#DIV/0!</v>
      </c>
    </row>
    <row r="953" spans="1:14" x14ac:dyDescent="0.2">
      <c r="A953" s="41"/>
      <c r="B953" s="40"/>
      <c r="C953" s="40"/>
      <c r="D953" s="31"/>
      <c r="E953" s="31"/>
      <c r="F953" s="31"/>
      <c r="G953" s="19" t="e">
        <f t="shared" si="15"/>
        <v>#DIV/0!</v>
      </c>
      <c r="H953" s="20" t="str">
        <f ca="1">IFERROR(__xludf.DUMMYFUNCTION("IF(COUNTIFS($C$2:C953, C953, $A$2:A953, ""&lt;="" &amp; A953) &lt; 30, AVERAGEIF($C$2:C953, C953, $G$2:G953), AVERAGE(FILTER($G$2:G953, $C$2:C953 = C953, $A$2:A953 &gt;= A953 - 30)))
"),"#DIV/0!")</f>
        <v>#DIV/0!</v>
      </c>
      <c r="I953" s="20" t="e">
        <f t="shared" ca="1" si="16"/>
        <v>#DIV/0!</v>
      </c>
      <c r="J953" s="20" t="str">
        <f ca="1">IFERROR(__xludf.DUMMYFUNCTION("IF(OR($I953=2, $I953=3), 0, IFERROR(COUNTIFS($C$2:C953, $C953, $A$2:A953, ""&gt;""&amp;IFERROR(MAX(FILTER($A$2:A953, $C$2:C953=$C953, $I$2:I953&lt;&gt;1)), 0), $I$2:I953, 1),1))
"),"#DIV/0!")</f>
        <v>#DIV/0!</v>
      </c>
      <c r="K953" s="7" t="e">
        <f t="shared" ca="1" si="17"/>
        <v>#DIV/0!</v>
      </c>
      <c r="L953" s="20" t="e">
        <f t="shared" ca="1" si="18"/>
        <v>#DIV/0!</v>
      </c>
      <c r="M953" s="21" t="e">
        <f t="shared" ca="1" si="19"/>
        <v>#DIV/0!</v>
      </c>
      <c r="N953" s="20" t="str">
        <f ca="1">IFERROR(__xludf.DUMMYFUNCTION("IF(COUNTIFS($C$2:C953, C953, $A$2:A953, ""&lt;="" &amp; A953) &lt; 30, STDEV.P(FILTER($G$2:G953, $C$2:C953 = C953)), STDEV.P(FILTER($G$2:G953, $C$2:C953 = C953, $A$2:A953 &gt;= A953 - 30)))
"),"#DIV/0!")</f>
        <v>#DIV/0!</v>
      </c>
    </row>
    <row r="954" spans="1:14" x14ac:dyDescent="0.2">
      <c r="A954" s="41"/>
      <c r="B954" s="32"/>
      <c r="C954" s="32"/>
      <c r="D954" s="33"/>
      <c r="E954" s="33"/>
      <c r="F954" s="33"/>
      <c r="G954" s="19" t="e">
        <f t="shared" si="15"/>
        <v>#DIV/0!</v>
      </c>
      <c r="H954" s="20" t="str">
        <f ca="1">IFERROR(__xludf.DUMMYFUNCTION("IF(COUNTIFS($C$2:C954, C954, $A$2:A954, ""&lt;="" &amp; A954) &lt; 30, AVERAGEIF($C$2:C954, C954, $G$2:G954), AVERAGE(FILTER($G$2:G954, $C$2:C954 = C954, $A$2:A954 &gt;= A954 - 30)))
"),"#DIV/0!")</f>
        <v>#DIV/0!</v>
      </c>
      <c r="I954" s="20" t="e">
        <f t="shared" ca="1" si="16"/>
        <v>#DIV/0!</v>
      </c>
      <c r="J954" s="20" t="str">
        <f ca="1">IFERROR(__xludf.DUMMYFUNCTION("IF(OR($I954=2, $I954=3), 0, IFERROR(COUNTIFS($C$2:C954, $C954, $A$2:A954, ""&gt;""&amp;IFERROR(MAX(FILTER($A$2:A954, $C$2:C954=$C954, $I$2:I954&lt;&gt;1)), 0), $I$2:I954, 1),1))
"),"#DIV/0!")</f>
        <v>#DIV/0!</v>
      </c>
      <c r="K954" s="7" t="e">
        <f t="shared" ca="1" si="17"/>
        <v>#DIV/0!</v>
      </c>
      <c r="L954" s="20" t="e">
        <f t="shared" ca="1" si="18"/>
        <v>#DIV/0!</v>
      </c>
      <c r="M954" s="21" t="e">
        <f t="shared" ca="1" si="19"/>
        <v>#DIV/0!</v>
      </c>
      <c r="N954" s="20" t="str">
        <f ca="1">IFERROR(__xludf.DUMMYFUNCTION("IF(COUNTIFS($C$2:C954, C954, $A$2:A954, ""&lt;="" &amp; A954) &lt; 30, STDEV.P(FILTER($G$2:G954, $C$2:C954 = C954)), STDEV.P(FILTER($G$2:G954, $C$2:C954 = C954, $A$2:A954 &gt;= A954 - 30)))
"),"#DIV/0!")</f>
        <v>#DIV/0!</v>
      </c>
    </row>
    <row r="955" spans="1:14" x14ac:dyDescent="0.2">
      <c r="A955" s="41"/>
      <c r="B955" s="32"/>
      <c r="C955" s="32"/>
      <c r="D955" s="33"/>
      <c r="E955" s="33"/>
      <c r="F955" s="33"/>
      <c r="G955" s="19" t="e">
        <f t="shared" si="15"/>
        <v>#DIV/0!</v>
      </c>
      <c r="H955" s="20" t="str">
        <f ca="1">IFERROR(__xludf.DUMMYFUNCTION("IF(COUNTIFS($C$2:C955, C955, $A$2:A955, ""&lt;="" &amp; A955) &lt; 30, AVERAGEIF($C$2:C955, C955, $G$2:G955), AVERAGE(FILTER($G$2:G955, $C$2:C955 = C955, $A$2:A955 &gt;= A955 - 30)))
"),"#DIV/0!")</f>
        <v>#DIV/0!</v>
      </c>
      <c r="I955" s="20" t="e">
        <f t="shared" ca="1" si="16"/>
        <v>#DIV/0!</v>
      </c>
      <c r="J955" s="20" t="str">
        <f ca="1">IFERROR(__xludf.DUMMYFUNCTION("IF(OR($I955=2, $I955=3), 0, IFERROR(COUNTIFS($C$2:C955, $C955, $A$2:A955, ""&gt;""&amp;IFERROR(MAX(FILTER($A$2:A955, $C$2:C955=$C955, $I$2:I955&lt;&gt;1)), 0), $I$2:I955, 1),1))
"),"#DIV/0!")</f>
        <v>#DIV/0!</v>
      </c>
      <c r="K955" s="7" t="e">
        <f t="shared" ca="1" si="17"/>
        <v>#DIV/0!</v>
      </c>
      <c r="L955" s="20" t="e">
        <f t="shared" ca="1" si="18"/>
        <v>#DIV/0!</v>
      </c>
      <c r="M955" s="21" t="e">
        <f t="shared" ca="1" si="19"/>
        <v>#DIV/0!</v>
      </c>
      <c r="N955" s="20" t="str">
        <f ca="1">IFERROR(__xludf.DUMMYFUNCTION("IF(COUNTIFS($C$2:C955, C955, $A$2:A955, ""&lt;="" &amp; A955) &lt; 30, STDEV.P(FILTER($G$2:G955, $C$2:C955 = C955)), STDEV.P(FILTER($G$2:G955, $C$2:C955 = C955, $A$2:A955 &gt;= A955 - 30)))
"),"#DIV/0!")</f>
        <v>#DIV/0!</v>
      </c>
    </row>
    <row r="956" spans="1:14" x14ac:dyDescent="0.2">
      <c r="A956" s="41"/>
      <c r="B956" s="32"/>
      <c r="C956" s="32"/>
      <c r="D956" s="33"/>
      <c r="E956" s="33"/>
      <c r="F956" s="33"/>
      <c r="G956" s="19" t="e">
        <f t="shared" si="15"/>
        <v>#DIV/0!</v>
      </c>
      <c r="H956" s="20" t="str">
        <f ca="1">IFERROR(__xludf.DUMMYFUNCTION("IF(COUNTIFS($C$2:C956, C956, $A$2:A956, ""&lt;="" &amp; A956) &lt; 30, AVERAGEIF($C$2:C956, C956, $G$2:G956), AVERAGE(FILTER($G$2:G956, $C$2:C956 = C956, $A$2:A956 &gt;= A956 - 30)))
"),"#DIV/0!")</f>
        <v>#DIV/0!</v>
      </c>
      <c r="I956" s="20" t="e">
        <f t="shared" ca="1" si="16"/>
        <v>#DIV/0!</v>
      </c>
      <c r="J956" s="20" t="str">
        <f ca="1">IFERROR(__xludf.DUMMYFUNCTION("IF(OR($I956=2, $I956=3), 0, IFERROR(COUNTIFS($C$2:C956, $C956, $A$2:A956, ""&gt;""&amp;IFERROR(MAX(FILTER($A$2:A956, $C$2:C956=$C956, $I$2:I956&lt;&gt;1)), 0), $I$2:I956, 1),1))
"),"#DIV/0!")</f>
        <v>#DIV/0!</v>
      </c>
      <c r="K956" s="7" t="e">
        <f t="shared" ca="1" si="17"/>
        <v>#DIV/0!</v>
      </c>
      <c r="L956" s="20" t="e">
        <f t="shared" ca="1" si="18"/>
        <v>#DIV/0!</v>
      </c>
      <c r="M956" s="21" t="e">
        <f t="shared" ca="1" si="19"/>
        <v>#DIV/0!</v>
      </c>
      <c r="N956" s="20" t="str">
        <f ca="1">IFERROR(__xludf.DUMMYFUNCTION("IF(COUNTIFS($C$2:C956, C956, $A$2:A956, ""&lt;="" &amp; A956) &lt; 30, STDEV.P(FILTER($G$2:G956, $C$2:C956 = C956)), STDEV.P(FILTER($G$2:G956, $C$2:C956 = C956, $A$2:A956 &gt;= A956 - 30)))
"),"#DIV/0!")</f>
        <v>#DIV/0!</v>
      </c>
    </row>
    <row r="957" spans="1:14" x14ac:dyDescent="0.2">
      <c r="A957" s="41"/>
      <c r="B957" s="32"/>
      <c r="C957" s="32"/>
      <c r="D957" s="33"/>
      <c r="E957" s="33"/>
      <c r="F957" s="33"/>
      <c r="G957" s="19" t="e">
        <f t="shared" si="15"/>
        <v>#DIV/0!</v>
      </c>
      <c r="H957" s="20" t="str">
        <f ca="1">IFERROR(__xludf.DUMMYFUNCTION("IF(COUNTIFS($C$2:C957, C957, $A$2:A957, ""&lt;="" &amp; A957) &lt; 30, AVERAGEIF($C$2:C957, C957, $G$2:G957), AVERAGE(FILTER($G$2:G957, $C$2:C957 = C957, $A$2:A957 &gt;= A957 - 30)))
"),"#DIV/0!")</f>
        <v>#DIV/0!</v>
      </c>
      <c r="I957" s="20" t="e">
        <f t="shared" ca="1" si="16"/>
        <v>#DIV/0!</v>
      </c>
      <c r="J957" s="20" t="str">
        <f ca="1">IFERROR(__xludf.DUMMYFUNCTION("IF(OR($I957=2, $I957=3), 0, IFERROR(COUNTIFS($C$2:C957, $C957, $A$2:A957, ""&gt;""&amp;IFERROR(MAX(FILTER($A$2:A957, $C$2:C957=$C957, $I$2:I957&lt;&gt;1)), 0), $I$2:I957, 1),1))
"),"#DIV/0!")</f>
        <v>#DIV/0!</v>
      </c>
      <c r="K957" s="7" t="e">
        <f t="shared" ca="1" si="17"/>
        <v>#DIV/0!</v>
      </c>
      <c r="L957" s="20" t="e">
        <f t="shared" ca="1" si="18"/>
        <v>#DIV/0!</v>
      </c>
      <c r="M957" s="21" t="e">
        <f t="shared" ca="1" si="19"/>
        <v>#DIV/0!</v>
      </c>
      <c r="N957" s="20" t="str">
        <f ca="1">IFERROR(__xludf.DUMMYFUNCTION("IF(COUNTIFS($C$2:C957, C957, $A$2:A957, ""&lt;="" &amp; A957) &lt; 30, STDEV.P(FILTER($G$2:G957, $C$2:C957 = C957)), STDEV.P(FILTER($G$2:G957, $C$2:C957 = C957, $A$2:A957 &gt;= A957 - 30)))
"),"#DIV/0!")</f>
        <v>#DIV/0!</v>
      </c>
    </row>
    <row r="958" spans="1:14" x14ac:dyDescent="0.2">
      <c r="A958" s="41"/>
      <c r="B958" s="32"/>
      <c r="C958" s="32"/>
      <c r="D958" s="33"/>
      <c r="E958" s="33"/>
      <c r="F958" s="33"/>
      <c r="G958" s="19" t="e">
        <f t="shared" si="15"/>
        <v>#DIV/0!</v>
      </c>
      <c r="H958" s="20" t="str">
        <f ca="1">IFERROR(__xludf.DUMMYFUNCTION("IF(COUNTIFS($C$2:C958, C958, $A$2:A958, ""&lt;="" &amp; A958) &lt; 30, AVERAGEIF($C$2:C958, C958, $G$2:G958), AVERAGE(FILTER($G$2:G958, $C$2:C958 = C958, $A$2:A958 &gt;= A958 - 30)))
"),"#DIV/0!")</f>
        <v>#DIV/0!</v>
      </c>
      <c r="I958" s="20" t="e">
        <f t="shared" ca="1" si="16"/>
        <v>#DIV/0!</v>
      </c>
      <c r="J958" s="20" t="str">
        <f ca="1">IFERROR(__xludf.DUMMYFUNCTION("IF(OR($I958=2, $I958=3), 0, IFERROR(COUNTIFS($C$2:C958, $C958, $A$2:A958, ""&gt;""&amp;IFERROR(MAX(FILTER($A$2:A958, $C$2:C958=$C958, $I$2:I958&lt;&gt;1)), 0), $I$2:I958, 1),1))
"),"#DIV/0!")</f>
        <v>#DIV/0!</v>
      </c>
      <c r="K958" s="7" t="e">
        <f t="shared" ca="1" si="17"/>
        <v>#DIV/0!</v>
      </c>
      <c r="L958" s="20" t="e">
        <f t="shared" ca="1" si="18"/>
        <v>#DIV/0!</v>
      </c>
      <c r="M958" s="21" t="e">
        <f t="shared" ca="1" si="19"/>
        <v>#DIV/0!</v>
      </c>
      <c r="N958" s="20" t="str">
        <f ca="1">IFERROR(__xludf.DUMMYFUNCTION("IF(COUNTIFS($C$2:C958, C958, $A$2:A958, ""&lt;="" &amp; A958) &lt; 30, STDEV.P(FILTER($G$2:G958, $C$2:C958 = C958)), STDEV.P(FILTER($G$2:G958, $C$2:C958 = C958, $A$2:A958 &gt;= A958 - 30)))
"),"#DIV/0!")</f>
        <v>#DIV/0!</v>
      </c>
    </row>
    <row r="959" spans="1:14" x14ac:dyDescent="0.2">
      <c r="A959" s="41"/>
      <c r="B959" s="32"/>
      <c r="C959" s="32"/>
      <c r="D959" s="33"/>
      <c r="E959" s="33"/>
      <c r="F959" s="33"/>
      <c r="G959" s="19" t="e">
        <f t="shared" si="15"/>
        <v>#DIV/0!</v>
      </c>
      <c r="H959" s="20" t="str">
        <f ca="1">IFERROR(__xludf.DUMMYFUNCTION("IF(COUNTIFS($C$2:C959, C959, $A$2:A959, ""&lt;="" &amp; A959) &lt; 30, AVERAGEIF($C$2:C959, C959, $G$2:G959), AVERAGE(FILTER($G$2:G959, $C$2:C959 = C959, $A$2:A959 &gt;= A959 - 30)))
"),"#DIV/0!")</f>
        <v>#DIV/0!</v>
      </c>
      <c r="I959" s="20" t="e">
        <f t="shared" ca="1" si="16"/>
        <v>#DIV/0!</v>
      </c>
      <c r="J959" s="20" t="str">
        <f ca="1">IFERROR(__xludf.DUMMYFUNCTION("IF(OR($I959=2, $I959=3), 0, IFERROR(COUNTIFS($C$2:C959, $C959, $A$2:A959, ""&gt;""&amp;IFERROR(MAX(FILTER($A$2:A959, $C$2:C959=$C959, $I$2:I959&lt;&gt;1)), 0), $I$2:I959, 1),1))
"),"#DIV/0!")</f>
        <v>#DIV/0!</v>
      </c>
      <c r="K959" s="7" t="e">
        <f t="shared" ca="1" si="17"/>
        <v>#DIV/0!</v>
      </c>
      <c r="L959" s="20" t="e">
        <f t="shared" ca="1" si="18"/>
        <v>#DIV/0!</v>
      </c>
      <c r="M959" s="21" t="e">
        <f t="shared" ca="1" si="19"/>
        <v>#DIV/0!</v>
      </c>
      <c r="N959" s="20" t="str">
        <f ca="1">IFERROR(__xludf.DUMMYFUNCTION("IF(COUNTIFS($C$2:C959, C959, $A$2:A959, ""&lt;="" &amp; A959) &lt; 30, STDEV.P(FILTER($G$2:G959, $C$2:C959 = C959)), STDEV.P(FILTER($G$2:G959, $C$2:C959 = C959, $A$2:A959 &gt;= A959 - 30)))
"),"#DIV/0!")</f>
        <v>#DIV/0!</v>
      </c>
    </row>
    <row r="960" spans="1:14" x14ac:dyDescent="0.2">
      <c r="A960" s="41"/>
      <c r="B960" s="32"/>
      <c r="C960" s="32"/>
      <c r="D960" s="33"/>
      <c r="E960" s="33"/>
      <c r="F960" s="33"/>
      <c r="G960" s="19" t="e">
        <f t="shared" si="15"/>
        <v>#DIV/0!</v>
      </c>
      <c r="H960" s="20" t="str">
        <f ca="1">IFERROR(__xludf.DUMMYFUNCTION("IF(COUNTIFS($C$2:C960, C960, $A$2:A960, ""&lt;="" &amp; A960) &lt; 30, AVERAGEIF($C$2:C960, C960, $G$2:G960), AVERAGE(FILTER($G$2:G960, $C$2:C960 = C960, $A$2:A960 &gt;= A960 - 30)))
"),"#DIV/0!")</f>
        <v>#DIV/0!</v>
      </c>
      <c r="I960" s="20" t="e">
        <f t="shared" ca="1" si="16"/>
        <v>#DIV/0!</v>
      </c>
      <c r="J960" s="20" t="str">
        <f ca="1">IFERROR(__xludf.DUMMYFUNCTION("IF(OR($I960=2, $I960=3), 0, IFERROR(COUNTIFS($C$2:C960, $C960, $A$2:A960, ""&gt;""&amp;IFERROR(MAX(FILTER($A$2:A960, $C$2:C960=$C960, $I$2:I960&lt;&gt;1)), 0), $I$2:I960, 1),1))
"),"#DIV/0!")</f>
        <v>#DIV/0!</v>
      </c>
      <c r="K960" s="7" t="e">
        <f t="shared" ca="1" si="17"/>
        <v>#DIV/0!</v>
      </c>
      <c r="L960" s="20" t="e">
        <f t="shared" ca="1" si="18"/>
        <v>#DIV/0!</v>
      </c>
      <c r="M960" s="21" t="e">
        <f t="shared" ca="1" si="19"/>
        <v>#DIV/0!</v>
      </c>
      <c r="N960" s="20" t="str">
        <f ca="1">IFERROR(__xludf.DUMMYFUNCTION("IF(COUNTIFS($C$2:C960, C960, $A$2:A960, ""&lt;="" &amp; A960) &lt; 30, STDEV.P(FILTER($G$2:G960, $C$2:C960 = C960)), STDEV.P(FILTER($G$2:G960, $C$2:C960 = C960, $A$2:A960 &gt;= A960 - 30)))
"),"#DIV/0!")</f>
        <v>#DIV/0!</v>
      </c>
    </row>
    <row r="961" spans="1:14" x14ac:dyDescent="0.2">
      <c r="A961" s="41"/>
      <c r="B961" s="32"/>
      <c r="C961" s="32"/>
      <c r="D961" s="33"/>
      <c r="E961" s="33"/>
      <c r="F961" s="33"/>
      <c r="G961" s="19" t="e">
        <f t="shared" si="15"/>
        <v>#DIV/0!</v>
      </c>
      <c r="H961" s="20" t="str">
        <f ca="1">IFERROR(__xludf.DUMMYFUNCTION("IF(COUNTIFS($C$2:C961, C961, $A$2:A961, ""&lt;="" &amp; A961) &lt; 30, AVERAGEIF($C$2:C961, C961, $G$2:G961), AVERAGE(FILTER($G$2:G961, $C$2:C961 = C961, $A$2:A961 &gt;= A961 - 30)))
"),"#DIV/0!")</f>
        <v>#DIV/0!</v>
      </c>
      <c r="I961" s="20" t="e">
        <f t="shared" ca="1" si="16"/>
        <v>#DIV/0!</v>
      </c>
      <c r="J961" s="20" t="str">
        <f ca="1">IFERROR(__xludf.DUMMYFUNCTION("IF(OR($I961=2, $I961=3), 0, IFERROR(COUNTIFS($C$2:C961, $C961, $A$2:A961, ""&gt;""&amp;IFERROR(MAX(FILTER($A$2:A961, $C$2:C961=$C961, $I$2:I961&lt;&gt;1)), 0), $I$2:I961, 1),1))
"),"#DIV/0!")</f>
        <v>#DIV/0!</v>
      </c>
      <c r="K961" s="7" t="e">
        <f t="shared" ca="1" si="17"/>
        <v>#DIV/0!</v>
      </c>
      <c r="L961" s="20" t="e">
        <f t="shared" ca="1" si="18"/>
        <v>#DIV/0!</v>
      </c>
      <c r="M961" s="21" t="e">
        <f t="shared" ca="1" si="19"/>
        <v>#DIV/0!</v>
      </c>
      <c r="N961" s="20" t="str">
        <f ca="1">IFERROR(__xludf.DUMMYFUNCTION("IF(COUNTIFS($C$2:C961, C961, $A$2:A961, ""&lt;="" &amp; A961) &lt; 30, STDEV.P(FILTER($G$2:G961, $C$2:C961 = C961)), STDEV.P(FILTER($G$2:G961, $C$2:C961 = C961, $A$2:A961 &gt;= A961 - 30)))
"),"#DIV/0!")</f>
        <v>#DIV/0!</v>
      </c>
    </row>
    <row r="962" spans="1:14" x14ac:dyDescent="0.2">
      <c r="A962" s="41"/>
      <c r="B962" s="32"/>
      <c r="C962" s="32"/>
      <c r="D962" s="33"/>
      <c r="E962" s="33"/>
      <c r="F962" s="33"/>
      <c r="G962" s="19" t="e">
        <f t="shared" si="15"/>
        <v>#DIV/0!</v>
      </c>
      <c r="H962" s="20" t="str">
        <f ca="1">IFERROR(__xludf.DUMMYFUNCTION("IF(COUNTIFS($C$2:C962, C962, $A$2:A962, ""&lt;="" &amp; A962) &lt; 30, AVERAGEIF($C$2:C962, C962, $G$2:G962), AVERAGE(FILTER($G$2:G962, $C$2:C962 = C962, $A$2:A962 &gt;= A962 - 30)))
"),"#DIV/0!")</f>
        <v>#DIV/0!</v>
      </c>
      <c r="I962" s="20" t="e">
        <f t="shared" ca="1" si="16"/>
        <v>#DIV/0!</v>
      </c>
      <c r="J962" s="20" t="str">
        <f ca="1">IFERROR(__xludf.DUMMYFUNCTION("IF(OR($I962=2, $I962=3), 0, IFERROR(COUNTIFS($C$2:C962, $C962, $A$2:A962, ""&gt;""&amp;IFERROR(MAX(FILTER($A$2:A962, $C$2:C962=$C962, $I$2:I962&lt;&gt;1)), 0), $I$2:I962, 1),1))
"),"#DIV/0!")</f>
        <v>#DIV/0!</v>
      </c>
      <c r="K962" s="7" t="e">
        <f t="shared" ca="1" si="17"/>
        <v>#DIV/0!</v>
      </c>
      <c r="L962" s="20" t="e">
        <f t="shared" ca="1" si="18"/>
        <v>#DIV/0!</v>
      </c>
      <c r="M962" s="21" t="e">
        <f t="shared" ca="1" si="19"/>
        <v>#DIV/0!</v>
      </c>
      <c r="N962" s="20" t="str">
        <f ca="1">IFERROR(__xludf.DUMMYFUNCTION("IF(COUNTIFS($C$2:C962, C962, $A$2:A962, ""&lt;="" &amp; A962) &lt; 30, STDEV.P(FILTER($G$2:G962, $C$2:C962 = C962)), STDEV.P(FILTER($G$2:G962, $C$2:C962 = C962, $A$2:A962 &gt;= A962 - 30)))
"),"#DIV/0!")</f>
        <v>#DIV/0!</v>
      </c>
    </row>
    <row r="963" spans="1:14" x14ac:dyDescent="0.2">
      <c r="A963" s="41"/>
      <c r="B963" s="32"/>
      <c r="C963" s="32"/>
      <c r="D963" s="33"/>
      <c r="E963" s="33"/>
      <c r="F963" s="33"/>
      <c r="G963" s="19" t="e">
        <f t="shared" si="15"/>
        <v>#DIV/0!</v>
      </c>
      <c r="H963" s="20" t="str">
        <f ca="1">IFERROR(__xludf.DUMMYFUNCTION("IF(COUNTIFS($C$2:C963, C963, $A$2:A963, ""&lt;="" &amp; A963) &lt; 30, AVERAGEIF($C$2:C963, C963, $G$2:G963), AVERAGE(FILTER($G$2:G963, $C$2:C963 = C963, $A$2:A963 &gt;= A963 - 30)))
"),"#DIV/0!")</f>
        <v>#DIV/0!</v>
      </c>
      <c r="I963" s="20" t="e">
        <f t="shared" ca="1" si="16"/>
        <v>#DIV/0!</v>
      </c>
      <c r="J963" s="20" t="str">
        <f ca="1">IFERROR(__xludf.DUMMYFUNCTION("IF(OR($I963=2, $I963=3), 0, IFERROR(COUNTIFS($C$2:C963, $C963, $A$2:A963, ""&gt;""&amp;IFERROR(MAX(FILTER($A$2:A963, $C$2:C963=$C963, $I$2:I963&lt;&gt;1)), 0), $I$2:I963, 1),1))
"),"#DIV/0!")</f>
        <v>#DIV/0!</v>
      </c>
      <c r="K963" s="7" t="e">
        <f t="shared" ca="1" si="17"/>
        <v>#DIV/0!</v>
      </c>
      <c r="L963" s="20" t="e">
        <f t="shared" ca="1" si="18"/>
        <v>#DIV/0!</v>
      </c>
      <c r="M963" s="21" t="e">
        <f t="shared" ca="1" si="19"/>
        <v>#DIV/0!</v>
      </c>
      <c r="N963" s="20" t="str">
        <f ca="1">IFERROR(__xludf.DUMMYFUNCTION("IF(COUNTIFS($C$2:C963, C963, $A$2:A963, ""&lt;="" &amp; A963) &lt; 30, STDEV.P(FILTER($G$2:G963, $C$2:C963 = C963)), STDEV.P(FILTER($G$2:G963, $C$2:C963 = C963, $A$2:A963 &gt;= A963 - 30)))
"),"#DIV/0!")</f>
        <v>#DIV/0!</v>
      </c>
    </row>
    <row r="964" spans="1:14" x14ac:dyDescent="0.2">
      <c r="A964" s="41"/>
      <c r="B964" s="32"/>
      <c r="C964" s="32"/>
      <c r="D964" s="33"/>
      <c r="E964" s="33"/>
      <c r="F964" s="33"/>
      <c r="G964" s="19" t="e">
        <f t="shared" si="15"/>
        <v>#DIV/0!</v>
      </c>
      <c r="H964" s="20" t="str">
        <f ca="1">IFERROR(__xludf.DUMMYFUNCTION("IF(COUNTIFS($C$2:C964, C964, $A$2:A964, ""&lt;="" &amp; A964) &lt; 30, AVERAGEIF($C$2:C964, C964, $G$2:G964), AVERAGE(FILTER($G$2:G964, $C$2:C964 = C964, $A$2:A964 &gt;= A964 - 30)))
"),"#DIV/0!")</f>
        <v>#DIV/0!</v>
      </c>
      <c r="I964" s="20" t="e">
        <f t="shared" ca="1" si="16"/>
        <v>#DIV/0!</v>
      </c>
      <c r="J964" s="20" t="str">
        <f ca="1">IFERROR(__xludf.DUMMYFUNCTION("IF(OR($I964=2, $I964=3), 0, IFERROR(COUNTIFS($C$2:C964, $C964, $A$2:A964, ""&gt;""&amp;IFERROR(MAX(FILTER($A$2:A964, $C$2:C964=$C964, $I$2:I964&lt;&gt;1)), 0), $I$2:I964, 1),1))
"),"#DIV/0!")</f>
        <v>#DIV/0!</v>
      </c>
      <c r="K964" s="7" t="e">
        <f t="shared" ca="1" si="17"/>
        <v>#DIV/0!</v>
      </c>
      <c r="L964" s="20" t="e">
        <f t="shared" ca="1" si="18"/>
        <v>#DIV/0!</v>
      </c>
      <c r="M964" s="21" t="e">
        <f t="shared" ca="1" si="19"/>
        <v>#DIV/0!</v>
      </c>
      <c r="N964" s="20" t="str">
        <f ca="1">IFERROR(__xludf.DUMMYFUNCTION("IF(COUNTIFS($C$2:C964, C964, $A$2:A964, ""&lt;="" &amp; A964) &lt; 30, STDEV.P(FILTER($G$2:G964, $C$2:C964 = C964)), STDEV.P(FILTER($G$2:G964, $C$2:C964 = C964, $A$2:A964 &gt;= A964 - 30)))
"),"#DIV/0!")</f>
        <v>#DIV/0!</v>
      </c>
    </row>
    <row r="965" spans="1:14" x14ac:dyDescent="0.2">
      <c r="A965" s="41"/>
      <c r="B965" s="40"/>
      <c r="C965" s="40"/>
      <c r="D965" s="31"/>
      <c r="E965" s="31"/>
      <c r="F965" s="31"/>
      <c r="G965" s="19" t="e">
        <f t="shared" si="15"/>
        <v>#DIV/0!</v>
      </c>
      <c r="H965" s="20" t="str">
        <f ca="1">IFERROR(__xludf.DUMMYFUNCTION("IF(COUNTIFS($C$2:C965, C965, $A$2:A965, ""&lt;="" &amp; A965) &lt; 30, AVERAGEIF($C$2:C965, C965, $G$2:G965), AVERAGE(FILTER($G$2:G965, $C$2:C965 = C965, $A$2:A965 &gt;= A965 - 30)))
"),"#DIV/0!")</f>
        <v>#DIV/0!</v>
      </c>
      <c r="I965" s="20" t="e">
        <f t="shared" ca="1" si="16"/>
        <v>#DIV/0!</v>
      </c>
      <c r="J965" s="20" t="str">
        <f ca="1">IFERROR(__xludf.DUMMYFUNCTION("IF(OR($I965=2, $I965=3), 0, IFERROR(COUNTIFS($C$2:C965, $C965, $A$2:A965, ""&gt;""&amp;IFERROR(MAX(FILTER($A$2:A965, $C$2:C965=$C965, $I$2:I965&lt;&gt;1)), 0), $I$2:I965, 1),1))
"),"#DIV/0!")</f>
        <v>#DIV/0!</v>
      </c>
      <c r="K965" s="7" t="e">
        <f t="shared" ca="1" si="17"/>
        <v>#DIV/0!</v>
      </c>
      <c r="L965" s="20" t="e">
        <f t="shared" ca="1" si="18"/>
        <v>#DIV/0!</v>
      </c>
      <c r="M965" s="21" t="e">
        <f t="shared" ca="1" si="19"/>
        <v>#DIV/0!</v>
      </c>
      <c r="N965" s="20" t="str">
        <f ca="1">IFERROR(__xludf.DUMMYFUNCTION("IF(COUNTIFS($C$2:C965, C965, $A$2:A965, ""&lt;="" &amp; A965) &lt; 30, STDEV.P(FILTER($G$2:G965, $C$2:C965 = C965)), STDEV.P(FILTER($G$2:G965, $C$2:C965 = C965, $A$2:A965 &gt;= A965 - 30)))
"),"#DIV/0!")</f>
        <v>#DIV/0!</v>
      </c>
    </row>
    <row r="966" spans="1:14" x14ac:dyDescent="0.2">
      <c r="A966" s="41"/>
      <c r="B966" s="40"/>
      <c r="C966" s="40"/>
      <c r="D966" s="31"/>
      <c r="E966" s="31"/>
      <c r="F966" s="31"/>
      <c r="G966" s="19" t="e">
        <f t="shared" si="15"/>
        <v>#DIV/0!</v>
      </c>
      <c r="H966" s="20" t="str">
        <f ca="1">IFERROR(__xludf.DUMMYFUNCTION("IF(COUNTIFS($C$2:C966, C966, $A$2:A966, ""&lt;="" &amp; A966) &lt; 30, AVERAGEIF($C$2:C966, C966, $G$2:G966), AVERAGE(FILTER($G$2:G966, $C$2:C966 = C966, $A$2:A966 &gt;= A966 - 30)))
"),"#DIV/0!")</f>
        <v>#DIV/0!</v>
      </c>
      <c r="I966" s="20" t="e">
        <f t="shared" ca="1" si="16"/>
        <v>#DIV/0!</v>
      </c>
      <c r="J966" s="20" t="str">
        <f ca="1">IFERROR(__xludf.DUMMYFUNCTION("IF(OR($I966=2, $I966=3), 0, IFERROR(COUNTIFS($C$2:C966, $C966, $A$2:A966, ""&gt;""&amp;IFERROR(MAX(FILTER($A$2:A966, $C$2:C966=$C966, $I$2:I966&lt;&gt;1)), 0), $I$2:I966, 1),1))
"),"#DIV/0!")</f>
        <v>#DIV/0!</v>
      </c>
      <c r="K966" s="7" t="e">
        <f t="shared" ca="1" si="17"/>
        <v>#DIV/0!</v>
      </c>
      <c r="L966" s="20" t="e">
        <f t="shared" ca="1" si="18"/>
        <v>#DIV/0!</v>
      </c>
      <c r="M966" s="21" t="e">
        <f t="shared" ca="1" si="19"/>
        <v>#DIV/0!</v>
      </c>
      <c r="N966" s="20" t="str">
        <f ca="1">IFERROR(__xludf.DUMMYFUNCTION("IF(COUNTIFS($C$2:C966, C966, $A$2:A966, ""&lt;="" &amp; A966) &lt; 30, STDEV.P(FILTER($G$2:G966, $C$2:C966 = C966)), STDEV.P(FILTER($G$2:G966, $C$2:C966 = C966, $A$2:A966 &gt;= A966 - 30)))
"),"#DIV/0!")</f>
        <v>#DIV/0!</v>
      </c>
    </row>
    <row r="967" spans="1:14" x14ac:dyDescent="0.2">
      <c r="A967" s="41"/>
      <c r="B967" s="40"/>
      <c r="C967" s="40"/>
      <c r="D967" s="31"/>
      <c r="E967" s="31"/>
      <c r="F967" s="31"/>
      <c r="G967" s="19" t="e">
        <f t="shared" si="15"/>
        <v>#DIV/0!</v>
      </c>
      <c r="H967" s="20" t="str">
        <f ca="1">IFERROR(__xludf.DUMMYFUNCTION("IF(COUNTIFS($C$2:C967, C967, $A$2:A967, ""&lt;="" &amp; A967) &lt; 30, AVERAGEIF($C$2:C967, C967, $G$2:G967), AVERAGE(FILTER($G$2:G967, $C$2:C967 = C967, $A$2:A967 &gt;= A967 - 30)))
"),"#DIV/0!")</f>
        <v>#DIV/0!</v>
      </c>
      <c r="I967" s="20" t="e">
        <f t="shared" ca="1" si="16"/>
        <v>#DIV/0!</v>
      </c>
      <c r="J967" s="20" t="str">
        <f ca="1">IFERROR(__xludf.DUMMYFUNCTION("IF(OR($I967=2, $I967=3), 0, IFERROR(COUNTIFS($C$2:C967, $C967, $A$2:A967, ""&gt;""&amp;IFERROR(MAX(FILTER($A$2:A967, $C$2:C967=$C967, $I$2:I967&lt;&gt;1)), 0), $I$2:I967, 1),1))
"),"#DIV/0!")</f>
        <v>#DIV/0!</v>
      </c>
      <c r="K967" s="7" t="e">
        <f t="shared" ca="1" si="17"/>
        <v>#DIV/0!</v>
      </c>
      <c r="L967" s="20" t="e">
        <f t="shared" ca="1" si="18"/>
        <v>#DIV/0!</v>
      </c>
      <c r="M967" s="21" t="e">
        <f t="shared" ca="1" si="19"/>
        <v>#DIV/0!</v>
      </c>
      <c r="N967" s="20" t="str">
        <f ca="1">IFERROR(__xludf.DUMMYFUNCTION("IF(COUNTIFS($C$2:C967, C967, $A$2:A967, ""&lt;="" &amp; A967) &lt; 30, STDEV.P(FILTER($G$2:G967, $C$2:C967 = C967)), STDEV.P(FILTER($G$2:G967, $C$2:C967 = C967, $A$2:A967 &gt;= A967 - 30)))
"),"#DIV/0!")</f>
        <v>#DIV/0!</v>
      </c>
    </row>
    <row r="968" spans="1:14" x14ac:dyDescent="0.2">
      <c r="A968" s="41"/>
      <c r="B968" s="40"/>
      <c r="C968" s="40"/>
      <c r="D968" s="31"/>
      <c r="E968" s="31"/>
      <c r="F968" s="31"/>
      <c r="G968" s="19" t="e">
        <f t="shared" si="15"/>
        <v>#DIV/0!</v>
      </c>
      <c r="H968" s="20" t="str">
        <f ca="1">IFERROR(__xludf.DUMMYFUNCTION("IF(COUNTIFS($C$2:C968, C968, $A$2:A968, ""&lt;="" &amp; A968) &lt; 30, AVERAGEIF($C$2:C968, C968, $G$2:G968), AVERAGE(FILTER($G$2:G968, $C$2:C968 = C968, $A$2:A968 &gt;= A968 - 30)))
"),"#DIV/0!")</f>
        <v>#DIV/0!</v>
      </c>
      <c r="I968" s="20" t="e">
        <f t="shared" ca="1" si="16"/>
        <v>#DIV/0!</v>
      </c>
      <c r="J968" s="20" t="str">
        <f ca="1">IFERROR(__xludf.DUMMYFUNCTION("IF(OR($I968=2, $I968=3), 0, IFERROR(COUNTIFS($C$2:C968, $C968, $A$2:A968, ""&gt;""&amp;IFERROR(MAX(FILTER($A$2:A968, $C$2:C968=$C968, $I$2:I968&lt;&gt;1)), 0), $I$2:I968, 1),1))
"),"#DIV/0!")</f>
        <v>#DIV/0!</v>
      </c>
      <c r="K968" s="7" t="e">
        <f t="shared" ca="1" si="17"/>
        <v>#DIV/0!</v>
      </c>
      <c r="L968" s="20" t="e">
        <f t="shared" ca="1" si="18"/>
        <v>#DIV/0!</v>
      </c>
      <c r="M968" s="21" t="e">
        <f t="shared" ca="1" si="19"/>
        <v>#DIV/0!</v>
      </c>
      <c r="N968" s="20" t="str">
        <f ca="1">IFERROR(__xludf.DUMMYFUNCTION("IF(COUNTIFS($C$2:C968, C968, $A$2:A968, ""&lt;="" &amp; A968) &lt; 30, STDEV.P(FILTER($G$2:G968, $C$2:C968 = C968)), STDEV.P(FILTER($G$2:G968, $C$2:C968 = C968, $A$2:A968 &gt;= A968 - 30)))
"),"#DIV/0!")</f>
        <v>#DIV/0!</v>
      </c>
    </row>
    <row r="969" spans="1:14" x14ac:dyDescent="0.2">
      <c r="A969" s="41"/>
      <c r="B969" s="40"/>
      <c r="C969" s="40"/>
      <c r="D969" s="31"/>
      <c r="E969" s="31"/>
      <c r="F969" s="31"/>
      <c r="G969" s="19" t="e">
        <f t="shared" si="15"/>
        <v>#DIV/0!</v>
      </c>
      <c r="H969" s="20" t="str">
        <f ca="1">IFERROR(__xludf.DUMMYFUNCTION("IF(COUNTIFS($C$2:C969, C969, $A$2:A969, ""&lt;="" &amp; A969) &lt; 30, AVERAGEIF($C$2:C969, C969, $G$2:G969), AVERAGE(FILTER($G$2:G969, $C$2:C969 = C969, $A$2:A969 &gt;= A969 - 30)))
"),"#DIV/0!")</f>
        <v>#DIV/0!</v>
      </c>
      <c r="I969" s="20" t="e">
        <f t="shared" ca="1" si="16"/>
        <v>#DIV/0!</v>
      </c>
      <c r="J969" s="20" t="str">
        <f ca="1">IFERROR(__xludf.DUMMYFUNCTION("IF(OR($I969=2, $I969=3), 0, IFERROR(COUNTIFS($C$2:C969, $C969, $A$2:A969, ""&gt;""&amp;IFERROR(MAX(FILTER($A$2:A969, $C$2:C969=$C969, $I$2:I969&lt;&gt;1)), 0), $I$2:I969, 1),1))
"),"#DIV/0!")</f>
        <v>#DIV/0!</v>
      </c>
      <c r="K969" s="7" t="e">
        <f t="shared" ca="1" si="17"/>
        <v>#DIV/0!</v>
      </c>
      <c r="L969" s="20" t="e">
        <f t="shared" ca="1" si="18"/>
        <v>#DIV/0!</v>
      </c>
      <c r="M969" s="21" t="e">
        <f t="shared" ca="1" si="19"/>
        <v>#DIV/0!</v>
      </c>
      <c r="N969" s="20" t="str">
        <f ca="1">IFERROR(__xludf.DUMMYFUNCTION("IF(COUNTIFS($C$2:C969, C969, $A$2:A969, ""&lt;="" &amp; A969) &lt; 30, STDEV.P(FILTER($G$2:G969, $C$2:C969 = C969)), STDEV.P(FILTER($G$2:G969, $C$2:C969 = C969, $A$2:A969 &gt;= A969 - 30)))
"),"#DIV/0!")</f>
        <v>#DIV/0!</v>
      </c>
    </row>
    <row r="970" spans="1:14" x14ac:dyDescent="0.2">
      <c r="A970" s="41"/>
      <c r="B970" s="40"/>
      <c r="C970" s="40"/>
      <c r="D970" s="31"/>
      <c r="E970" s="31"/>
      <c r="F970" s="31"/>
      <c r="G970" s="19" t="e">
        <f t="shared" si="15"/>
        <v>#DIV/0!</v>
      </c>
      <c r="H970" s="20" t="str">
        <f ca="1">IFERROR(__xludf.DUMMYFUNCTION("IF(COUNTIFS($C$2:C970, C970, $A$2:A970, ""&lt;="" &amp; A970) &lt; 30, AVERAGEIF($C$2:C970, C970, $G$2:G970), AVERAGE(FILTER($G$2:G970, $C$2:C970 = C970, $A$2:A970 &gt;= A970 - 30)))
"),"#DIV/0!")</f>
        <v>#DIV/0!</v>
      </c>
      <c r="I970" s="20" t="e">
        <f t="shared" ca="1" si="16"/>
        <v>#DIV/0!</v>
      </c>
      <c r="J970" s="20" t="str">
        <f ca="1">IFERROR(__xludf.DUMMYFUNCTION("IF(OR($I970=2, $I970=3), 0, IFERROR(COUNTIFS($C$2:C970, $C970, $A$2:A970, ""&gt;""&amp;IFERROR(MAX(FILTER($A$2:A970, $C$2:C970=$C970, $I$2:I970&lt;&gt;1)), 0), $I$2:I970, 1),1))
"),"#DIV/0!")</f>
        <v>#DIV/0!</v>
      </c>
      <c r="K970" s="7" t="e">
        <f t="shared" ca="1" si="17"/>
        <v>#DIV/0!</v>
      </c>
      <c r="L970" s="20" t="e">
        <f t="shared" ca="1" si="18"/>
        <v>#DIV/0!</v>
      </c>
      <c r="M970" s="21" t="e">
        <f t="shared" ca="1" si="19"/>
        <v>#DIV/0!</v>
      </c>
      <c r="N970" s="20" t="str">
        <f ca="1">IFERROR(__xludf.DUMMYFUNCTION("IF(COUNTIFS($C$2:C970, C970, $A$2:A970, ""&lt;="" &amp; A970) &lt; 30, STDEV.P(FILTER($G$2:G970, $C$2:C970 = C970)), STDEV.P(FILTER($G$2:G970, $C$2:C970 = C970, $A$2:A970 &gt;= A970 - 30)))
"),"#DIV/0!")</f>
        <v>#DIV/0!</v>
      </c>
    </row>
    <row r="971" spans="1:14" x14ac:dyDescent="0.2">
      <c r="A971" s="41"/>
      <c r="B971" s="32"/>
      <c r="C971" s="32"/>
      <c r="D971" s="33"/>
      <c r="E971" s="33"/>
      <c r="F971" s="33"/>
      <c r="G971" s="19" t="e">
        <f t="shared" si="15"/>
        <v>#DIV/0!</v>
      </c>
      <c r="H971" s="20" t="str">
        <f ca="1">IFERROR(__xludf.DUMMYFUNCTION("IF(COUNTIFS($C$2:C971, C971, $A$2:A971, ""&lt;="" &amp; A971) &lt; 30, AVERAGEIF($C$2:C971, C971, $G$2:G971), AVERAGE(FILTER($G$2:G971, $C$2:C971 = C971, $A$2:A971 &gt;= A971 - 30)))
"),"#DIV/0!")</f>
        <v>#DIV/0!</v>
      </c>
      <c r="I971" s="20" t="e">
        <f t="shared" ca="1" si="16"/>
        <v>#DIV/0!</v>
      </c>
      <c r="J971" s="20" t="str">
        <f ca="1">IFERROR(__xludf.DUMMYFUNCTION("IF(OR($I971=2, $I971=3), 0, IFERROR(COUNTIFS($C$2:C971, $C971, $A$2:A971, ""&gt;""&amp;IFERROR(MAX(FILTER($A$2:A971, $C$2:C971=$C971, $I$2:I971&lt;&gt;1)), 0), $I$2:I971, 1),1))
"),"#DIV/0!")</f>
        <v>#DIV/0!</v>
      </c>
      <c r="K971" s="7" t="e">
        <f t="shared" ca="1" si="17"/>
        <v>#DIV/0!</v>
      </c>
      <c r="L971" s="20" t="e">
        <f t="shared" ca="1" si="18"/>
        <v>#DIV/0!</v>
      </c>
      <c r="M971" s="21" t="e">
        <f t="shared" ca="1" si="19"/>
        <v>#DIV/0!</v>
      </c>
      <c r="N971" s="20" t="str">
        <f ca="1">IFERROR(__xludf.DUMMYFUNCTION("IF(COUNTIFS($C$2:C971, C971, $A$2:A971, ""&lt;="" &amp; A971) &lt; 30, STDEV.P(FILTER($G$2:G971, $C$2:C971 = C971)), STDEV.P(FILTER($G$2:G971, $C$2:C971 = C971, $A$2:A971 &gt;= A971 - 30)))
"),"#DIV/0!")</f>
        <v>#DIV/0!</v>
      </c>
    </row>
    <row r="972" spans="1:14" x14ac:dyDescent="0.2">
      <c r="A972" s="41"/>
      <c r="B972" s="32"/>
      <c r="C972" s="32"/>
      <c r="D972" s="33"/>
      <c r="E972" s="33"/>
      <c r="F972" s="33"/>
      <c r="G972" s="19" t="e">
        <f t="shared" si="15"/>
        <v>#DIV/0!</v>
      </c>
      <c r="H972" s="20" t="str">
        <f ca="1">IFERROR(__xludf.DUMMYFUNCTION("IF(COUNTIFS($C$2:C972, C972, $A$2:A972, ""&lt;="" &amp; A972) &lt; 30, AVERAGEIF($C$2:C972, C972, $G$2:G972), AVERAGE(FILTER($G$2:G972, $C$2:C972 = C972, $A$2:A972 &gt;= A972 - 30)))
"),"#DIV/0!")</f>
        <v>#DIV/0!</v>
      </c>
      <c r="I972" s="20" t="e">
        <f t="shared" ca="1" si="16"/>
        <v>#DIV/0!</v>
      </c>
      <c r="J972" s="20" t="str">
        <f ca="1">IFERROR(__xludf.DUMMYFUNCTION("IF(OR($I972=2, $I972=3), 0, IFERROR(COUNTIFS($C$2:C972, $C972, $A$2:A972, ""&gt;""&amp;IFERROR(MAX(FILTER($A$2:A972, $C$2:C972=$C972, $I$2:I972&lt;&gt;1)), 0), $I$2:I972, 1),1))
"),"#DIV/0!")</f>
        <v>#DIV/0!</v>
      </c>
      <c r="K972" s="7" t="e">
        <f t="shared" ca="1" si="17"/>
        <v>#DIV/0!</v>
      </c>
      <c r="L972" s="20" t="e">
        <f t="shared" ca="1" si="18"/>
        <v>#DIV/0!</v>
      </c>
      <c r="M972" s="21" t="e">
        <f t="shared" ca="1" si="19"/>
        <v>#DIV/0!</v>
      </c>
      <c r="N972" s="20" t="str">
        <f ca="1">IFERROR(__xludf.DUMMYFUNCTION("IF(COUNTIFS($C$2:C972, C972, $A$2:A972, ""&lt;="" &amp; A972) &lt; 30, STDEV.P(FILTER($G$2:G972, $C$2:C972 = C972)), STDEV.P(FILTER($G$2:G972, $C$2:C972 = C972, $A$2:A972 &gt;= A972 - 30)))
"),"#DIV/0!")</f>
        <v>#DIV/0!</v>
      </c>
    </row>
    <row r="973" spans="1:14" x14ac:dyDescent="0.2">
      <c r="A973" s="41"/>
      <c r="B973" s="32"/>
      <c r="C973" s="32"/>
      <c r="D973" s="33"/>
      <c r="E973" s="33"/>
      <c r="F973" s="33"/>
      <c r="G973" s="19" t="e">
        <f t="shared" si="15"/>
        <v>#DIV/0!</v>
      </c>
      <c r="H973" s="20" t="str">
        <f ca="1">IFERROR(__xludf.DUMMYFUNCTION("IF(COUNTIFS($C$2:C973, C973, $A$2:A973, ""&lt;="" &amp; A973) &lt; 30, AVERAGEIF($C$2:C973, C973, $G$2:G973), AVERAGE(FILTER($G$2:G973, $C$2:C973 = C973, $A$2:A973 &gt;= A973 - 30)))
"),"#DIV/0!")</f>
        <v>#DIV/0!</v>
      </c>
      <c r="I973" s="20" t="e">
        <f t="shared" ca="1" si="16"/>
        <v>#DIV/0!</v>
      </c>
      <c r="J973" s="20" t="str">
        <f ca="1">IFERROR(__xludf.DUMMYFUNCTION("IF(OR($I973=2, $I973=3), 0, IFERROR(COUNTIFS($C$2:C973, $C973, $A$2:A973, ""&gt;""&amp;IFERROR(MAX(FILTER($A$2:A973, $C$2:C973=$C973, $I$2:I973&lt;&gt;1)), 0), $I$2:I973, 1),1))
"),"#DIV/0!")</f>
        <v>#DIV/0!</v>
      </c>
      <c r="K973" s="7" t="e">
        <f t="shared" ca="1" si="17"/>
        <v>#DIV/0!</v>
      </c>
      <c r="L973" s="20" t="e">
        <f t="shared" ca="1" si="18"/>
        <v>#DIV/0!</v>
      </c>
      <c r="M973" s="21" t="e">
        <f t="shared" ca="1" si="19"/>
        <v>#DIV/0!</v>
      </c>
      <c r="N973" s="20" t="str">
        <f ca="1">IFERROR(__xludf.DUMMYFUNCTION("IF(COUNTIFS($C$2:C973, C973, $A$2:A973, ""&lt;="" &amp; A973) &lt; 30, STDEV.P(FILTER($G$2:G973, $C$2:C973 = C973)), STDEV.P(FILTER($G$2:G973, $C$2:C973 = C973, $A$2:A973 &gt;= A973 - 30)))
"),"#DIV/0!")</f>
        <v>#DIV/0!</v>
      </c>
    </row>
    <row r="974" spans="1:14" x14ac:dyDescent="0.2">
      <c r="A974" s="41"/>
      <c r="B974" s="32"/>
      <c r="C974" s="32"/>
      <c r="D974" s="33"/>
      <c r="E974" s="33"/>
      <c r="F974" s="33"/>
      <c r="G974" s="19" t="e">
        <f t="shared" si="15"/>
        <v>#DIV/0!</v>
      </c>
      <c r="H974" s="20" t="str">
        <f ca="1">IFERROR(__xludf.DUMMYFUNCTION("IF(COUNTIFS($C$2:C974, C974, $A$2:A974, ""&lt;="" &amp; A974) &lt; 30, AVERAGEIF($C$2:C974, C974, $G$2:G974), AVERAGE(FILTER($G$2:G974, $C$2:C974 = C974, $A$2:A974 &gt;= A974 - 30)))
"),"#DIV/0!")</f>
        <v>#DIV/0!</v>
      </c>
      <c r="I974" s="20" t="e">
        <f t="shared" ca="1" si="16"/>
        <v>#DIV/0!</v>
      </c>
      <c r="J974" s="20" t="str">
        <f ca="1">IFERROR(__xludf.DUMMYFUNCTION("IF(OR($I974=2, $I974=3), 0, IFERROR(COUNTIFS($C$2:C974, $C974, $A$2:A974, ""&gt;""&amp;IFERROR(MAX(FILTER($A$2:A974, $C$2:C974=$C974, $I$2:I974&lt;&gt;1)), 0), $I$2:I974, 1),1))
"),"#DIV/0!")</f>
        <v>#DIV/0!</v>
      </c>
      <c r="K974" s="7" t="e">
        <f t="shared" ca="1" si="17"/>
        <v>#DIV/0!</v>
      </c>
      <c r="L974" s="20" t="e">
        <f t="shared" ca="1" si="18"/>
        <v>#DIV/0!</v>
      </c>
      <c r="M974" s="21" t="e">
        <f t="shared" ca="1" si="19"/>
        <v>#DIV/0!</v>
      </c>
      <c r="N974" s="20" t="str">
        <f ca="1">IFERROR(__xludf.DUMMYFUNCTION("IF(COUNTIFS($C$2:C974, C974, $A$2:A974, ""&lt;="" &amp; A974) &lt; 30, STDEV.P(FILTER($G$2:G974, $C$2:C974 = C974)), STDEV.P(FILTER($G$2:G974, $C$2:C974 = C974, $A$2:A974 &gt;= A974 - 30)))
"),"#DIV/0!")</f>
        <v>#DIV/0!</v>
      </c>
    </row>
    <row r="975" spans="1:14" x14ac:dyDescent="0.2">
      <c r="A975" s="41"/>
      <c r="B975" s="32"/>
      <c r="C975" s="32"/>
      <c r="D975" s="33"/>
      <c r="E975" s="33"/>
      <c r="F975" s="33"/>
      <c r="G975" s="19" t="e">
        <f t="shared" si="15"/>
        <v>#DIV/0!</v>
      </c>
      <c r="H975" s="20" t="str">
        <f ca="1">IFERROR(__xludf.DUMMYFUNCTION("IF(COUNTIFS($C$2:C975, C975, $A$2:A975, ""&lt;="" &amp; A975) &lt; 30, AVERAGEIF($C$2:C975, C975, $G$2:G975), AVERAGE(FILTER($G$2:G975, $C$2:C975 = C975, $A$2:A975 &gt;= A975 - 30)))
"),"#DIV/0!")</f>
        <v>#DIV/0!</v>
      </c>
      <c r="I975" s="20" t="e">
        <f t="shared" ca="1" si="16"/>
        <v>#DIV/0!</v>
      </c>
      <c r="J975" s="20" t="str">
        <f ca="1">IFERROR(__xludf.DUMMYFUNCTION("IF(OR($I975=2, $I975=3), 0, IFERROR(COUNTIFS($C$2:C975, $C975, $A$2:A975, ""&gt;""&amp;IFERROR(MAX(FILTER($A$2:A975, $C$2:C975=$C975, $I$2:I975&lt;&gt;1)), 0), $I$2:I975, 1),1))
"),"#DIV/0!")</f>
        <v>#DIV/0!</v>
      </c>
      <c r="K975" s="7" t="e">
        <f t="shared" ca="1" si="17"/>
        <v>#DIV/0!</v>
      </c>
      <c r="L975" s="20" t="e">
        <f t="shared" ca="1" si="18"/>
        <v>#DIV/0!</v>
      </c>
      <c r="M975" s="21" t="e">
        <f t="shared" ca="1" si="19"/>
        <v>#DIV/0!</v>
      </c>
      <c r="N975" s="20" t="str">
        <f ca="1">IFERROR(__xludf.DUMMYFUNCTION("IF(COUNTIFS($C$2:C975, C975, $A$2:A975, ""&lt;="" &amp; A975) &lt; 30, STDEV.P(FILTER($G$2:G975, $C$2:C975 = C975)), STDEV.P(FILTER($G$2:G975, $C$2:C975 = C975, $A$2:A975 &gt;= A975 - 30)))
"),"#DIV/0!")</f>
        <v>#DIV/0!</v>
      </c>
    </row>
    <row r="976" spans="1:14" x14ac:dyDescent="0.2">
      <c r="A976" s="41"/>
      <c r="B976" s="32"/>
      <c r="C976" s="32"/>
      <c r="D976" s="33"/>
      <c r="E976" s="33"/>
      <c r="F976" s="33"/>
      <c r="G976" s="19" t="e">
        <f t="shared" si="15"/>
        <v>#DIV/0!</v>
      </c>
      <c r="H976" s="20" t="str">
        <f ca="1">IFERROR(__xludf.DUMMYFUNCTION("IF(COUNTIFS($C$2:C976, C976, $A$2:A976, ""&lt;="" &amp; A976) &lt; 30, AVERAGEIF($C$2:C976, C976, $G$2:G976), AVERAGE(FILTER($G$2:G976, $C$2:C976 = C976, $A$2:A976 &gt;= A976 - 30)))
"),"#DIV/0!")</f>
        <v>#DIV/0!</v>
      </c>
      <c r="I976" s="20" t="e">
        <f t="shared" ca="1" si="16"/>
        <v>#DIV/0!</v>
      </c>
      <c r="J976" s="20" t="str">
        <f ca="1">IFERROR(__xludf.DUMMYFUNCTION("IF(OR($I976=2, $I976=3), 0, IFERROR(COUNTIFS($C$2:C976, $C976, $A$2:A976, ""&gt;""&amp;IFERROR(MAX(FILTER($A$2:A976, $C$2:C976=$C976, $I$2:I976&lt;&gt;1)), 0), $I$2:I976, 1),1))
"),"#DIV/0!")</f>
        <v>#DIV/0!</v>
      </c>
      <c r="K976" s="7" t="e">
        <f t="shared" ca="1" si="17"/>
        <v>#DIV/0!</v>
      </c>
      <c r="L976" s="20" t="e">
        <f t="shared" ca="1" si="18"/>
        <v>#DIV/0!</v>
      </c>
      <c r="M976" s="21" t="e">
        <f t="shared" ca="1" si="19"/>
        <v>#DIV/0!</v>
      </c>
      <c r="N976" s="20" t="str">
        <f ca="1">IFERROR(__xludf.DUMMYFUNCTION("IF(COUNTIFS($C$2:C976, C976, $A$2:A976, ""&lt;="" &amp; A976) &lt; 30, STDEV.P(FILTER($G$2:G976, $C$2:C976 = C976)), STDEV.P(FILTER($G$2:G976, $C$2:C976 = C976, $A$2:A976 &gt;= A976 - 30)))
"),"#DIV/0!")</f>
        <v>#DIV/0!</v>
      </c>
    </row>
    <row r="977" spans="1:14" x14ac:dyDescent="0.2">
      <c r="A977" s="41"/>
      <c r="B977" s="32"/>
      <c r="C977" s="32"/>
      <c r="D977" s="33"/>
      <c r="E977" s="33"/>
      <c r="F977" s="33"/>
      <c r="G977" s="19" t="e">
        <f t="shared" si="15"/>
        <v>#DIV/0!</v>
      </c>
      <c r="H977" s="20" t="str">
        <f ca="1">IFERROR(__xludf.DUMMYFUNCTION("IF(COUNTIFS($C$2:C977, C977, $A$2:A977, ""&lt;="" &amp; A977) &lt; 30, AVERAGEIF($C$2:C977, C977, $G$2:G977), AVERAGE(FILTER($G$2:G977, $C$2:C977 = C977, $A$2:A977 &gt;= A977 - 30)))
"),"#DIV/0!")</f>
        <v>#DIV/0!</v>
      </c>
      <c r="I977" s="20" t="e">
        <f t="shared" ca="1" si="16"/>
        <v>#DIV/0!</v>
      </c>
      <c r="J977" s="20" t="str">
        <f ca="1">IFERROR(__xludf.DUMMYFUNCTION("IF(OR($I977=2, $I977=3), 0, IFERROR(COUNTIFS($C$2:C977, $C977, $A$2:A977, ""&gt;""&amp;IFERROR(MAX(FILTER($A$2:A977, $C$2:C977=$C977, $I$2:I977&lt;&gt;1)), 0), $I$2:I977, 1),1))
"),"#DIV/0!")</f>
        <v>#DIV/0!</v>
      </c>
      <c r="K977" s="7" t="e">
        <f t="shared" ca="1" si="17"/>
        <v>#DIV/0!</v>
      </c>
      <c r="L977" s="20" t="e">
        <f t="shared" ca="1" si="18"/>
        <v>#DIV/0!</v>
      </c>
      <c r="M977" s="21" t="e">
        <f t="shared" ca="1" si="19"/>
        <v>#DIV/0!</v>
      </c>
      <c r="N977" s="20" t="str">
        <f ca="1">IFERROR(__xludf.DUMMYFUNCTION("IF(COUNTIFS($C$2:C977, C977, $A$2:A977, ""&lt;="" &amp; A977) &lt; 30, STDEV.P(FILTER($G$2:G977, $C$2:C977 = C977)), STDEV.P(FILTER($G$2:G977, $C$2:C977 = C977, $A$2:A977 &gt;= A977 - 30)))
"),"#DIV/0!")</f>
        <v>#DIV/0!</v>
      </c>
    </row>
    <row r="978" spans="1:14" x14ac:dyDescent="0.2">
      <c r="A978" s="41"/>
      <c r="B978" s="32"/>
      <c r="C978" s="32"/>
      <c r="D978" s="33"/>
      <c r="E978" s="33"/>
      <c r="F978" s="33"/>
      <c r="G978" s="19" t="e">
        <f t="shared" si="15"/>
        <v>#DIV/0!</v>
      </c>
      <c r="H978" s="20" t="str">
        <f ca="1">IFERROR(__xludf.DUMMYFUNCTION("IF(COUNTIFS($C$2:C978, C978, $A$2:A978, ""&lt;="" &amp; A978) &lt; 30, AVERAGEIF($C$2:C978, C978, $G$2:G978), AVERAGE(FILTER($G$2:G978, $C$2:C978 = C978, $A$2:A978 &gt;= A978 - 30)))
"),"#DIV/0!")</f>
        <v>#DIV/0!</v>
      </c>
      <c r="I978" s="20" t="e">
        <f t="shared" ca="1" si="16"/>
        <v>#DIV/0!</v>
      </c>
      <c r="J978" s="20" t="str">
        <f ca="1">IFERROR(__xludf.DUMMYFUNCTION("IF(OR($I978=2, $I978=3), 0, IFERROR(COUNTIFS($C$2:C978, $C978, $A$2:A978, ""&gt;""&amp;IFERROR(MAX(FILTER($A$2:A978, $C$2:C978=$C978, $I$2:I978&lt;&gt;1)), 0), $I$2:I978, 1),1))
"),"#DIV/0!")</f>
        <v>#DIV/0!</v>
      </c>
      <c r="K978" s="7" t="e">
        <f t="shared" ca="1" si="17"/>
        <v>#DIV/0!</v>
      </c>
      <c r="L978" s="20" t="e">
        <f t="shared" ca="1" si="18"/>
        <v>#DIV/0!</v>
      </c>
      <c r="M978" s="21" t="e">
        <f t="shared" ca="1" si="19"/>
        <v>#DIV/0!</v>
      </c>
      <c r="N978" s="20" t="str">
        <f ca="1">IFERROR(__xludf.DUMMYFUNCTION("IF(COUNTIFS($C$2:C978, C978, $A$2:A978, ""&lt;="" &amp; A978) &lt; 30, STDEV.P(FILTER($G$2:G978, $C$2:C978 = C978)), STDEV.P(FILTER($G$2:G978, $C$2:C978 = C978, $A$2:A978 &gt;= A978 - 30)))
"),"#DIV/0!")</f>
        <v>#DIV/0!</v>
      </c>
    </row>
    <row r="979" spans="1:14" x14ac:dyDescent="0.2">
      <c r="A979" s="41"/>
      <c r="B979" s="32"/>
      <c r="C979" s="32"/>
      <c r="D979" s="33"/>
      <c r="E979" s="33"/>
      <c r="F979" s="33"/>
      <c r="G979" s="19" t="e">
        <f t="shared" si="15"/>
        <v>#DIV/0!</v>
      </c>
      <c r="H979" s="20" t="str">
        <f ca="1">IFERROR(__xludf.DUMMYFUNCTION("IF(COUNTIFS($C$2:C979, C979, $A$2:A979, ""&lt;="" &amp; A979) &lt; 30, AVERAGEIF($C$2:C979, C979, $G$2:G979), AVERAGE(FILTER($G$2:G979, $C$2:C979 = C979, $A$2:A979 &gt;= A979 - 30)))
"),"#DIV/0!")</f>
        <v>#DIV/0!</v>
      </c>
      <c r="I979" s="20" t="e">
        <f t="shared" ca="1" si="16"/>
        <v>#DIV/0!</v>
      </c>
      <c r="J979" s="20" t="str">
        <f ca="1">IFERROR(__xludf.DUMMYFUNCTION("IF(OR($I979=2, $I979=3), 0, IFERROR(COUNTIFS($C$2:C979, $C979, $A$2:A979, ""&gt;""&amp;IFERROR(MAX(FILTER($A$2:A979, $C$2:C979=$C979, $I$2:I979&lt;&gt;1)), 0), $I$2:I979, 1),1))
"),"#DIV/0!")</f>
        <v>#DIV/0!</v>
      </c>
      <c r="K979" s="7" t="e">
        <f t="shared" ca="1" si="17"/>
        <v>#DIV/0!</v>
      </c>
      <c r="L979" s="20" t="e">
        <f t="shared" ca="1" si="18"/>
        <v>#DIV/0!</v>
      </c>
      <c r="M979" s="21" t="e">
        <f t="shared" ca="1" si="19"/>
        <v>#DIV/0!</v>
      </c>
      <c r="N979" s="20" t="str">
        <f ca="1">IFERROR(__xludf.DUMMYFUNCTION("IF(COUNTIFS($C$2:C979, C979, $A$2:A979, ""&lt;="" &amp; A979) &lt; 30, STDEV.P(FILTER($G$2:G979, $C$2:C979 = C979)), STDEV.P(FILTER($G$2:G979, $C$2:C979 = C979, $A$2:A979 &gt;= A979 - 30)))
"),"#DIV/0!")</f>
        <v>#DIV/0!</v>
      </c>
    </row>
    <row r="980" spans="1:14" x14ac:dyDescent="0.2">
      <c r="A980" s="41"/>
      <c r="B980" s="32"/>
      <c r="C980" s="32"/>
      <c r="D980" s="33"/>
      <c r="E980" s="33"/>
      <c r="F980" s="33"/>
      <c r="G980" s="19" t="e">
        <f t="shared" si="15"/>
        <v>#DIV/0!</v>
      </c>
      <c r="H980" s="20" t="str">
        <f ca="1">IFERROR(__xludf.DUMMYFUNCTION("IF(COUNTIFS($C$2:C980, C980, $A$2:A980, ""&lt;="" &amp; A980) &lt; 30, AVERAGEIF($C$2:C980, C980, $G$2:G980), AVERAGE(FILTER($G$2:G980, $C$2:C980 = C980, $A$2:A980 &gt;= A980 - 30)))
"),"#DIV/0!")</f>
        <v>#DIV/0!</v>
      </c>
      <c r="I980" s="20" t="e">
        <f t="shared" ca="1" si="16"/>
        <v>#DIV/0!</v>
      </c>
      <c r="J980" s="20" t="str">
        <f ca="1">IFERROR(__xludf.DUMMYFUNCTION("IF(OR($I980=2, $I980=3), 0, IFERROR(COUNTIFS($C$2:C980, $C980, $A$2:A980, ""&gt;""&amp;IFERROR(MAX(FILTER($A$2:A980, $C$2:C980=$C980, $I$2:I980&lt;&gt;1)), 0), $I$2:I980, 1),1))
"),"#DIV/0!")</f>
        <v>#DIV/0!</v>
      </c>
      <c r="K980" s="7" t="e">
        <f t="shared" ca="1" si="17"/>
        <v>#DIV/0!</v>
      </c>
      <c r="L980" s="20" t="e">
        <f t="shared" ca="1" si="18"/>
        <v>#DIV/0!</v>
      </c>
      <c r="M980" s="21" t="e">
        <f t="shared" ca="1" si="19"/>
        <v>#DIV/0!</v>
      </c>
      <c r="N980" s="20" t="str">
        <f ca="1">IFERROR(__xludf.DUMMYFUNCTION("IF(COUNTIFS($C$2:C980, C980, $A$2:A980, ""&lt;="" &amp; A980) &lt; 30, STDEV.P(FILTER($G$2:G980, $C$2:C980 = C980)), STDEV.P(FILTER($G$2:G980, $C$2:C980 = C980, $A$2:A980 &gt;= A980 - 30)))
"),"#DIV/0!")</f>
        <v>#DIV/0!</v>
      </c>
    </row>
    <row r="981" spans="1:14" x14ac:dyDescent="0.2">
      <c r="A981" s="41"/>
      <c r="B981" s="40"/>
      <c r="C981" s="40"/>
      <c r="D981" s="31"/>
      <c r="E981" s="31"/>
      <c r="F981" s="31"/>
      <c r="G981" s="19" t="e">
        <f t="shared" si="15"/>
        <v>#DIV/0!</v>
      </c>
      <c r="H981" s="20" t="str">
        <f ca="1">IFERROR(__xludf.DUMMYFUNCTION("IF(COUNTIFS($C$2:C981, C981, $A$2:A981, ""&lt;="" &amp; A981) &lt; 30, AVERAGEIF($C$2:C981, C981, $G$2:G981), AVERAGE(FILTER($G$2:G981, $C$2:C981 = C981, $A$2:A981 &gt;= A981 - 30)))
"),"#DIV/0!")</f>
        <v>#DIV/0!</v>
      </c>
      <c r="I981" s="20" t="e">
        <f t="shared" ca="1" si="16"/>
        <v>#DIV/0!</v>
      </c>
      <c r="J981" s="20" t="str">
        <f ca="1">IFERROR(__xludf.DUMMYFUNCTION("IF(OR($I981=2, $I981=3), 0, IFERROR(COUNTIFS($C$2:C981, $C981, $A$2:A981, ""&gt;""&amp;IFERROR(MAX(FILTER($A$2:A981, $C$2:C981=$C981, $I$2:I981&lt;&gt;1)), 0), $I$2:I981, 1),1))
"),"#DIV/0!")</f>
        <v>#DIV/0!</v>
      </c>
      <c r="K981" s="7" t="e">
        <f t="shared" ca="1" si="17"/>
        <v>#DIV/0!</v>
      </c>
      <c r="L981" s="20" t="e">
        <f t="shared" ca="1" si="18"/>
        <v>#DIV/0!</v>
      </c>
      <c r="M981" s="21" t="e">
        <f t="shared" ca="1" si="19"/>
        <v>#DIV/0!</v>
      </c>
      <c r="N981" s="20" t="str">
        <f ca="1">IFERROR(__xludf.DUMMYFUNCTION("IF(COUNTIFS($C$2:C981, C981, $A$2:A981, ""&lt;="" &amp; A981) &lt; 30, STDEV.P(FILTER($G$2:G981, $C$2:C981 = C981)), STDEV.P(FILTER($G$2:G981, $C$2:C981 = C981, $A$2:A981 &gt;= A981 - 30)))
"),"#DIV/0!")</f>
        <v>#DIV/0!</v>
      </c>
    </row>
    <row r="982" spans="1:14" x14ac:dyDescent="0.2">
      <c r="A982" s="41"/>
      <c r="B982" s="40"/>
      <c r="C982" s="40"/>
      <c r="D982" s="31"/>
      <c r="E982" s="31"/>
      <c r="F982" s="31"/>
      <c r="G982" s="19" t="e">
        <f t="shared" si="15"/>
        <v>#DIV/0!</v>
      </c>
      <c r="H982" s="20" t="str">
        <f ca="1">IFERROR(__xludf.DUMMYFUNCTION("IF(COUNTIFS($C$2:C982, C982, $A$2:A982, ""&lt;="" &amp; A982) &lt; 30, AVERAGEIF($C$2:C982, C982, $G$2:G982), AVERAGE(FILTER($G$2:G982, $C$2:C982 = C982, $A$2:A982 &gt;= A982 - 30)))
"),"#DIV/0!")</f>
        <v>#DIV/0!</v>
      </c>
      <c r="I982" s="20" t="e">
        <f t="shared" ca="1" si="16"/>
        <v>#DIV/0!</v>
      </c>
      <c r="J982" s="20" t="str">
        <f ca="1">IFERROR(__xludf.DUMMYFUNCTION("IF(OR($I982=2, $I982=3), 0, IFERROR(COUNTIFS($C$2:C982, $C982, $A$2:A982, ""&gt;""&amp;IFERROR(MAX(FILTER($A$2:A982, $C$2:C982=$C982, $I$2:I982&lt;&gt;1)), 0), $I$2:I982, 1),1))
"),"#DIV/0!")</f>
        <v>#DIV/0!</v>
      </c>
      <c r="K982" s="7" t="e">
        <f t="shared" ca="1" si="17"/>
        <v>#DIV/0!</v>
      </c>
      <c r="L982" s="20" t="e">
        <f t="shared" ca="1" si="18"/>
        <v>#DIV/0!</v>
      </c>
      <c r="M982" s="21" t="e">
        <f t="shared" ca="1" si="19"/>
        <v>#DIV/0!</v>
      </c>
      <c r="N982" s="20" t="str">
        <f ca="1">IFERROR(__xludf.DUMMYFUNCTION("IF(COUNTIFS($C$2:C982, C982, $A$2:A982, ""&lt;="" &amp; A982) &lt; 30, STDEV.P(FILTER($G$2:G982, $C$2:C982 = C982)), STDEV.P(FILTER($G$2:G982, $C$2:C982 = C982, $A$2:A982 &gt;= A982 - 30)))
"),"#DIV/0!")</f>
        <v>#DIV/0!</v>
      </c>
    </row>
    <row r="983" spans="1:14" x14ac:dyDescent="0.2">
      <c r="A983" s="41"/>
      <c r="B983" s="40"/>
      <c r="C983" s="40"/>
      <c r="D983" s="31"/>
      <c r="E983" s="31"/>
      <c r="F983" s="31"/>
      <c r="G983" s="19" t="e">
        <f t="shared" si="15"/>
        <v>#DIV/0!</v>
      </c>
      <c r="H983" s="20" t="str">
        <f ca="1">IFERROR(__xludf.DUMMYFUNCTION("IF(COUNTIFS($C$2:C983, C983, $A$2:A983, ""&lt;="" &amp; A983) &lt; 30, AVERAGEIF($C$2:C983, C983, $G$2:G983), AVERAGE(FILTER($G$2:G983, $C$2:C983 = C983, $A$2:A983 &gt;= A983 - 30)))
"),"#DIV/0!")</f>
        <v>#DIV/0!</v>
      </c>
      <c r="I983" s="20" t="e">
        <f t="shared" ca="1" si="16"/>
        <v>#DIV/0!</v>
      </c>
      <c r="J983" s="20" t="str">
        <f ca="1">IFERROR(__xludf.DUMMYFUNCTION("IF(OR($I983=2, $I983=3), 0, IFERROR(COUNTIFS($C$2:C983, $C983, $A$2:A983, ""&gt;""&amp;IFERROR(MAX(FILTER($A$2:A983, $C$2:C983=$C983, $I$2:I983&lt;&gt;1)), 0), $I$2:I983, 1),1))
"),"#DIV/0!")</f>
        <v>#DIV/0!</v>
      </c>
      <c r="K983" s="7" t="e">
        <f t="shared" ca="1" si="17"/>
        <v>#DIV/0!</v>
      </c>
      <c r="L983" s="20" t="e">
        <f t="shared" ca="1" si="18"/>
        <v>#DIV/0!</v>
      </c>
      <c r="M983" s="21" t="e">
        <f t="shared" ca="1" si="19"/>
        <v>#DIV/0!</v>
      </c>
      <c r="N983" s="20" t="str">
        <f ca="1">IFERROR(__xludf.DUMMYFUNCTION("IF(COUNTIFS($C$2:C983, C983, $A$2:A983, ""&lt;="" &amp; A983) &lt; 30, STDEV.P(FILTER($G$2:G983, $C$2:C983 = C983)), STDEV.P(FILTER($G$2:G983, $C$2:C983 = C983, $A$2:A983 &gt;= A983 - 30)))
"),"#DIV/0!")</f>
        <v>#DIV/0!</v>
      </c>
    </row>
    <row r="984" spans="1:14" x14ac:dyDescent="0.2">
      <c r="A984" s="41"/>
      <c r="B984" s="40"/>
      <c r="C984" s="40"/>
      <c r="D984" s="31"/>
      <c r="E984" s="31"/>
      <c r="F984" s="31"/>
      <c r="G984" s="19" t="e">
        <f t="shared" si="15"/>
        <v>#DIV/0!</v>
      </c>
      <c r="H984" s="20" t="str">
        <f ca="1">IFERROR(__xludf.DUMMYFUNCTION("IF(COUNTIFS($C$2:C984, C984, $A$2:A984, ""&lt;="" &amp; A984) &lt; 30, AVERAGEIF($C$2:C984, C984, $G$2:G984), AVERAGE(FILTER($G$2:G984, $C$2:C984 = C984, $A$2:A984 &gt;= A984 - 30)))
"),"#DIV/0!")</f>
        <v>#DIV/0!</v>
      </c>
      <c r="I984" s="20" t="e">
        <f t="shared" ca="1" si="16"/>
        <v>#DIV/0!</v>
      </c>
      <c r="J984" s="20" t="str">
        <f ca="1">IFERROR(__xludf.DUMMYFUNCTION("IF(OR($I984=2, $I984=3), 0, IFERROR(COUNTIFS($C$2:C984, $C984, $A$2:A984, ""&gt;""&amp;IFERROR(MAX(FILTER($A$2:A984, $C$2:C984=$C984, $I$2:I984&lt;&gt;1)), 0), $I$2:I984, 1),1))
"),"#DIV/0!")</f>
        <v>#DIV/0!</v>
      </c>
      <c r="K984" s="7" t="e">
        <f t="shared" ca="1" si="17"/>
        <v>#DIV/0!</v>
      </c>
      <c r="L984" s="20" t="e">
        <f t="shared" ca="1" si="18"/>
        <v>#DIV/0!</v>
      </c>
      <c r="M984" s="21" t="e">
        <f t="shared" ca="1" si="19"/>
        <v>#DIV/0!</v>
      </c>
      <c r="N984" s="20" t="str">
        <f ca="1">IFERROR(__xludf.DUMMYFUNCTION("IF(COUNTIFS($C$2:C984, C984, $A$2:A984, ""&lt;="" &amp; A984) &lt; 30, STDEV.P(FILTER($G$2:G984, $C$2:C984 = C984)), STDEV.P(FILTER($G$2:G984, $C$2:C984 = C984, $A$2:A984 &gt;= A984 - 30)))
"),"#DIV/0!")</f>
        <v>#DIV/0!</v>
      </c>
    </row>
    <row r="985" spans="1:14" x14ac:dyDescent="0.2">
      <c r="A985" s="41"/>
      <c r="B985" s="40"/>
      <c r="C985" s="40"/>
      <c r="D985" s="31"/>
      <c r="E985" s="31"/>
      <c r="F985" s="31"/>
      <c r="G985" s="19" t="e">
        <f t="shared" si="15"/>
        <v>#DIV/0!</v>
      </c>
      <c r="H985" s="20" t="str">
        <f ca="1">IFERROR(__xludf.DUMMYFUNCTION("IF(COUNTIFS($C$2:C985, C985, $A$2:A985, ""&lt;="" &amp; A985) &lt; 30, AVERAGEIF($C$2:C985, C985, $G$2:G985), AVERAGE(FILTER($G$2:G985, $C$2:C985 = C985, $A$2:A985 &gt;= A985 - 30)))
"),"#DIV/0!")</f>
        <v>#DIV/0!</v>
      </c>
      <c r="I985" s="20" t="e">
        <f t="shared" ca="1" si="16"/>
        <v>#DIV/0!</v>
      </c>
      <c r="J985" s="20" t="str">
        <f ca="1">IFERROR(__xludf.DUMMYFUNCTION("IF(OR($I985=2, $I985=3), 0, IFERROR(COUNTIFS($C$2:C985, $C985, $A$2:A985, ""&gt;""&amp;IFERROR(MAX(FILTER($A$2:A985, $C$2:C985=$C985, $I$2:I985&lt;&gt;1)), 0), $I$2:I985, 1),1))
"),"#DIV/0!")</f>
        <v>#DIV/0!</v>
      </c>
      <c r="K985" s="7" t="e">
        <f t="shared" ca="1" si="17"/>
        <v>#DIV/0!</v>
      </c>
      <c r="L985" s="20" t="e">
        <f t="shared" ca="1" si="18"/>
        <v>#DIV/0!</v>
      </c>
      <c r="M985" s="21" t="e">
        <f t="shared" ca="1" si="19"/>
        <v>#DIV/0!</v>
      </c>
      <c r="N985" s="20" t="str">
        <f ca="1">IFERROR(__xludf.DUMMYFUNCTION("IF(COUNTIFS($C$2:C985, C985, $A$2:A985, ""&lt;="" &amp; A985) &lt; 30, STDEV.P(FILTER($G$2:G985, $C$2:C985 = C985)), STDEV.P(FILTER($G$2:G985, $C$2:C985 = C985, $A$2:A985 &gt;= A985 - 30)))
"),"#DIV/0!")</f>
        <v>#DIV/0!</v>
      </c>
    </row>
    <row r="986" spans="1:14" x14ac:dyDescent="0.2">
      <c r="A986" s="41"/>
      <c r="B986" s="40"/>
      <c r="C986" s="40"/>
      <c r="D986" s="31"/>
      <c r="E986" s="31"/>
      <c r="F986" s="31"/>
      <c r="G986" s="19" t="e">
        <f t="shared" si="15"/>
        <v>#DIV/0!</v>
      </c>
      <c r="H986" s="20" t="str">
        <f ca="1">IFERROR(__xludf.DUMMYFUNCTION("IF(COUNTIFS($C$2:C986, C986, $A$2:A986, ""&lt;="" &amp; A986) &lt; 30, AVERAGEIF($C$2:C986, C986, $G$2:G986), AVERAGE(FILTER($G$2:G986, $C$2:C986 = C986, $A$2:A986 &gt;= A986 - 30)))
"),"#DIV/0!")</f>
        <v>#DIV/0!</v>
      </c>
      <c r="I986" s="20" t="e">
        <f t="shared" ca="1" si="16"/>
        <v>#DIV/0!</v>
      </c>
      <c r="J986" s="20" t="str">
        <f ca="1">IFERROR(__xludf.DUMMYFUNCTION("IF(OR($I986=2, $I986=3), 0, IFERROR(COUNTIFS($C$2:C986, $C986, $A$2:A986, ""&gt;""&amp;IFERROR(MAX(FILTER($A$2:A986, $C$2:C986=$C986, $I$2:I986&lt;&gt;1)), 0), $I$2:I986, 1),1))
"),"#DIV/0!")</f>
        <v>#DIV/0!</v>
      </c>
      <c r="K986" s="7" t="e">
        <f t="shared" ca="1" si="17"/>
        <v>#DIV/0!</v>
      </c>
      <c r="L986" s="20" t="e">
        <f t="shared" ca="1" si="18"/>
        <v>#DIV/0!</v>
      </c>
      <c r="M986" s="21" t="e">
        <f t="shared" ca="1" si="19"/>
        <v>#DIV/0!</v>
      </c>
      <c r="N986" s="20" t="str">
        <f ca="1">IFERROR(__xludf.DUMMYFUNCTION("IF(COUNTIFS($C$2:C986, C986, $A$2:A986, ""&lt;="" &amp; A986) &lt; 30, STDEV.P(FILTER($G$2:G986, $C$2:C986 = C986)), STDEV.P(FILTER($G$2:G986, $C$2:C986 = C986, $A$2:A986 &gt;= A986 - 30)))
"),"#DIV/0!")</f>
        <v>#DIV/0!</v>
      </c>
    </row>
    <row r="987" spans="1:14" x14ac:dyDescent="0.2">
      <c r="A987" s="41"/>
      <c r="B987" s="32"/>
      <c r="C987" s="32"/>
      <c r="D987" s="33"/>
      <c r="E987" s="33"/>
      <c r="F987" s="33"/>
      <c r="G987" s="19" t="e">
        <f t="shared" si="15"/>
        <v>#DIV/0!</v>
      </c>
      <c r="H987" s="20" t="str">
        <f ca="1">IFERROR(__xludf.DUMMYFUNCTION("IF(COUNTIFS($C$2:C987, C987, $A$2:A987, ""&lt;="" &amp; A987) &lt; 30, AVERAGEIF($C$2:C987, C987, $G$2:G987), AVERAGE(FILTER($G$2:G987, $C$2:C987 = C987, $A$2:A987 &gt;= A987 - 30)))
"),"#DIV/0!")</f>
        <v>#DIV/0!</v>
      </c>
      <c r="I987" s="20" t="e">
        <f t="shared" ca="1" si="16"/>
        <v>#DIV/0!</v>
      </c>
      <c r="J987" s="20" t="str">
        <f ca="1">IFERROR(__xludf.DUMMYFUNCTION("IF(OR($I987=2, $I987=3), 0, IFERROR(COUNTIFS($C$2:C987, $C987, $A$2:A987, ""&gt;""&amp;IFERROR(MAX(FILTER($A$2:A987, $C$2:C987=$C987, $I$2:I987&lt;&gt;1)), 0), $I$2:I987, 1),1))
"),"#DIV/0!")</f>
        <v>#DIV/0!</v>
      </c>
      <c r="K987" s="7" t="e">
        <f t="shared" ca="1" si="17"/>
        <v>#DIV/0!</v>
      </c>
      <c r="L987" s="20" t="e">
        <f t="shared" ca="1" si="18"/>
        <v>#DIV/0!</v>
      </c>
      <c r="M987" s="21" t="e">
        <f t="shared" ca="1" si="19"/>
        <v>#DIV/0!</v>
      </c>
      <c r="N987" s="20" t="str">
        <f ca="1">IFERROR(__xludf.DUMMYFUNCTION("IF(COUNTIFS($C$2:C987, C987, $A$2:A987, ""&lt;="" &amp; A987) &lt; 30, STDEV.P(FILTER($G$2:G987, $C$2:C987 = C987)), STDEV.P(FILTER($G$2:G987, $C$2:C987 = C987, $A$2:A987 &gt;= A987 - 30)))
"),"#DIV/0!")</f>
        <v>#DIV/0!</v>
      </c>
    </row>
    <row r="988" spans="1:14" x14ac:dyDescent="0.2">
      <c r="A988" s="41"/>
      <c r="B988" s="32"/>
      <c r="C988" s="32"/>
      <c r="D988" s="33"/>
      <c r="E988" s="33"/>
      <c r="F988" s="33"/>
      <c r="G988" s="19" t="e">
        <f t="shared" si="15"/>
        <v>#DIV/0!</v>
      </c>
      <c r="H988" s="20" t="str">
        <f ca="1">IFERROR(__xludf.DUMMYFUNCTION("IF(COUNTIFS($C$2:C988, C988, $A$2:A988, ""&lt;="" &amp; A988) &lt; 30, AVERAGEIF($C$2:C988, C988, $G$2:G988), AVERAGE(FILTER($G$2:G988, $C$2:C988 = C988, $A$2:A988 &gt;= A988 - 30)))
"),"#DIV/0!")</f>
        <v>#DIV/0!</v>
      </c>
      <c r="I988" s="20" t="e">
        <f t="shared" ca="1" si="16"/>
        <v>#DIV/0!</v>
      </c>
      <c r="J988" s="20" t="str">
        <f ca="1">IFERROR(__xludf.DUMMYFUNCTION("IF(OR($I988=2, $I988=3), 0, IFERROR(COUNTIFS($C$2:C988, $C988, $A$2:A988, ""&gt;""&amp;IFERROR(MAX(FILTER($A$2:A988, $C$2:C988=$C988, $I$2:I988&lt;&gt;1)), 0), $I$2:I988, 1),1))
"),"#DIV/0!")</f>
        <v>#DIV/0!</v>
      </c>
      <c r="K988" s="7" t="e">
        <f t="shared" ca="1" si="17"/>
        <v>#DIV/0!</v>
      </c>
      <c r="L988" s="20" t="e">
        <f t="shared" ca="1" si="18"/>
        <v>#DIV/0!</v>
      </c>
      <c r="M988" s="21" t="e">
        <f t="shared" ca="1" si="19"/>
        <v>#DIV/0!</v>
      </c>
      <c r="N988" s="20" t="str">
        <f ca="1">IFERROR(__xludf.DUMMYFUNCTION("IF(COUNTIFS($C$2:C988, C988, $A$2:A988, ""&lt;="" &amp; A988) &lt; 30, STDEV.P(FILTER($G$2:G988, $C$2:C988 = C988)), STDEV.P(FILTER($G$2:G988, $C$2:C988 = C988, $A$2:A988 &gt;= A988 - 30)))
"),"#DIV/0!")</f>
        <v>#DIV/0!</v>
      </c>
    </row>
    <row r="989" spans="1:14" x14ac:dyDescent="0.2">
      <c r="A989" s="41"/>
      <c r="B989" s="32"/>
      <c r="C989" s="32"/>
      <c r="D989" s="33"/>
      <c r="E989" s="33"/>
      <c r="F989" s="33"/>
      <c r="G989" s="19" t="e">
        <f t="shared" si="15"/>
        <v>#DIV/0!</v>
      </c>
      <c r="H989" s="20" t="str">
        <f ca="1">IFERROR(__xludf.DUMMYFUNCTION("IF(COUNTIFS($C$2:C989, C989, $A$2:A989, ""&lt;="" &amp; A989) &lt; 30, AVERAGEIF($C$2:C989, C989, $G$2:G989), AVERAGE(FILTER($G$2:G989, $C$2:C989 = C989, $A$2:A989 &gt;= A989 - 30)))
"),"#DIV/0!")</f>
        <v>#DIV/0!</v>
      </c>
      <c r="I989" s="20" t="e">
        <f t="shared" ca="1" si="16"/>
        <v>#DIV/0!</v>
      </c>
      <c r="J989" s="20" t="str">
        <f ca="1">IFERROR(__xludf.DUMMYFUNCTION("IF(OR($I989=2, $I989=3), 0, IFERROR(COUNTIFS($C$2:C989, $C989, $A$2:A989, ""&gt;""&amp;IFERROR(MAX(FILTER($A$2:A989, $C$2:C989=$C989, $I$2:I989&lt;&gt;1)), 0), $I$2:I989, 1),1))
"),"#DIV/0!")</f>
        <v>#DIV/0!</v>
      </c>
      <c r="K989" s="7" t="e">
        <f t="shared" ca="1" si="17"/>
        <v>#DIV/0!</v>
      </c>
      <c r="L989" s="20" t="e">
        <f t="shared" ca="1" si="18"/>
        <v>#DIV/0!</v>
      </c>
      <c r="M989" s="21" t="e">
        <f t="shared" ca="1" si="19"/>
        <v>#DIV/0!</v>
      </c>
      <c r="N989" s="20" t="str">
        <f ca="1">IFERROR(__xludf.DUMMYFUNCTION("IF(COUNTIFS($C$2:C989, C989, $A$2:A989, ""&lt;="" &amp; A989) &lt; 30, STDEV.P(FILTER($G$2:G989, $C$2:C989 = C989)), STDEV.P(FILTER($G$2:G989, $C$2:C989 = C989, $A$2:A989 &gt;= A989 - 30)))
"),"#DIV/0!")</f>
        <v>#DIV/0!</v>
      </c>
    </row>
    <row r="990" spans="1:14" x14ac:dyDescent="0.2">
      <c r="A990" s="41"/>
      <c r="B990" s="32"/>
      <c r="C990" s="32"/>
      <c r="D990" s="33"/>
      <c r="E990" s="33"/>
      <c r="F990" s="33"/>
      <c r="G990" s="19" t="e">
        <f t="shared" si="15"/>
        <v>#DIV/0!</v>
      </c>
      <c r="H990" s="20" t="str">
        <f ca="1">IFERROR(__xludf.DUMMYFUNCTION("IF(COUNTIFS($C$2:C990, C990, $A$2:A990, ""&lt;="" &amp; A990) &lt; 30, AVERAGEIF($C$2:C990, C990, $G$2:G990), AVERAGE(FILTER($G$2:G990, $C$2:C990 = C990, $A$2:A990 &gt;= A990 - 30)))
"),"#DIV/0!")</f>
        <v>#DIV/0!</v>
      </c>
      <c r="I990" s="20" t="e">
        <f t="shared" ca="1" si="16"/>
        <v>#DIV/0!</v>
      </c>
      <c r="J990" s="20" t="str">
        <f ca="1">IFERROR(__xludf.DUMMYFUNCTION("IF(OR($I990=2, $I990=3), 0, IFERROR(COUNTIFS($C$2:C990, $C990, $A$2:A990, ""&gt;""&amp;IFERROR(MAX(FILTER($A$2:A990, $C$2:C990=$C990, $I$2:I990&lt;&gt;1)), 0), $I$2:I990, 1),1))
"),"#DIV/0!")</f>
        <v>#DIV/0!</v>
      </c>
      <c r="K990" s="7" t="e">
        <f t="shared" ca="1" si="17"/>
        <v>#DIV/0!</v>
      </c>
      <c r="L990" s="20" t="e">
        <f t="shared" ca="1" si="18"/>
        <v>#DIV/0!</v>
      </c>
      <c r="M990" s="21" t="e">
        <f t="shared" ca="1" si="19"/>
        <v>#DIV/0!</v>
      </c>
      <c r="N990" s="20" t="str">
        <f ca="1">IFERROR(__xludf.DUMMYFUNCTION("IF(COUNTIFS($C$2:C990, C990, $A$2:A990, ""&lt;="" &amp; A990) &lt; 30, STDEV.P(FILTER($G$2:G990, $C$2:C990 = C990)), STDEV.P(FILTER($G$2:G990, $C$2:C990 = C990, $A$2:A990 &gt;= A990 - 30)))
"),"#DIV/0!")</f>
        <v>#DIV/0!</v>
      </c>
    </row>
    <row r="991" spans="1:14" x14ac:dyDescent="0.2">
      <c r="A991" s="41"/>
      <c r="B991" s="32"/>
      <c r="C991" s="32"/>
      <c r="D991" s="33"/>
      <c r="E991" s="33"/>
      <c r="F991" s="33"/>
      <c r="G991" s="19" t="e">
        <f t="shared" si="15"/>
        <v>#DIV/0!</v>
      </c>
      <c r="H991" s="20" t="str">
        <f ca="1">IFERROR(__xludf.DUMMYFUNCTION("IF(COUNTIFS($C$2:C991, C991, $A$2:A991, ""&lt;="" &amp; A991) &lt; 30, AVERAGEIF($C$2:C991, C991, $G$2:G991), AVERAGE(FILTER($G$2:G991, $C$2:C991 = C991, $A$2:A991 &gt;= A991 - 30)))
"),"#DIV/0!")</f>
        <v>#DIV/0!</v>
      </c>
      <c r="I991" s="20" t="e">
        <f t="shared" ca="1" si="16"/>
        <v>#DIV/0!</v>
      </c>
      <c r="J991" s="20" t="str">
        <f ca="1">IFERROR(__xludf.DUMMYFUNCTION("IF(OR($I991=2, $I991=3), 0, IFERROR(COUNTIFS($C$2:C991, $C991, $A$2:A991, ""&gt;""&amp;IFERROR(MAX(FILTER($A$2:A991, $C$2:C991=$C991, $I$2:I991&lt;&gt;1)), 0), $I$2:I991, 1),1))
"),"#DIV/0!")</f>
        <v>#DIV/0!</v>
      </c>
      <c r="K991" s="7" t="e">
        <f t="shared" ca="1" si="17"/>
        <v>#DIV/0!</v>
      </c>
      <c r="L991" s="20" t="e">
        <f t="shared" ca="1" si="18"/>
        <v>#DIV/0!</v>
      </c>
      <c r="M991" s="21" t="e">
        <f t="shared" ca="1" si="19"/>
        <v>#DIV/0!</v>
      </c>
      <c r="N991" s="20" t="str">
        <f ca="1">IFERROR(__xludf.DUMMYFUNCTION("IF(COUNTIFS($C$2:C991, C991, $A$2:A991, ""&lt;="" &amp; A991) &lt; 30, STDEV.P(FILTER($G$2:G991, $C$2:C991 = C991)), STDEV.P(FILTER($G$2:G991, $C$2:C991 = C991, $A$2:A991 &gt;= A991 - 30)))
"),"#DIV/0!")</f>
        <v>#DIV/0!</v>
      </c>
    </row>
    <row r="992" spans="1:14" x14ac:dyDescent="0.2">
      <c r="A992" s="41"/>
      <c r="B992" s="32"/>
      <c r="C992" s="32"/>
      <c r="D992" s="33"/>
      <c r="E992" s="33"/>
      <c r="F992" s="33"/>
      <c r="G992" s="19" t="e">
        <f t="shared" si="15"/>
        <v>#DIV/0!</v>
      </c>
      <c r="H992" s="20" t="str">
        <f ca="1">IFERROR(__xludf.DUMMYFUNCTION("IF(COUNTIFS($C$2:C992, C992, $A$2:A992, ""&lt;="" &amp; A992) &lt; 30, AVERAGEIF($C$2:C992, C992, $G$2:G992), AVERAGE(FILTER($G$2:G992, $C$2:C992 = C992, $A$2:A992 &gt;= A992 - 30)))
"),"#DIV/0!")</f>
        <v>#DIV/0!</v>
      </c>
      <c r="I992" s="20" t="e">
        <f t="shared" ca="1" si="16"/>
        <v>#DIV/0!</v>
      </c>
      <c r="J992" s="20" t="str">
        <f ca="1">IFERROR(__xludf.DUMMYFUNCTION("IF(OR($I992=2, $I992=3), 0, IFERROR(COUNTIFS($C$2:C992, $C992, $A$2:A992, ""&gt;""&amp;IFERROR(MAX(FILTER($A$2:A992, $C$2:C992=$C992, $I$2:I992&lt;&gt;1)), 0), $I$2:I992, 1),1))
"),"#DIV/0!")</f>
        <v>#DIV/0!</v>
      </c>
      <c r="K992" s="7" t="e">
        <f t="shared" ca="1" si="17"/>
        <v>#DIV/0!</v>
      </c>
      <c r="L992" s="20" t="e">
        <f t="shared" ca="1" si="18"/>
        <v>#DIV/0!</v>
      </c>
      <c r="M992" s="21" t="e">
        <f t="shared" ca="1" si="19"/>
        <v>#DIV/0!</v>
      </c>
      <c r="N992" s="20" t="str">
        <f ca="1">IFERROR(__xludf.DUMMYFUNCTION("IF(COUNTIFS($C$2:C992, C992, $A$2:A992, ""&lt;="" &amp; A992) &lt; 30, STDEV.P(FILTER($G$2:G992, $C$2:C992 = C992)), STDEV.P(FILTER($G$2:G992, $C$2:C992 = C992, $A$2:A992 &gt;= A992 - 30)))
"),"#DIV/0!")</f>
        <v>#DIV/0!</v>
      </c>
    </row>
    <row r="993" spans="1:14" x14ac:dyDescent="0.2">
      <c r="A993" s="41"/>
      <c r="B993" s="32"/>
      <c r="C993" s="32"/>
      <c r="D993" s="33"/>
      <c r="E993" s="33"/>
      <c r="F993" s="33"/>
      <c r="G993" s="19" t="e">
        <f t="shared" si="15"/>
        <v>#DIV/0!</v>
      </c>
      <c r="H993" s="20" t="str">
        <f ca="1">IFERROR(__xludf.DUMMYFUNCTION("IF(COUNTIFS($C$2:C993, C993, $A$2:A993, ""&lt;="" &amp; A993) &lt; 30, AVERAGEIF($C$2:C993, C993, $G$2:G993), AVERAGE(FILTER($G$2:G993, $C$2:C993 = C993, $A$2:A993 &gt;= A993 - 30)))
"),"#DIV/0!")</f>
        <v>#DIV/0!</v>
      </c>
      <c r="I993" s="20" t="e">
        <f t="shared" ca="1" si="16"/>
        <v>#DIV/0!</v>
      </c>
      <c r="J993" s="20" t="str">
        <f ca="1">IFERROR(__xludf.DUMMYFUNCTION("IF(OR($I993=2, $I993=3), 0, IFERROR(COUNTIFS($C$2:C993, $C993, $A$2:A993, ""&gt;""&amp;IFERROR(MAX(FILTER($A$2:A993, $C$2:C993=$C993, $I$2:I993&lt;&gt;1)), 0), $I$2:I993, 1),1))
"),"#DIV/0!")</f>
        <v>#DIV/0!</v>
      </c>
      <c r="K993" s="7" t="e">
        <f t="shared" ca="1" si="17"/>
        <v>#DIV/0!</v>
      </c>
      <c r="L993" s="20" t="e">
        <f t="shared" ca="1" si="18"/>
        <v>#DIV/0!</v>
      </c>
      <c r="M993" s="21" t="e">
        <f t="shared" ca="1" si="19"/>
        <v>#DIV/0!</v>
      </c>
      <c r="N993" s="20" t="str">
        <f ca="1">IFERROR(__xludf.DUMMYFUNCTION("IF(COUNTIFS($C$2:C993, C993, $A$2:A993, ""&lt;="" &amp; A993) &lt; 30, STDEV.P(FILTER($G$2:G993, $C$2:C993 = C993)), STDEV.P(FILTER($G$2:G993, $C$2:C993 = C993, $A$2:A993 &gt;= A993 - 30)))
"),"#DIV/0!")</f>
        <v>#DIV/0!</v>
      </c>
    </row>
    <row r="994" spans="1:14" x14ac:dyDescent="0.2">
      <c r="A994" s="41"/>
      <c r="B994" s="32"/>
      <c r="C994" s="32"/>
      <c r="D994" s="33"/>
      <c r="E994" s="33"/>
      <c r="F994" s="33"/>
      <c r="G994" s="19" t="e">
        <f t="shared" si="15"/>
        <v>#DIV/0!</v>
      </c>
      <c r="H994" s="20" t="str">
        <f ca="1">IFERROR(__xludf.DUMMYFUNCTION("IF(COUNTIFS($C$2:C994, C994, $A$2:A994, ""&lt;="" &amp; A994) &lt; 30, AVERAGEIF($C$2:C994, C994, $G$2:G994), AVERAGE(FILTER($G$2:G994, $C$2:C994 = C994, $A$2:A994 &gt;= A994 - 30)))
"),"#DIV/0!")</f>
        <v>#DIV/0!</v>
      </c>
      <c r="I994" s="20" t="e">
        <f t="shared" ca="1" si="16"/>
        <v>#DIV/0!</v>
      </c>
      <c r="J994" s="20" t="str">
        <f ca="1">IFERROR(__xludf.DUMMYFUNCTION("IF(OR($I994=2, $I994=3), 0, IFERROR(COUNTIFS($C$2:C994, $C994, $A$2:A994, ""&gt;""&amp;IFERROR(MAX(FILTER($A$2:A994, $C$2:C994=$C994, $I$2:I994&lt;&gt;1)), 0), $I$2:I994, 1),1))
"),"#DIV/0!")</f>
        <v>#DIV/0!</v>
      </c>
      <c r="K994" s="7" t="e">
        <f t="shared" ca="1" si="17"/>
        <v>#DIV/0!</v>
      </c>
      <c r="L994" s="20" t="e">
        <f t="shared" ca="1" si="18"/>
        <v>#DIV/0!</v>
      </c>
      <c r="M994" s="21" t="e">
        <f t="shared" ca="1" si="19"/>
        <v>#DIV/0!</v>
      </c>
      <c r="N994" s="20" t="str">
        <f ca="1">IFERROR(__xludf.DUMMYFUNCTION("IF(COUNTIFS($C$2:C994, C994, $A$2:A994, ""&lt;="" &amp; A994) &lt; 30, STDEV.P(FILTER($G$2:G994, $C$2:C994 = C994)), STDEV.P(FILTER($G$2:G994, $C$2:C994 = C994, $A$2:A994 &gt;= A994 - 30)))
"),"#DIV/0!")</f>
        <v>#DIV/0!</v>
      </c>
    </row>
    <row r="995" spans="1:14" x14ac:dyDescent="0.2">
      <c r="A995" s="41"/>
      <c r="B995" s="32"/>
      <c r="C995" s="32"/>
      <c r="D995" s="33"/>
      <c r="E995" s="33"/>
      <c r="F995" s="33"/>
      <c r="G995" s="19" t="e">
        <f t="shared" si="15"/>
        <v>#DIV/0!</v>
      </c>
      <c r="H995" s="20" t="str">
        <f ca="1">IFERROR(__xludf.DUMMYFUNCTION("IF(COUNTIFS($C$2:C995, C995, $A$2:A995, ""&lt;="" &amp; A995) &lt; 30, AVERAGEIF($C$2:C995, C995, $G$2:G995), AVERAGE(FILTER($G$2:G995, $C$2:C995 = C995, $A$2:A995 &gt;= A995 - 30)))
"),"#DIV/0!")</f>
        <v>#DIV/0!</v>
      </c>
      <c r="I995" s="20" t="e">
        <f t="shared" ca="1" si="16"/>
        <v>#DIV/0!</v>
      </c>
      <c r="J995" s="20" t="str">
        <f ca="1">IFERROR(__xludf.DUMMYFUNCTION("IF(OR($I995=2, $I995=3), 0, IFERROR(COUNTIFS($C$2:C995, $C995, $A$2:A995, ""&gt;""&amp;IFERROR(MAX(FILTER($A$2:A995, $C$2:C995=$C995, $I$2:I995&lt;&gt;1)), 0), $I$2:I995, 1),1))
"),"#DIV/0!")</f>
        <v>#DIV/0!</v>
      </c>
      <c r="K995" s="7" t="e">
        <f t="shared" ca="1" si="17"/>
        <v>#DIV/0!</v>
      </c>
      <c r="L995" s="20" t="e">
        <f t="shared" ca="1" si="18"/>
        <v>#DIV/0!</v>
      </c>
      <c r="M995" s="21" t="e">
        <f t="shared" ca="1" si="19"/>
        <v>#DIV/0!</v>
      </c>
      <c r="N995" s="20" t="str">
        <f ca="1">IFERROR(__xludf.DUMMYFUNCTION("IF(COUNTIFS($C$2:C995, C995, $A$2:A995, ""&lt;="" &amp; A995) &lt; 30, STDEV.P(FILTER($G$2:G995, $C$2:C995 = C995)), STDEV.P(FILTER($G$2:G995, $C$2:C995 = C995, $A$2:A995 &gt;= A995 - 30)))
"),"#DIV/0!")</f>
        <v>#DIV/0!</v>
      </c>
    </row>
    <row r="996" spans="1:14" x14ac:dyDescent="0.2">
      <c r="A996" s="41"/>
      <c r="B996" s="40"/>
      <c r="C996" s="40"/>
      <c r="D996" s="31"/>
      <c r="E996" s="31"/>
      <c r="F996" s="31"/>
      <c r="G996" s="19" t="e">
        <f t="shared" si="15"/>
        <v>#DIV/0!</v>
      </c>
      <c r="H996" s="20" t="str">
        <f ca="1">IFERROR(__xludf.DUMMYFUNCTION("IF(COUNTIFS($C$2:C996, C996, $A$2:A996, ""&lt;="" &amp; A996) &lt; 30, AVERAGEIF($C$2:C996, C996, $G$2:G996), AVERAGE(FILTER($G$2:G996, $C$2:C996 = C996, $A$2:A996 &gt;= A996 - 30)))
"),"#DIV/0!")</f>
        <v>#DIV/0!</v>
      </c>
      <c r="I996" s="20" t="e">
        <f t="shared" ca="1" si="16"/>
        <v>#DIV/0!</v>
      </c>
      <c r="J996" s="20" t="str">
        <f ca="1">IFERROR(__xludf.DUMMYFUNCTION("IF(OR($I996=2, $I996=3), 0, IFERROR(COUNTIFS($C$2:C996, $C996, $A$2:A996, ""&gt;""&amp;IFERROR(MAX(FILTER($A$2:A996, $C$2:C996=$C996, $I$2:I996&lt;&gt;1)), 0), $I$2:I996, 1),1))
"),"#DIV/0!")</f>
        <v>#DIV/0!</v>
      </c>
      <c r="K996" s="7" t="e">
        <f t="shared" ca="1" si="17"/>
        <v>#DIV/0!</v>
      </c>
      <c r="L996" s="20" t="e">
        <f t="shared" ca="1" si="18"/>
        <v>#DIV/0!</v>
      </c>
      <c r="M996" s="21" t="e">
        <f t="shared" ca="1" si="19"/>
        <v>#DIV/0!</v>
      </c>
      <c r="N996" s="20" t="str">
        <f ca="1">IFERROR(__xludf.DUMMYFUNCTION("IF(COUNTIFS($C$2:C996, C996, $A$2:A996, ""&lt;="" &amp; A996) &lt; 30, STDEV.P(FILTER($G$2:G996, $C$2:C996 = C996)), STDEV.P(FILTER($G$2:G996, $C$2:C996 = C996, $A$2:A996 &gt;= A996 - 30)))
"),"#DIV/0!")</f>
        <v>#DIV/0!</v>
      </c>
    </row>
    <row r="997" spans="1:14" x14ac:dyDescent="0.2">
      <c r="A997" s="41"/>
      <c r="B997" s="40"/>
      <c r="C997" s="40"/>
      <c r="D997" s="31"/>
      <c r="E997" s="31"/>
      <c r="F997" s="31"/>
      <c r="G997" s="19" t="e">
        <f t="shared" si="15"/>
        <v>#DIV/0!</v>
      </c>
      <c r="H997" s="20" t="str">
        <f ca="1">IFERROR(__xludf.DUMMYFUNCTION("IF(COUNTIFS($C$2:C997, C997, $A$2:A997, ""&lt;="" &amp; A997) &lt; 30, AVERAGEIF($C$2:C997, C997, $G$2:G997), AVERAGE(FILTER($G$2:G997, $C$2:C997 = C997, $A$2:A997 &gt;= A997 - 30)))
"),"#DIV/0!")</f>
        <v>#DIV/0!</v>
      </c>
      <c r="I997" s="20" t="e">
        <f t="shared" ca="1" si="16"/>
        <v>#DIV/0!</v>
      </c>
      <c r="J997" s="20" t="str">
        <f ca="1">IFERROR(__xludf.DUMMYFUNCTION("IF(OR($I997=2, $I997=3), 0, IFERROR(COUNTIFS($C$2:C997, $C997, $A$2:A997, ""&gt;""&amp;IFERROR(MAX(FILTER($A$2:A997, $C$2:C997=$C997, $I$2:I997&lt;&gt;1)), 0), $I$2:I997, 1),1))
"),"#DIV/0!")</f>
        <v>#DIV/0!</v>
      </c>
      <c r="K997" s="7" t="e">
        <f t="shared" ca="1" si="17"/>
        <v>#DIV/0!</v>
      </c>
      <c r="L997" s="20" t="e">
        <f t="shared" ca="1" si="18"/>
        <v>#DIV/0!</v>
      </c>
      <c r="M997" s="21" t="e">
        <f t="shared" ca="1" si="19"/>
        <v>#DIV/0!</v>
      </c>
      <c r="N997" s="20" t="str">
        <f ca="1">IFERROR(__xludf.DUMMYFUNCTION("IF(COUNTIFS($C$2:C997, C997, $A$2:A997, ""&lt;="" &amp; A997) &lt; 30, STDEV.P(FILTER($G$2:G997, $C$2:C997 = C997)), STDEV.P(FILTER($G$2:G997, $C$2:C997 = C997, $A$2:A997 &gt;= A997 - 30)))
"),"#DIV/0!")</f>
        <v>#DIV/0!</v>
      </c>
    </row>
    <row r="998" spans="1:14" x14ac:dyDescent="0.2">
      <c r="A998" s="41"/>
      <c r="B998" s="40"/>
      <c r="C998" s="40"/>
      <c r="D998" s="31"/>
      <c r="E998" s="31"/>
      <c r="F998" s="31"/>
      <c r="G998" s="19" t="e">
        <f t="shared" si="15"/>
        <v>#DIV/0!</v>
      </c>
      <c r="H998" s="20" t="str">
        <f ca="1">IFERROR(__xludf.DUMMYFUNCTION("IF(COUNTIFS($C$2:C998, C998, $A$2:A998, ""&lt;="" &amp; A998) &lt; 30, AVERAGEIF($C$2:C998, C998, $G$2:G998), AVERAGE(FILTER($G$2:G998, $C$2:C998 = C998, $A$2:A998 &gt;= A998 - 30)))
"),"#DIV/0!")</f>
        <v>#DIV/0!</v>
      </c>
      <c r="I998" s="20" t="e">
        <f t="shared" ca="1" si="16"/>
        <v>#DIV/0!</v>
      </c>
      <c r="J998" s="20" t="str">
        <f ca="1">IFERROR(__xludf.DUMMYFUNCTION("IF(OR($I998=2, $I998=3), 0, IFERROR(COUNTIFS($C$2:C998, $C998, $A$2:A998, ""&gt;""&amp;IFERROR(MAX(FILTER($A$2:A998, $C$2:C998=$C998, $I$2:I998&lt;&gt;1)), 0), $I$2:I998, 1),1))
"),"#DIV/0!")</f>
        <v>#DIV/0!</v>
      </c>
      <c r="K998" s="7" t="e">
        <f t="shared" ca="1" si="17"/>
        <v>#DIV/0!</v>
      </c>
      <c r="L998" s="20" t="e">
        <f t="shared" ca="1" si="18"/>
        <v>#DIV/0!</v>
      </c>
      <c r="M998" s="21" t="e">
        <f t="shared" ca="1" si="19"/>
        <v>#DIV/0!</v>
      </c>
      <c r="N998" s="20" t="str">
        <f ca="1">IFERROR(__xludf.DUMMYFUNCTION("IF(COUNTIFS($C$2:C998, C998, $A$2:A998, ""&lt;="" &amp; A998) &lt; 30, STDEV.P(FILTER($G$2:G998, $C$2:C998 = C998)), STDEV.P(FILTER($G$2:G998, $C$2:C998 = C998, $A$2:A998 &gt;= A998 - 30)))
"),"#DIV/0!")</f>
        <v>#DIV/0!</v>
      </c>
    </row>
    <row r="999" spans="1:14" x14ac:dyDescent="0.2">
      <c r="A999" s="41"/>
      <c r="B999" s="40"/>
      <c r="C999" s="40"/>
      <c r="D999" s="31"/>
      <c r="E999" s="31"/>
      <c r="F999" s="31"/>
      <c r="G999" s="19" t="e">
        <f t="shared" si="15"/>
        <v>#DIV/0!</v>
      </c>
      <c r="H999" s="20" t="str">
        <f ca="1">IFERROR(__xludf.DUMMYFUNCTION("IF(COUNTIFS($C$2:C999, C999, $A$2:A999, ""&lt;="" &amp; A999) &lt; 30, AVERAGEIF($C$2:C999, C999, $G$2:G999), AVERAGE(FILTER($G$2:G999, $C$2:C999 = C999, $A$2:A999 &gt;= A999 - 30)))
"),"#DIV/0!")</f>
        <v>#DIV/0!</v>
      </c>
      <c r="I999" s="20" t="e">
        <f t="shared" ca="1" si="16"/>
        <v>#DIV/0!</v>
      </c>
      <c r="J999" s="20" t="str">
        <f ca="1">IFERROR(__xludf.DUMMYFUNCTION("IF(OR($I999=2, $I999=3), 0, IFERROR(COUNTIFS($C$2:C999, $C999, $A$2:A999, ""&gt;""&amp;IFERROR(MAX(FILTER($A$2:A999, $C$2:C999=$C999, $I$2:I999&lt;&gt;1)), 0), $I$2:I999, 1),1))
"),"#DIV/0!")</f>
        <v>#DIV/0!</v>
      </c>
      <c r="K999" s="7" t="e">
        <f t="shared" ca="1" si="17"/>
        <v>#DIV/0!</v>
      </c>
      <c r="L999" s="20" t="e">
        <f t="shared" ca="1" si="18"/>
        <v>#DIV/0!</v>
      </c>
      <c r="M999" s="21" t="e">
        <f t="shared" ca="1" si="19"/>
        <v>#DIV/0!</v>
      </c>
      <c r="N999" s="20" t="str">
        <f ca="1">IFERROR(__xludf.DUMMYFUNCTION("IF(COUNTIFS($C$2:C999, C999, $A$2:A999, ""&lt;="" &amp; A999) &lt; 30, STDEV.P(FILTER($G$2:G999, $C$2:C999 = C999)), STDEV.P(FILTER($G$2:G999, $C$2:C999 = C999, $A$2:A999 &gt;= A999 - 30)))
"),"#DIV/0!")</f>
        <v>#DIV/0!</v>
      </c>
    </row>
    <row r="1000" spans="1:14" x14ac:dyDescent="0.2">
      <c r="A1000" s="41"/>
      <c r="B1000" s="40"/>
      <c r="C1000" s="40"/>
      <c r="D1000" s="31"/>
      <c r="E1000" s="31"/>
      <c r="F1000" s="31"/>
      <c r="G1000" s="19" t="e">
        <f t="shared" si="15"/>
        <v>#DIV/0!</v>
      </c>
      <c r="H1000" s="20" t="str">
        <f ca="1">IFERROR(__xludf.DUMMYFUNCTION("IF(COUNTIFS($C$2:C1000, C1000, $A$2:A1000, ""&lt;="" &amp; A1000) &lt; 30, AVERAGEIF($C$2:C1000, C1000, $G$2:G1000), AVERAGE(FILTER($G$2:G1000, $C$2:C1000 = C1000, $A$2:A1000 &gt;= A1000 - 30)))
"),"#DIV/0!")</f>
        <v>#DIV/0!</v>
      </c>
      <c r="I1000" s="20" t="e">
        <f t="shared" ca="1" si="16"/>
        <v>#DIV/0!</v>
      </c>
      <c r="J1000" s="20" t="str">
        <f ca="1">IFERROR(__xludf.DUMMYFUNCTION("IF(OR($I1000=2, $I1000=3), 0, IFERROR(COUNTIFS($C$2:C1000, $C1000, $A$2:A1000, ""&gt;""&amp;IFERROR(MAX(FILTER($A$2:A1000, $C$2:C1000=$C1000, $I$2:I1000&lt;&gt;1)), 0), $I$2:I1000, 1),1))
"),"#DIV/0!")</f>
        <v>#DIV/0!</v>
      </c>
      <c r="K1000" s="7" t="e">
        <f t="shared" ca="1" si="17"/>
        <v>#DIV/0!</v>
      </c>
      <c r="L1000" s="20" t="e">
        <f t="shared" ca="1" si="18"/>
        <v>#DIV/0!</v>
      </c>
      <c r="M1000" s="21" t="e">
        <f t="shared" ca="1" si="19"/>
        <v>#DIV/0!</v>
      </c>
      <c r="N1000" s="20" t="str">
        <f ca="1">IFERROR(__xludf.DUMMYFUNCTION("IF(COUNTIFS($C$2:C1000, C1000, $A$2:A1000, ""&lt;="" &amp; A1000) &lt; 30, STDEV.P(FILTER($G$2:G1000, $C$2:C1000 = C1000)), STDEV.P(FILTER($G$2:G1000, $C$2:C1000 = C1000, $A$2:A1000 &gt;= A1000 - 30)))
"),"#DIV/0!")</f>
        <v>#DIV/0!</v>
      </c>
    </row>
    <row r="1001" spans="1:14" x14ac:dyDescent="0.2">
      <c r="A1001" s="41"/>
      <c r="B1001" s="40"/>
      <c r="C1001" s="40"/>
      <c r="D1001" s="31"/>
      <c r="E1001" s="31"/>
      <c r="F1001" s="31"/>
      <c r="G1001" s="19" t="e">
        <f t="shared" si="15"/>
        <v>#DIV/0!</v>
      </c>
      <c r="H1001" s="20" t="str">
        <f ca="1">IFERROR(__xludf.DUMMYFUNCTION("IF(COUNTIFS($C$2:C1001, C1001, $A$2:A1001, ""&lt;="" &amp; A1001) &lt; 30, AVERAGEIF($C$2:C1001, C1001, $G$2:G1001), AVERAGE(FILTER($G$2:G1001, $C$2:C1001 = C1001, $A$2:A1001 &gt;= A1001 - 30)))
"),"#DIV/0!")</f>
        <v>#DIV/0!</v>
      </c>
      <c r="I1001" s="20" t="e">
        <f t="shared" ca="1" si="16"/>
        <v>#DIV/0!</v>
      </c>
      <c r="J1001" s="20" t="str">
        <f ca="1">IFERROR(__xludf.DUMMYFUNCTION("IF(OR($I1001=2, $I1001=3), 0, IFERROR(COUNTIFS($C$2:C1001, $C1001, $A$2:A1001, ""&gt;""&amp;IFERROR(MAX(FILTER($A$2:A1001, $C$2:C1001=$C1001, $I$2:I1001&lt;&gt;1)), 0), $I$2:I1001, 1),1))
"),"#DIV/0!")</f>
        <v>#DIV/0!</v>
      </c>
      <c r="K1001" s="7" t="e">
        <f t="shared" ca="1" si="17"/>
        <v>#DIV/0!</v>
      </c>
      <c r="L1001" s="20" t="e">
        <f t="shared" ca="1" si="18"/>
        <v>#DIV/0!</v>
      </c>
      <c r="M1001" s="21" t="e">
        <f t="shared" ca="1" si="19"/>
        <v>#DIV/0!</v>
      </c>
      <c r="N1001" s="20" t="str">
        <f ca="1">IFERROR(__xludf.DUMMYFUNCTION("IF(COUNTIFS($C$2:C1001, C1001, $A$2:A1001, ""&lt;="" &amp; A1001) &lt; 30, STDEV.P(FILTER($G$2:G1001, $C$2:C1001 = C1001)), STDEV.P(FILTER($G$2:G1001, $C$2:C1001 = C1001, $A$2:A1001 &gt;= A1001 - 30)))
"),"#DIV/0!")</f>
        <v>#DIV/0!</v>
      </c>
    </row>
    <row r="1002" spans="1:14" x14ac:dyDescent="0.2">
      <c r="A1002" s="41"/>
      <c r="B1002" s="32"/>
      <c r="C1002" s="32"/>
      <c r="D1002" s="33"/>
      <c r="E1002" s="33"/>
      <c r="F1002" s="33"/>
      <c r="G1002" s="19" t="e">
        <f t="shared" si="15"/>
        <v>#DIV/0!</v>
      </c>
      <c r="H1002" s="20" t="str">
        <f ca="1">IFERROR(__xludf.DUMMYFUNCTION("IF(COUNTIFS($C$2:C1002, C1002, $A$2:A1002, ""&lt;="" &amp; A1002) &lt; 30, AVERAGEIF($C$2:C1002, C1002, $G$2:G1002), AVERAGE(FILTER($G$2:G1002, $C$2:C1002 = C1002, $A$2:A1002 &gt;= A1002 - 30)))
"),"#DIV/0!")</f>
        <v>#DIV/0!</v>
      </c>
      <c r="I1002" s="20" t="e">
        <f t="shared" ca="1" si="16"/>
        <v>#DIV/0!</v>
      </c>
      <c r="J1002" s="20" t="str">
        <f ca="1">IFERROR(__xludf.DUMMYFUNCTION("IF(OR($I1002=2, $I1002=3), 0, IFERROR(COUNTIFS($C$2:C1002, $C1002, $A$2:A1002, ""&gt;""&amp;IFERROR(MAX(FILTER($A$2:A1002, $C$2:C1002=$C1002, $I$2:I1002&lt;&gt;1)), 0), $I$2:I1002, 1),1))
"),"#DIV/0!")</f>
        <v>#DIV/0!</v>
      </c>
      <c r="K1002" s="7" t="e">
        <f t="shared" ca="1" si="17"/>
        <v>#DIV/0!</v>
      </c>
      <c r="L1002" s="20" t="e">
        <f t="shared" ca="1" si="18"/>
        <v>#DIV/0!</v>
      </c>
      <c r="M1002" s="21" t="e">
        <f t="shared" ca="1" si="19"/>
        <v>#DIV/0!</v>
      </c>
      <c r="N1002" s="20" t="str">
        <f ca="1">IFERROR(__xludf.DUMMYFUNCTION("IF(COUNTIFS($C$2:C1002, C1002, $A$2:A1002, ""&lt;="" &amp; A1002) &lt; 30, STDEV.P(FILTER($G$2:G1002, $C$2:C1002 = C1002)), STDEV.P(FILTER($G$2:G1002, $C$2:C1002 = C1002, $A$2:A1002 &gt;= A1002 - 30)))
"),"#DIV/0!")</f>
        <v>#DIV/0!</v>
      </c>
    </row>
    <row r="1003" spans="1:14" x14ac:dyDescent="0.2">
      <c r="A1003" s="41"/>
      <c r="B1003" s="32"/>
      <c r="C1003" s="32"/>
      <c r="D1003" s="33"/>
      <c r="E1003" s="33"/>
      <c r="F1003" s="33"/>
      <c r="G1003" s="19" t="e">
        <f t="shared" si="15"/>
        <v>#DIV/0!</v>
      </c>
      <c r="H1003" s="20" t="str">
        <f ca="1">IFERROR(__xludf.DUMMYFUNCTION("IF(COUNTIFS($C$2:C1003, C1003, $A$2:A1003, ""&lt;="" &amp; A1003) &lt; 30, AVERAGEIF($C$2:C1003, C1003, $G$2:G1003), AVERAGE(FILTER($G$2:G1003, $C$2:C1003 = C1003, $A$2:A1003 &gt;= A1003 - 30)))
"),"#DIV/0!")</f>
        <v>#DIV/0!</v>
      </c>
      <c r="I1003" s="20" t="e">
        <f t="shared" ca="1" si="16"/>
        <v>#DIV/0!</v>
      </c>
      <c r="J1003" s="20" t="str">
        <f ca="1">IFERROR(__xludf.DUMMYFUNCTION("IF(OR($I1003=2, $I1003=3), 0, IFERROR(COUNTIFS($C$2:C1003, $C1003, $A$2:A1003, ""&gt;""&amp;IFERROR(MAX(FILTER($A$2:A1003, $C$2:C1003=$C1003, $I$2:I1003&lt;&gt;1)), 0), $I$2:I1003, 1),1))
"),"#DIV/0!")</f>
        <v>#DIV/0!</v>
      </c>
      <c r="K1003" s="7" t="e">
        <f t="shared" ca="1" si="17"/>
        <v>#DIV/0!</v>
      </c>
      <c r="L1003" s="20" t="e">
        <f t="shared" ca="1" si="18"/>
        <v>#DIV/0!</v>
      </c>
      <c r="M1003" s="21" t="e">
        <f t="shared" ca="1" si="19"/>
        <v>#DIV/0!</v>
      </c>
      <c r="N1003" s="20" t="str">
        <f ca="1">IFERROR(__xludf.DUMMYFUNCTION("IF(COUNTIFS($C$2:C1003, C1003, $A$2:A1003, ""&lt;="" &amp; A1003) &lt; 30, STDEV.P(FILTER($G$2:G1003, $C$2:C1003 = C1003)), STDEV.P(FILTER($G$2:G1003, $C$2:C1003 = C1003, $A$2:A1003 &gt;= A1003 - 30)))
"),"#DIV/0!")</f>
        <v>#DIV/0!</v>
      </c>
    </row>
    <row r="1004" spans="1:14" x14ac:dyDescent="0.2">
      <c r="A1004" s="41"/>
      <c r="B1004" s="32"/>
      <c r="C1004" s="32"/>
      <c r="D1004" s="33"/>
      <c r="E1004" s="33"/>
      <c r="F1004" s="33"/>
      <c r="G1004" s="19" t="e">
        <f t="shared" si="15"/>
        <v>#DIV/0!</v>
      </c>
      <c r="H1004" s="20" t="str">
        <f ca="1">IFERROR(__xludf.DUMMYFUNCTION("IF(COUNTIFS($C$2:C1004, C1004, $A$2:A1004, ""&lt;="" &amp; A1004) &lt; 30, AVERAGEIF($C$2:C1004, C1004, $G$2:G1004), AVERAGE(FILTER($G$2:G1004, $C$2:C1004 = C1004, $A$2:A1004 &gt;= A1004 - 30)))
"),"#DIV/0!")</f>
        <v>#DIV/0!</v>
      </c>
      <c r="I1004" s="20" t="e">
        <f t="shared" ca="1" si="16"/>
        <v>#DIV/0!</v>
      </c>
      <c r="J1004" s="20" t="str">
        <f ca="1">IFERROR(__xludf.DUMMYFUNCTION("IF(OR($I1004=2, $I1004=3), 0, IFERROR(COUNTIFS($C$2:C1004, $C1004, $A$2:A1004, ""&gt;""&amp;IFERROR(MAX(FILTER($A$2:A1004, $C$2:C1004=$C1004, $I$2:I1004&lt;&gt;1)), 0), $I$2:I1004, 1),1))
"),"#DIV/0!")</f>
        <v>#DIV/0!</v>
      </c>
      <c r="K1004" s="7" t="e">
        <f t="shared" ca="1" si="17"/>
        <v>#DIV/0!</v>
      </c>
      <c r="L1004" s="20" t="e">
        <f t="shared" ca="1" si="18"/>
        <v>#DIV/0!</v>
      </c>
      <c r="M1004" s="21" t="e">
        <f t="shared" ca="1" si="19"/>
        <v>#DIV/0!</v>
      </c>
      <c r="N1004" s="20" t="str">
        <f ca="1">IFERROR(__xludf.DUMMYFUNCTION("IF(COUNTIFS($C$2:C1004, C1004, $A$2:A1004, ""&lt;="" &amp; A1004) &lt; 30, STDEV.P(FILTER($G$2:G1004, $C$2:C1004 = C1004)), STDEV.P(FILTER($G$2:G1004, $C$2:C1004 = C1004, $A$2:A1004 &gt;= A1004 - 30)))
"),"#DIV/0!")</f>
        <v>#DIV/0!</v>
      </c>
    </row>
    <row r="1005" spans="1:14" x14ac:dyDescent="0.2">
      <c r="A1005" s="41"/>
      <c r="B1005" s="32"/>
      <c r="C1005" s="32"/>
      <c r="D1005" s="33"/>
      <c r="E1005" s="33"/>
      <c r="F1005" s="33"/>
      <c r="G1005" s="19" t="e">
        <f t="shared" si="15"/>
        <v>#DIV/0!</v>
      </c>
      <c r="H1005" s="20" t="str">
        <f ca="1">IFERROR(__xludf.DUMMYFUNCTION("IF(COUNTIFS($C$2:C1005, C1005, $A$2:A1005, ""&lt;="" &amp; A1005) &lt; 30, AVERAGEIF($C$2:C1005, C1005, $G$2:G1005), AVERAGE(FILTER($G$2:G1005, $C$2:C1005 = C1005, $A$2:A1005 &gt;= A1005 - 30)))
"),"#DIV/0!")</f>
        <v>#DIV/0!</v>
      </c>
      <c r="I1005" s="20" t="e">
        <f t="shared" ca="1" si="16"/>
        <v>#DIV/0!</v>
      </c>
      <c r="J1005" s="20" t="str">
        <f ca="1">IFERROR(__xludf.DUMMYFUNCTION("IF(OR($I1005=2, $I1005=3), 0, IFERROR(COUNTIFS($C$2:C1005, $C1005, $A$2:A1005, ""&gt;""&amp;IFERROR(MAX(FILTER($A$2:A1005, $C$2:C1005=$C1005, $I$2:I1005&lt;&gt;1)), 0), $I$2:I1005, 1),1))
"),"#DIV/0!")</f>
        <v>#DIV/0!</v>
      </c>
      <c r="K1005" s="7" t="e">
        <f t="shared" ca="1" si="17"/>
        <v>#DIV/0!</v>
      </c>
      <c r="L1005" s="20" t="e">
        <f t="shared" ca="1" si="18"/>
        <v>#DIV/0!</v>
      </c>
      <c r="M1005" s="21" t="e">
        <f t="shared" ca="1" si="19"/>
        <v>#DIV/0!</v>
      </c>
      <c r="N1005" s="20" t="str">
        <f ca="1">IFERROR(__xludf.DUMMYFUNCTION("IF(COUNTIFS($C$2:C1005, C1005, $A$2:A1005, ""&lt;="" &amp; A1005) &lt; 30, STDEV.P(FILTER($G$2:G1005, $C$2:C1005 = C1005)), STDEV.P(FILTER($G$2:G1005, $C$2:C1005 = C1005, $A$2:A1005 &gt;= A1005 - 30)))
"),"#DIV/0!")</f>
        <v>#DIV/0!</v>
      </c>
    </row>
    <row r="1006" spans="1:14" x14ac:dyDescent="0.2">
      <c r="A1006" s="41"/>
      <c r="B1006" s="32"/>
      <c r="C1006" s="32"/>
      <c r="D1006" s="33"/>
      <c r="E1006" s="33"/>
      <c r="F1006" s="33"/>
      <c r="G1006" s="19" t="e">
        <f t="shared" si="15"/>
        <v>#DIV/0!</v>
      </c>
      <c r="H1006" s="20" t="str">
        <f ca="1">IFERROR(__xludf.DUMMYFUNCTION("IF(COUNTIFS($C$2:C1006, C1006, $A$2:A1006, ""&lt;="" &amp; A1006) &lt; 30, AVERAGEIF($C$2:C1006, C1006, $G$2:G1006), AVERAGE(FILTER($G$2:G1006, $C$2:C1006 = C1006, $A$2:A1006 &gt;= A1006 - 30)))
"),"#DIV/0!")</f>
        <v>#DIV/0!</v>
      </c>
      <c r="I1006" s="20" t="e">
        <f t="shared" ca="1" si="16"/>
        <v>#DIV/0!</v>
      </c>
      <c r="J1006" s="20" t="str">
        <f ca="1">IFERROR(__xludf.DUMMYFUNCTION("IF(OR($I1006=2, $I1006=3), 0, IFERROR(COUNTIFS($C$2:C1006, $C1006, $A$2:A1006, ""&gt;""&amp;IFERROR(MAX(FILTER($A$2:A1006, $C$2:C1006=$C1006, $I$2:I1006&lt;&gt;1)), 0), $I$2:I1006, 1),1))
"),"#DIV/0!")</f>
        <v>#DIV/0!</v>
      </c>
      <c r="K1006" s="7" t="e">
        <f t="shared" ca="1" si="17"/>
        <v>#DIV/0!</v>
      </c>
      <c r="L1006" s="20" t="e">
        <f t="shared" ca="1" si="18"/>
        <v>#DIV/0!</v>
      </c>
      <c r="M1006" s="21" t="e">
        <f t="shared" ca="1" si="19"/>
        <v>#DIV/0!</v>
      </c>
      <c r="N1006" s="20" t="str">
        <f ca="1">IFERROR(__xludf.DUMMYFUNCTION("IF(COUNTIFS($C$2:C1006, C1006, $A$2:A1006, ""&lt;="" &amp; A1006) &lt; 30, STDEV.P(FILTER($G$2:G1006, $C$2:C1006 = C1006)), STDEV.P(FILTER($G$2:G1006, $C$2:C1006 = C1006, $A$2:A1006 &gt;= A1006 - 30)))
"),"#DIV/0!")</f>
        <v>#DIV/0!</v>
      </c>
    </row>
    <row r="1007" spans="1:14" x14ac:dyDescent="0.2">
      <c r="A1007" s="41"/>
      <c r="B1007" s="32"/>
      <c r="C1007" s="32"/>
      <c r="D1007" s="33"/>
      <c r="E1007" s="33"/>
      <c r="F1007" s="33"/>
      <c r="G1007" s="19" t="e">
        <f t="shared" si="15"/>
        <v>#DIV/0!</v>
      </c>
      <c r="H1007" s="20" t="str">
        <f ca="1">IFERROR(__xludf.DUMMYFUNCTION("IF(COUNTIFS($C$2:C1007, C1007, $A$2:A1007, ""&lt;="" &amp; A1007) &lt; 30, AVERAGEIF($C$2:C1007, C1007, $G$2:G1007), AVERAGE(FILTER($G$2:G1007, $C$2:C1007 = C1007, $A$2:A1007 &gt;= A1007 - 30)))
"),"#DIV/0!")</f>
        <v>#DIV/0!</v>
      </c>
      <c r="I1007" s="20" t="e">
        <f t="shared" ca="1" si="16"/>
        <v>#DIV/0!</v>
      </c>
      <c r="J1007" s="20" t="str">
        <f ca="1">IFERROR(__xludf.DUMMYFUNCTION("IF(OR($I1007=2, $I1007=3), 0, IFERROR(COUNTIFS($C$2:C1007, $C1007, $A$2:A1007, ""&gt;""&amp;IFERROR(MAX(FILTER($A$2:A1007, $C$2:C1007=$C1007, $I$2:I1007&lt;&gt;1)), 0), $I$2:I1007, 1),1))
"),"#DIV/0!")</f>
        <v>#DIV/0!</v>
      </c>
      <c r="K1007" s="7" t="e">
        <f t="shared" ca="1" si="17"/>
        <v>#DIV/0!</v>
      </c>
      <c r="L1007" s="20" t="e">
        <f t="shared" ca="1" si="18"/>
        <v>#DIV/0!</v>
      </c>
      <c r="M1007" s="21" t="e">
        <f t="shared" ca="1" si="19"/>
        <v>#DIV/0!</v>
      </c>
      <c r="N1007" s="20" t="str">
        <f ca="1">IFERROR(__xludf.DUMMYFUNCTION("IF(COUNTIFS($C$2:C1007, C1007, $A$2:A1007, ""&lt;="" &amp; A1007) &lt; 30, STDEV.P(FILTER($G$2:G1007, $C$2:C1007 = C1007)), STDEV.P(FILTER($G$2:G1007, $C$2:C1007 = C1007, $A$2:A1007 &gt;= A1007 - 30)))
"),"#DIV/0!")</f>
        <v>#DIV/0!</v>
      </c>
    </row>
    <row r="1008" spans="1:14" x14ac:dyDescent="0.2">
      <c r="A1008" s="41"/>
      <c r="B1008" s="32"/>
      <c r="C1008" s="32"/>
      <c r="D1008" s="33"/>
      <c r="E1008" s="33"/>
      <c r="F1008" s="33"/>
      <c r="G1008" s="19" t="e">
        <f t="shared" si="15"/>
        <v>#DIV/0!</v>
      </c>
      <c r="H1008" s="20" t="str">
        <f ca="1">IFERROR(__xludf.DUMMYFUNCTION("IF(COUNTIFS($C$2:C1008, C1008, $A$2:A1008, ""&lt;="" &amp; A1008) &lt; 30, AVERAGEIF($C$2:C1008, C1008, $G$2:G1008), AVERAGE(FILTER($G$2:G1008, $C$2:C1008 = C1008, $A$2:A1008 &gt;= A1008 - 30)))
"),"#DIV/0!")</f>
        <v>#DIV/0!</v>
      </c>
      <c r="I1008" s="20" t="e">
        <f t="shared" ca="1" si="16"/>
        <v>#DIV/0!</v>
      </c>
      <c r="J1008" s="20" t="str">
        <f ca="1">IFERROR(__xludf.DUMMYFUNCTION("IF(OR($I1008=2, $I1008=3), 0, IFERROR(COUNTIFS($C$2:C1008, $C1008, $A$2:A1008, ""&gt;""&amp;IFERROR(MAX(FILTER($A$2:A1008, $C$2:C1008=$C1008, $I$2:I1008&lt;&gt;1)), 0), $I$2:I1008, 1),1))
"),"#DIV/0!")</f>
        <v>#DIV/0!</v>
      </c>
      <c r="K1008" s="7" t="e">
        <f t="shared" ca="1" si="17"/>
        <v>#DIV/0!</v>
      </c>
      <c r="L1008" s="20" t="e">
        <f t="shared" ca="1" si="18"/>
        <v>#DIV/0!</v>
      </c>
      <c r="M1008" s="21" t="e">
        <f t="shared" ca="1" si="19"/>
        <v>#DIV/0!</v>
      </c>
      <c r="N1008" s="20" t="str">
        <f ca="1">IFERROR(__xludf.DUMMYFUNCTION("IF(COUNTIFS($C$2:C1008, C1008, $A$2:A1008, ""&lt;="" &amp; A1008) &lt; 30, STDEV.P(FILTER($G$2:G1008, $C$2:C1008 = C1008)), STDEV.P(FILTER($G$2:G1008, $C$2:C1008 = C1008, $A$2:A1008 &gt;= A1008 - 30)))
"),"#DIV/0!")</f>
        <v>#DIV/0!</v>
      </c>
    </row>
    <row r="1009" spans="1:14" x14ac:dyDescent="0.2">
      <c r="A1009" s="41"/>
      <c r="B1009" s="32"/>
      <c r="C1009" s="32"/>
      <c r="D1009" s="33"/>
      <c r="E1009" s="33"/>
      <c r="F1009" s="33"/>
      <c r="G1009" s="19" t="e">
        <f t="shared" si="15"/>
        <v>#DIV/0!</v>
      </c>
      <c r="H1009" s="20" t="str">
        <f ca="1">IFERROR(__xludf.DUMMYFUNCTION("IF(COUNTIFS($C$2:C1009, C1009, $A$2:A1009, ""&lt;="" &amp; A1009) &lt; 30, AVERAGEIF($C$2:C1009, C1009, $G$2:G1009), AVERAGE(FILTER($G$2:G1009, $C$2:C1009 = C1009, $A$2:A1009 &gt;= A1009 - 30)))
"),"#DIV/0!")</f>
        <v>#DIV/0!</v>
      </c>
      <c r="I1009" s="20" t="e">
        <f t="shared" ca="1" si="16"/>
        <v>#DIV/0!</v>
      </c>
      <c r="J1009" s="20" t="str">
        <f ca="1">IFERROR(__xludf.DUMMYFUNCTION("IF(OR($I1009=2, $I1009=3), 0, IFERROR(COUNTIFS($C$2:C1009, $C1009, $A$2:A1009, ""&gt;""&amp;IFERROR(MAX(FILTER($A$2:A1009, $C$2:C1009=$C1009, $I$2:I1009&lt;&gt;1)), 0), $I$2:I1009, 1),1))
"),"#DIV/0!")</f>
        <v>#DIV/0!</v>
      </c>
      <c r="K1009" s="7" t="e">
        <f t="shared" ca="1" si="17"/>
        <v>#DIV/0!</v>
      </c>
      <c r="L1009" s="20" t="e">
        <f t="shared" ca="1" si="18"/>
        <v>#DIV/0!</v>
      </c>
      <c r="M1009" s="21" t="e">
        <f t="shared" ca="1" si="19"/>
        <v>#DIV/0!</v>
      </c>
      <c r="N1009" s="20" t="str">
        <f ca="1">IFERROR(__xludf.DUMMYFUNCTION("IF(COUNTIFS($C$2:C1009, C1009, $A$2:A1009, ""&lt;="" &amp; A1009) &lt; 30, STDEV.P(FILTER($G$2:G1009, $C$2:C1009 = C1009)), STDEV.P(FILTER($G$2:G1009, $C$2:C1009 = C1009, $A$2:A1009 &gt;= A1009 - 30)))
"),"#DIV/0!")</f>
        <v>#DIV/0!</v>
      </c>
    </row>
    <row r="1010" spans="1:14" x14ac:dyDescent="0.2">
      <c r="A1010" s="41"/>
      <c r="B1010" s="32"/>
      <c r="C1010" s="32"/>
      <c r="D1010" s="33"/>
      <c r="E1010" s="33"/>
      <c r="F1010" s="33"/>
      <c r="G1010" s="19" t="e">
        <f t="shared" si="15"/>
        <v>#DIV/0!</v>
      </c>
      <c r="H1010" s="20" t="str">
        <f ca="1">IFERROR(__xludf.DUMMYFUNCTION("IF(COUNTIFS($C$2:C1010, C1010, $A$2:A1010, ""&lt;="" &amp; A1010) &lt; 30, AVERAGEIF($C$2:C1010, C1010, $G$2:G1010), AVERAGE(FILTER($G$2:G1010, $C$2:C1010 = C1010, $A$2:A1010 &gt;= A1010 - 30)))
"),"#DIV/0!")</f>
        <v>#DIV/0!</v>
      </c>
      <c r="I1010" s="20" t="e">
        <f t="shared" ca="1" si="16"/>
        <v>#DIV/0!</v>
      </c>
      <c r="J1010" s="20" t="str">
        <f ca="1">IFERROR(__xludf.DUMMYFUNCTION("IF(OR($I1010=2, $I1010=3), 0, IFERROR(COUNTIFS($C$2:C1010, $C1010, $A$2:A1010, ""&gt;""&amp;IFERROR(MAX(FILTER($A$2:A1010, $C$2:C1010=$C1010, $I$2:I1010&lt;&gt;1)), 0), $I$2:I1010, 1),1))
"),"#DIV/0!")</f>
        <v>#DIV/0!</v>
      </c>
      <c r="K1010" s="7" t="e">
        <f t="shared" ca="1" si="17"/>
        <v>#DIV/0!</v>
      </c>
      <c r="L1010" s="20" t="e">
        <f t="shared" ca="1" si="18"/>
        <v>#DIV/0!</v>
      </c>
      <c r="M1010" s="21" t="e">
        <f t="shared" ca="1" si="19"/>
        <v>#DIV/0!</v>
      </c>
      <c r="N1010" s="20" t="str">
        <f ca="1">IFERROR(__xludf.DUMMYFUNCTION("IF(COUNTIFS($C$2:C1010, C1010, $A$2:A1010, ""&lt;="" &amp; A1010) &lt; 30, STDEV.P(FILTER($G$2:G1010, $C$2:C1010 = C1010)), STDEV.P(FILTER($G$2:G1010, $C$2:C1010 = C1010, $A$2:A1010 &gt;= A1010 - 30)))
"),"#DIV/0!")</f>
        <v>#DIV/0!</v>
      </c>
    </row>
    <row r="1011" spans="1:14" x14ac:dyDescent="0.2">
      <c r="A1011" s="41"/>
      <c r="B1011" s="32"/>
      <c r="C1011" s="32"/>
      <c r="D1011" s="33"/>
      <c r="E1011" s="33"/>
      <c r="F1011" s="33"/>
      <c r="G1011" s="19" t="e">
        <f t="shared" si="15"/>
        <v>#DIV/0!</v>
      </c>
      <c r="H1011" s="20" t="str">
        <f ca="1">IFERROR(__xludf.DUMMYFUNCTION("IF(COUNTIFS($C$2:C1011, C1011, $A$2:A1011, ""&lt;="" &amp; A1011) &lt; 30, AVERAGEIF($C$2:C1011, C1011, $G$2:G1011), AVERAGE(FILTER($G$2:G1011, $C$2:C1011 = C1011, $A$2:A1011 &gt;= A1011 - 30)))
"),"#DIV/0!")</f>
        <v>#DIV/0!</v>
      </c>
      <c r="I1011" s="20" t="e">
        <f t="shared" ca="1" si="16"/>
        <v>#DIV/0!</v>
      </c>
      <c r="J1011" s="20" t="str">
        <f ca="1">IFERROR(__xludf.DUMMYFUNCTION("IF(OR($I1011=2, $I1011=3), 0, IFERROR(COUNTIFS($C$2:C1011, $C1011, $A$2:A1011, ""&gt;""&amp;IFERROR(MAX(FILTER($A$2:A1011, $C$2:C1011=$C1011, $I$2:I1011&lt;&gt;1)), 0), $I$2:I1011, 1),1))
"),"#DIV/0!")</f>
        <v>#DIV/0!</v>
      </c>
      <c r="K1011" s="7" t="e">
        <f t="shared" ca="1" si="17"/>
        <v>#DIV/0!</v>
      </c>
      <c r="L1011" s="20" t="e">
        <f t="shared" ca="1" si="18"/>
        <v>#DIV/0!</v>
      </c>
      <c r="M1011" s="21" t="e">
        <f t="shared" ca="1" si="19"/>
        <v>#DIV/0!</v>
      </c>
      <c r="N1011" s="20" t="str">
        <f ca="1">IFERROR(__xludf.DUMMYFUNCTION("IF(COUNTIFS($C$2:C1011, C1011, $A$2:A1011, ""&lt;="" &amp; A1011) &lt; 30, STDEV.P(FILTER($G$2:G1011, $C$2:C1011 = C1011)), STDEV.P(FILTER($G$2:G1011, $C$2:C1011 = C1011, $A$2:A1011 &gt;= A1011 - 30)))
"),"#DIV/0!")</f>
        <v>#DIV/0!</v>
      </c>
    </row>
    <row r="1012" spans="1:14" x14ac:dyDescent="0.2">
      <c r="A1012" s="41"/>
      <c r="B1012" s="40"/>
      <c r="C1012" s="40"/>
      <c r="D1012" s="31"/>
      <c r="E1012" s="31"/>
      <c r="F1012" s="31"/>
      <c r="G1012" s="19" t="e">
        <f t="shared" si="15"/>
        <v>#DIV/0!</v>
      </c>
      <c r="H1012" s="20" t="str">
        <f ca="1">IFERROR(__xludf.DUMMYFUNCTION("IF(COUNTIFS($C$2:C1012, C1012, $A$2:A1012, ""&lt;="" &amp; A1012) &lt; 30, AVERAGEIF($C$2:C1012, C1012, $G$2:G1012), AVERAGE(FILTER($G$2:G1012, $C$2:C1012 = C1012, $A$2:A1012 &gt;= A1012 - 30)))
"),"#DIV/0!")</f>
        <v>#DIV/0!</v>
      </c>
      <c r="I1012" s="20" t="e">
        <f t="shared" ca="1" si="16"/>
        <v>#DIV/0!</v>
      </c>
      <c r="J1012" s="20" t="str">
        <f ca="1">IFERROR(__xludf.DUMMYFUNCTION("IF(OR($I1012=2, $I1012=3), 0, IFERROR(COUNTIFS($C$2:C1012, $C1012, $A$2:A1012, ""&gt;""&amp;IFERROR(MAX(FILTER($A$2:A1012, $C$2:C1012=$C1012, $I$2:I1012&lt;&gt;1)), 0), $I$2:I1012, 1),1))
"),"#DIV/0!")</f>
        <v>#DIV/0!</v>
      </c>
      <c r="K1012" s="7" t="e">
        <f t="shared" ca="1" si="17"/>
        <v>#DIV/0!</v>
      </c>
      <c r="L1012" s="20" t="e">
        <f t="shared" ca="1" si="18"/>
        <v>#DIV/0!</v>
      </c>
      <c r="M1012" s="21" t="e">
        <f t="shared" ca="1" si="19"/>
        <v>#DIV/0!</v>
      </c>
      <c r="N1012" s="20" t="str">
        <f ca="1">IFERROR(__xludf.DUMMYFUNCTION("IF(COUNTIFS($C$2:C1012, C1012, $A$2:A1012, ""&lt;="" &amp; A1012) &lt; 30, STDEV.P(FILTER($G$2:G1012, $C$2:C1012 = C1012)), STDEV.P(FILTER($G$2:G1012, $C$2:C1012 = C1012, $A$2:A1012 &gt;= A1012 - 30)))
"),"#DIV/0!")</f>
        <v>#DIV/0!</v>
      </c>
    </row>
    <row r="1013" spans="1:14" x14ac:dyDescent="0.2">
      <c r="A1013" s="41"/>
      <c r="B1013" s="40"/>
      <c r="C1013" s="40"/>
      <c r="D1013" s="31"/>
      <c r="E1013" s="31"/>
      <c r="F1013" s="31"/>
      <c r="G1013" s="19" t="e">
        <f t="shared" si="15"/>
        <v>#DIV/0!</v>
      </c>
      <c r="H1013" s="20" t="str">
        <f ca="1">IFERROR(__xludf.DUMMYFUNCTION("IF(COUNTIFS($C$2:C1013, C1013, $A$2:A1013, ""&lt;="" &amp; A1013) &lt; 30, AVERAGEIF($C$2:C1013, C1013, $G$2:G1013), AVERAGE(FILTER($G$2:G1013, $C$2:C1013 = C1013, $A$2:A1013 &gt;= A1013 - 30)))
"),"#DIV/0!")</f>
        <v>#DIV/0!</v>
      </c>
      <c r="I1013" s="20" t="e">
        <f t="shared" ca="1" si="16"/>
        <v>#DIV/0!</v>
      </c>
      <c r="J1013" s="20" t="str">
        <f ca="1">IFERROR(__xludf.DUMMYFUNCTION("IF(OR($I1013=2, $I1013=3), 0, IFERROR(COUNTIFS($C$2:C1013, $C1013, $A$2:A1013, ""&gt;""&amp;IFERROR(MAX(FILTER($A$2:A1013, $C$2:C1013=$C1013, $I$2:I1013&lt;&gt;1)), 0), $I$2:I1013, 1),1))
"),"#DIV/0!")</f>
        <v>#DIV/0!</v>
      </c>
      <c r="K1013" s="7" t="e">
        <f t="shared" ca="1" si="17"/>
        <v>#DIV/0!</v>
      </c>
      <c r="L1013" s="20" t="e">
        <f t="shared" ca="1" si="18"/>
        <v>#DIV/0!</v>
      </c>
      <c r="M1013" s="21" t="e">
        <f t="shared" ca="1" si="19"/>
        <v>#DIV/0!</v>
      </c>
      <c r="N1013" s="20" t="str">
        <f ca="1">IFERROR(__xludf.DUMMYFUNCTION("IF(COUNTIFS($C$2:C1013, C1013, $A$2:A1013, ""&lt;="" &amp; A1013) &lt; 30, STDEV.P(FILTER($G$2:G1013, $C$2:C1013 = C1013)), STDEV.P(FILTER($G$2:G1013, $C$2:C1013 = C1013, $A$2:A1013 &gt;= A1013 - 30)))
"),"#DIV/0!")</f>
        <v>#DIV/0!</v>
      </c>
    </row>
    <row r="1014" spans="1:14" x14ac:dyDescent="0.2">
      <c r="A1014" s="41"/>
      <c r="B1014" s="40"/>
      <c r="C1014" s="40"/>
      <c r="D1014" s="31"/>
      <c r="E1014" s="31"/>
      <c r="F1014" s="31"/>
      <c r="G1014" s="19" t="e">
        <f t="shared" si="15"/>
        <v>#DIV/0!</v>
      </c>
      <c r="H1014" s="20" t="str">
        <f ca="1">IFERROR(__xludf.DUMMYFUNCTION("IF(COUNTIFS($C$2:C1014, C1014, $A$2:A1014, ""&lt;="" &amp; A1014) &lt; 30, AVERAGEIF($C$2:C1014, C1014, $G$2:G1014), AVERAGE(FILTER($G$2:G1014, $C$2:C1014 = C1014, $A$2:A1014 &gt;= A1014 - 30)))
"),"#DIV/0!")</f>
        <v>#DIV/0!</v>
      </c>
      <c r="I1014" s="20" t="e">
        <f t="shared" ca="1" si="16"/>
        <v>#DIV/0!</v>
      </c>
      <c r="J1014" s="20" t="str">
        <f ca="1">IFERROR(__xludf.DUMMYFUNCTION("IF(OR($I1014=2, $I1014=3), 0, IFERROR(COUNTIFS($C$2:C1014, $C1014, $A$2:A1014, ""&gt;""&amp;IFERROR(MAX(FILTER($A$2:A1014, $C$2:C1014=$C1014, $I$2:I1014&lt;&gt;1)), 0), $I$2:I1014, 1),1))
"),"#DIV/0!")</f>
        <v>#DIV/0!</v>
      </c>
      <c r="K1014" s="7" t="e">
        <f t="shared" ca="1" si="17"/>
        <v>#DIV/0!</v>
      </c>
      <c r="L1014" s="20" t="e">
        <f t="shared" ca="1" si="18"/>
        <v>#DIV/0!</v>
      </c>
      <c r="M1014" s="21" t="e">
        <f t="shared" ca="1" si="19"/>
        <v>#DIV/0!</v>
      </c>
      <c r="N1014" s="20" t="str">
        <f ca="1">IFERROR(__xludf.DUMMYFUNCTION("IF(COUNTIFS($C$2:C1014, C1014, $A$2:A1014, ""&lt;="" &amp; A1014) &lt; 30, STDEV.P(FILTER($G$2:G1014, $C$2:C1014 = C1014)), STDEV.P(FILTER($G$2:G1014, $C$2:C1014 = C1014, $A$2:A1014 &gt;= A1014 - 30)))
"),"#DIV/0!")</f>
        <v>#DIV/0!</v>
      </c>
    </row>
    <row r="1015" spans="1:14" x14ac:dyDescent="0.2">
      <c r="A1015" s="41"/>
      <c r="B1015" s="40"/>
      <c r="C1015" s="40"/>
      <c r="D1015" s="31"/>
      <c r="E1015" s="31"/>
      <c r="F1015" s="31"/>
      <c r="G1015" s="19" t="e">
        <f t="shared" si="15"/>
        <v>#DIV/0!</v>
      </c>
      <c r="H1015" s="20" t="str">
        <f ca="1">IFERROR(__xludf.DUMMYFUNCTION("IF(COUNTIFS($C$2:C1015, C1015, $A$2:A1015, ""&lt;="" &amp; A1015) &lt; 30, AVERAGEIF($C$2:C1015, C1015, $G$2:G1015), AVERAGE(FILTER($G$2:G1015, $C$2:C1015 = C1015, $A$2:A1015 &gt;= A1015 - 30)))
"),"#DIV/0!")</f>
        <v>#DIV/0!</v>
      </c>
      <c r="I1015" s="20" t="e">
        <f t="shared" ca="1" si="16"/>
        <v>#DIV/0!</v>
      </c>
      <c r="J1015" s="20" t="str">
        <f ca="1">IFERROR(__xludf.DUMMYFUNCTION("IF(OR($I1015=2, $I1015=3), 0, IFERROR(COUNTIFS($C$2:C1015, $C1015, $A$2:A1015, ""&gt;""&amp;IFERROR(MAX(FILTER($A$2:A1015, $C$2:C1015=$C1015, $I$2:I1015&lt;&gt;1)), 0), $I$2:I1015, 1),1))
"),"#DIV/0!")</f>
        <v>#DIV/0!</v>
      </c>
      <c r="K1015" s="7" t="e">
        <f t="shared" ca="1" si="17"/>
        <v>#DIV/0!</v>
      </c>
      <c r="L1015" s="20" t="e">
        <f t="shared" ca="1" si="18"/>
        <v>#DIV/0!</v>
      </c>
      <c r="M1015" s="21" t="e">
        <f t="shared" ca="1" si="19"/>
        <v>#DIV/0!</v>
      </c>
      <c r="N1015" s="20" t="str">
        <f ca="1">IFERROR(__xludf.DUMMYFUNCTION("IF(COUNTIFS($C$2:C1015, C1015, $A$2:A1015, ""&lt;="" &amp; A1015) &lt; 30, STDEV.P(FILTER($G$2:G1015, $C$2:C1015 = C1015)), STDEV.P(FILTER($G$2:G1015, $C$2:C1015 = C1015, $A$2:A1015 &gt;= A1015 - 30)))
"),"#DIV/0!")</f>
        <v>#DIV/0!</v>
      </c>
    </row>
    <row r="1016" spans="1:14" x14ac:dyDescent="0.2">
      <c r="A1016" s="41"/>
      <c r="B1016" s="40"/>
      <c r="C1016" s="40"/>
      <c r="D1016" s="31"/>
      <c r="E1016" s="31"/>
      <c r="F1016" s="31"/>
      <c r="G1016" s="19" t="e">
        <f t="shared" si="15"/>
        <v>#DIV/0!</v>
      </c>
      <c r="H1016" s="20" t="str">
        <f ca="1">IFERROR(__xludf.DUMMYFUNCTION("IF(COUNTIFS($C$2:C1016, C1016, $A$2:A1016, ""&lt;="" &amp; A1016) &lt; 30, AVERAGEIF($C$2:C1016, C1016, $G$2:G1016), AVERAGE(FILTER($G$2:G1016, $C$2:C1016 = C1016, $A$2:A1016 &gt;= A1016 - 30)))
"),"#DIV/0!")</f>
        <v>#DIV/0!</v>
      </c>
      <c r="I1016" s="20" t="e">
        <f t="shared" ca="1" si="16"/>
        <v>#DIV/0!</v>
      </c>
      <c r="J1016" s="20" t="str">
        <f ca="1">IFERROR(__xludf.DUMMYFUNCTION("IF(OR($I1016=2, $I1016=3), 0, IFERROR(COUNTIFS($C$2:C1016, $C1016, $A$2:A1016, ""&gt;""&amp;IFERROR(MAX(FILTER($A$2:A1016, $C$2:C1016=$C1016, $I$2:I1016&lt;&gt;1)), 0), $I$2:I1016, 1),1))
"),"#DIV/0!")</f>
        <v>#DIV/0!</v>
      </c>
      <c r="K1016" s="7" t="e">
        <f t="shared" ca="1" si="17"/>
        <v>#DIV/0!</v>
      </c>
      <c r="L1016" s="20" t="e">
        <f t="shared" ca="1" si="18"/>
        <v>#DIV/0!</v>
      </c>
      <c r="M1016" s="21" t="e">
        <f t="shared" ca="1" si="19"/>
        <v>#DIV/0!</v>
      </c>
      <c r="N1016" s="20" t="str">
        <f ca="1">IFERROR(__xludf.DUMMYFUNCTION("IF(COUNTIFS($C$2:C1016, C1016, $A$2:A1016, ""&lt;="" &amp; A1016) &lt; 30, STDEV.P(FILTER($G$2:G1016, $C$2:C1016 = C1016)), STDEV.P(FILTER($G$2:G1016, $C$2:C1016 = C1016, $A$2:A1016 &gt;= A1016 - 30)))
"),"#DIV/0!")</f>
        <v>#DIV/0!</v>
      </c>
    </row>
    <row r="1017" spans="1:14" x14ac:dyDescent="0.2">
      <c r="A1017" s="41"/>
      <c r="B1017" s="40"/>
      <c r="C1017" s="40"/>
      <c r="D1017" s="31"/>
      <c r="E1017" s="31"/>
      <c r="F1017" s="31"/>
      <c r="G1017" s="19" t="e">
        <f t="shared" si="15"/>
        <v>#DIV/0!</v>
      </c>
      <c r="H1017" s="20" t="str">
        <f ca="1">IFERROR(__xludf.DUMMYFUNCTION("IF(COUNTIFS($C$2:C1017, C1017, $A$2:A1017, ""&lt;="" &amp; A1017) &lt; 30, AVERAGEIF($C$2:C1017, C1017, $G$2:G1017), AVERAGE(FILTER($G$2:G1017, $C$2:C1017 = C1017, $A$2:A1017 &gt;= A1017 - 30)))
"),"#DIV/0!")</f>
        <v>#DIV/0!</v>
      </c>
      <c r="I1017" s="20" t="e">
        <f t="shared" ca="1" si="16"/>
        <v>#DIV/0!</v>
      </c>
      <c r="J1017" s="20" t="str">
        <f ca="1">IFERROR(__xludf.DUMMYFUNCTION("IF(OR($I1017=2, $I1017=3), 0, IFERROR(COUNTIFS($C$2:C1017, $C1017, $A$2:A1017, ""&gt;""&amp;IFERROR(MAX(FILTER($A$2:A1017, $C$2:C1017=$C1017, $I$2:I1017&lt;&gt;1)), 0), $I$2:I1017, 1),1))
"),"#DIV/0!")</f>
        <v>#DIV/0!</v>
      </c>
      <c r="K1017" s="7" t="e">
        <f t="shared" ca="1" si="17"/>
        <v>#DIV/0!</v>
      </c>
      <c r="L1017" s="20" t="e">
        <f t="shared" ca="1" si="18"/>
        <v>#DIV/0!</v>
      </c>
      <c r="M1017" s="21" t="e">
        <f t="shared" ca="1" si="19"/>
        <v>#DIV/0!</v>
      </c>
      <c r="N1017" s="20" t="str">
        <f ca="1">IFERROR(__xludf.DUMMYFUNCTION("IF(COUNTIFS($C$2:C1017, C1017, $A$2:A1017, ""&lt;="" &amp; A1017) &lt; 30, STDEV.P(FILTER($G$2:G1017, $C$2:C1017 = C1017)), STDEV.P(FILTER($G$2:G1017, $C$2:C1017 = C1017, $A$2:A1017 &gt;= A1017 - 30)))
"),"#DIV/0!")</f>
        <v>#DIV/0!</v>
      </c>
    </row>
    <row r="1018" spans="1:14" x14ac:dyDescent="0.2">
      <c r="A1018" s="41"/>
      <c r="B1018" s="40"/>
      <c r="C1018" s="40"/>
      <c r="D1018" s="31"/>
      <c r="E1018" s="31"/>
      <c r="F1018" s="31"/>
      <c r="G1018" s="19" t="e">
        <f t="shared" si="15"/>
        <v>#DIV/0!</v>
      </c>
      <c r="H1018" s="20" t="str">
        <f ca="1">IFERROR(__xludf.DUMMYFUNCTION("IF(COUNTIFS($C$2:C1018, C1018, $A$2:A1018, ""&lt;="" &amp; A1018) &lt; 30, AVERAGEIF($C$2:C1018, C1018, $G$2:G1018), AVERAGE(FILTER($G$2:G1018, $C$2:C1018 = C1018, $A$2:A1018 &gt;= A1018 - 30)))
"),"#DIV/0!")</f>
        <v>#DIV/0!</v>
      </c>
      <c r="I1018" s="20" t="e">
        <f t="shared" ca="1" si="16"/>
        <v>#DIV/0!</v>
      </c>
      <c r="J1018" s="20" t="str">
        <f ca="1">IFERROR(__xludf.DUMMYFUNCTION("IF(OR($I1018=2, $I1018=3), 0, IFERROR(COUNTIFS($C$2:C1018, $C1018, $A$2:A1018, ""&gt;""&amp;IFERROR(MAX(FILTER($A$2:A1018, $C$2:C1018=$C1018, $I$2:I1018&lt;&gt;1)), 0), $I$2:I1018, 1),1))
"),"#DIV/0!")</f>
        <v>#DIV/0!</v>
      </c>
      <c r="K1018" s="7" t="e">
        <f t="shared" ca="1" si="17"/>
        <v>#DIV/0!</v>
      </c>
      <c r="L1018" s="20" t="e">
        <f t="shared" ca="1" si="18"/>
        <v>#DIV/0!</v>
      </c>
      <c r="M1018" s="21" t="e">
        <f t="shared" ca="1" si="19"/>
        <v>#DIV/0!</v>
      </c>
      <c r="N1018" s="20" t="str">
        <f ca="1">IFERROR(__xludf.DUMMYFUNCTION("IF(COUNTIFS($C$2:C1018, C1018, $A$2:A1018, ""&lt;="" &amp; A1018) &lt; 30, STDEV.P(FILTER($G$2:G1018, $C$2:C1018 = C1018)), STDEV.P(FILTER($G$2:G1018, $C$2:C1018 = C1018, $A$2:A1018 &gt;= A1018 - 30)))
"),"#DIV/0!")</f>
        <v>#DIV/0!</v>
      </c>
    </row>
    <row r="1019" spans="1:14" x14ac:dyDescent="0.2">
      <c r="A1019" s="41"/>
      <c r="B1019" s="32"/>
      <c r="C1019" s="32"/>
      <c r="D1019" s="33"/>
      <c r="E1019" s="33"/>
      <c r="F1019" s="33"/>
      <c r="G1019" s="19" t="e">
        <f t="shared" si="15"/>
        <v>#DIV/0!</v>
      </c>
      <c r="H1019" s="20" t="str">
        <f ca="1">IFERROR(__xludf.DUMMYFUNCTION("IF(COUNTIFS($C$2:C1019, C1019, $A$2:A1019, ""&lt;="" &amp; A1019) &lt; 30, AVERAGEIF($C$2:C1019, C1019, $G$2:G1019), AVERAGE(FILTER($G$2:G1019, $C$2:C1019 = C1019, $A$2:A1019 &gt;= A1019 - 30)))
"),"#DIV/0!")</f>
        <v>#DIV/0!</v>
      </c>
      <c r="I1019" s="20" t="e">
        <f t="shared" ca="1" si="16"/>
        <v>#DIV/0!</v>
      </c>
      <c r="J1019" s="20" t="str">
        <f ca="1">IFERROR(__xludf.DUMMYFUNCTION("IF(OR($I1019=2, $I1019=3), 0, IFERROR(COUNTIFS($C$2:C1019, $C1019, $A$2:A1019, ""&gt;""&amp;IFERROR(MAX(FILTER($A$2:A1019, $C$2:C1019=$C1019, $I$2:I1019&lt;&gt;1)), 0), $I$2:I1019, 1),1))
"),"#DIV/0!")</f>
        <v>#DIV/0!</v>
      </c>
      <c r="K1019" s="7" t="e">
        <f t="shared" ca="1" si="17"/>
        <v>#DIV/0!</v>
      </c>
      <c r="L1019" s="20" t="e">
        <f t="shared" ca="1" si="18"/>
        <v>#DIV/0!</v>
      </c>
      <c r="M1019" s="21" t="e">
        <f t="shared" ca="1" si="19"/>
        <v>#DIV/0!</v>
      </c>
      <c r="N1019" s="20" t="str">
        <f ca="1">IFERROR(__xludf.DUMMYFUNCTION("IF(COUNTIFS($C$2:C1019, C1019, $A$2:A1019, ""&lt;="" &amp; A1019) &lt; 30, STDEV.P(FILTER($G$2:G1019, $C$2:C1019 = C1019)), STDEV.P(FILTER($G$2:G1019, $C$2:C1019 = C1019, $A$2:A1019 &gt;= A1019 - 30)))
"),"#DIV/0!")</f>
        <v>#DIV/0!</v>
      </c>
    </row>
    <row r="1020" spans="1:14" x14ac:dyDescent="0.2">
      <c r="A1020" s="41"/>
      <c r="B1020" s="32"/>
      <c r="C1020" s="32"/>
      <c r="D1020" s="33"/>
      <c r="E1020" s="33"/>
      <c r="F1020" s="33"/>
      <c r="G1020" s="19" t="e">
        <f t="shared" si="15"/>
        <v>#DIV/0!</v>
      </c>
      <c r="H1020" s="20" t="str">
        <f ca="1">IFERROR(__xludf.DUMMYFUNCTION("IF(COUNTIFS($C$2:C1020, C1020, $A$2:A1020, ""&lt;="" &amp; A1020) &lt; 30, AVERAGEIF($C$2:C1020, C1020, $G$2:G1020), AVERAGE(FILTER($G$2:G1020, $C$2:C1020 = C1020, $A$2:A1020 &gt;= A1020 - 30)))
"),"#DIV/0!")</f>
        <v>#DIV/0!</v>
      </c>
      <c r="I1020" s="20" t="e">
        <f t="shared" ca="1" si="16"/>
        <v>#DIV/0!</v>
      </c>
      <c r="J1020" s="20" t="str">
        <f ca="1">IFERROR(__xludf.DUMMYFUNCTION("IF(OR($I1020=2, $I1020=3), 0, IFERROR(COUNTIFS($C$2:C1020, $C1020, $A$2:A1020, ""&gt;""&amp;IFERROR(MAX(FILTER($A$2:A1020, $C$2:C1020=$C1020, $I$2:I1020&lt;&gt;1)), 0), $I$2:I1020, 1),1))
"),"#DIV/0!")</f>
        <v>#DIV/0!</v>
      </c>
      <c r="K1020" s="7" t="e">
        <f t="shared" ca="1" si="17"/>
        <v>#DIV/0!</v>
      </c>
      <c r="L1020" s="20" t="e">
        <f t="shared" ca="1" si="18"/>
        <v>#DIV/0!</v>
      </c>
      <c r="M1020" s="21" t="e">
        <f t="shared" ca="1" si="19"/>
        <v>#DIV/0!</v>
      </c>
      <c r="N1020" s="20" t="str">
        <f ca="1">IFERROR(__xludf.DUMMYFUNCTION("IF(COUNTIFS($C$2:C1020, C1020, $A$2:A1020, ""&lt;="" &amp; A1020) &lt; 30, STDEV.P(FILTER($G$2:G1020, $C$2:C1020 = C1020)), STDEV.P(FILTER($G$2:G1020, $C$2:C1020 = C1020, $A$2:A1020 &gt;= A1020 - 30)))
"),"#DIV/0!")</f>
        <v>#DIV/0!</v>
      </c>
    </row>
    <row r="1021" spans="1:14" x14ac:dyDescent="0.2">
      <c r="A1021" s="41"/>
      <c r="B1021" s="32"/>
      <c r="C1021" s="32"/>
      <c r="D1021" s="33"/>
      <c r="E1021" s="33"/>
      <c r="F1021" s="33"/>
      <c r="G1021" s="19" t="e">
        <f t="shared" si="15"/>
        <v>#DIV/0!</v>
      </c>
      <c r="H1021" s="20" t="str">
        <f ca="1">IFERROR(__xludf.DUMMYFUNCTION("IF(COUNTIFS($C$2:C1021, C1021, $A$2:A1021, ""&lt;="" &amp; A1021) &lt; 30, AVERAGEIF($C$2:C1021, C1021, $G$2:G1021), AVERAGE(FILTER($G$2:G1021, $C$2:C1021 = C1021, $A$2:A1021 &gt;= A1021 - 30)))
"),"#DIV/0!")</f>
        <v>#DIV/0!</v>
      </c>
      <c r="I1021" s="20" t="e">
        <f t="shared" ca="1" si="16"/>
        <v>#DIV/0!</v>
      </c>
      <c r="J1021" s="20" t="str">
        <f ca="1">IFERROR(__xludf.DUMMYFUNCTION("IF(OR($I1021=2, $I1021=3), 0, IFERROR(COUNTIFS($C$2:C1021, $C1021, $A$2:A1021, ""&gt;""&amp;IFERROR(MAX(FILTER($A$2:A1021, $C$2:C1021=$C1021, $I$2:I1021&lt;&gt;1)), 0), $I$2:I1021, 1),1))
"),"#DIV/0!")</f>
        <v>#DIV/0!</v>
      </c>
      <c r="K1021" s="7" t="e">
        <f t="shared" ca="1" si="17"/>
        <v>#DIV/0!</v>
      </c>
      <c r="L1021" s="20" t="e">
        <f t="shared" ca="1" si="18"/>
        <v>#DIV/0!</v>
      </c>
      <c r="M1021" s="21" t="e">
        <f t="shared" ca="1" si="19"/>
        <v>#DIV/0!</v>
      </c>
      <c r="N1021" s="20" t="str">
        <f ca="1">IFERROR(__xludf.DUMMYFUNCTION("IF(COUNTIFS($C$2:C1021, C1021, $A$2:A1021, ""&lt;="" &amp; A1021) &lt; 30, STDEV.P(FILTER($G$2:G1021, $C$2:C1021 = C1021)), STDEV.P(FILTER($G$2:G1021, $C$2:C1021 = C1021, $A$2:A1021 &gt;= A1021 - 30)))
"),"#DIV/0!")</f>
        <v>#DIV/0!</v>
      </c>
    </row>
    <row r="1022" spans="1:14" x14ac:dyDescent="0.2">
      <c r="A1022" s="41"/>
      <c r="B1022" s="32"/>
      <c r="C1022" s="32"/>
      <c r="D1022" s="33"/>
      <c r="E1022" s="33"/>
      <c r="F1022" s="33"/>
      <c r="G1022" s="19" t="e">
        <f t="shared" ref="G1022:G1276" si="20">AVERAGE(D1022:F1022)</f>
        <v>#DIV/0!</v>
      </c>
      <c r="H1022" s="20" t="str">
        <f ca="1">IFERROR(__xludf.DUMMYFUNCTION("IF(COUNTIFS($C$2:C1022, C1022, $A$2:A1022, ""&lt;="" &amp; A1022) &lt; 30, AVERAGEIF($C$2:C1022, C1022, $G$2:G1022), AVERAGE(FILTER($G$2:G1022, $C$2:C1022 = C1022, $A$2:A1022 &gt;= A1022 - 30)))
"),"#DIV/0!")</f>
        <v>#DIV/0!</v>
      </c>
      <c r="I1022" s="20" t="e">
        <f t="shared" ref="I1022:I1276" ca="1" si="21">IF(L1022 &gt;= 1, 3, IF(L1022 &lt;= -1, 1, 2))</f>
        <v>#DIV/0!</v>
      </c>
      <c r="J1022" s="20" t="str">
        <f ca="1">IFERROR(__xludf.DUMMYFUNCTION("IF(OR($I1022=2, $I1022=3), 0, IFERROR(COUNTIFS($C$2:C1022, $C1022, $A$2:A1022, ""&gt;""&amp;IFERROR(MAX(FILTER($A$2:A1022, $C$2:C1022=$C1022, $I$2:I1022&lt;&gt;1)), 0), $I$2:I1022, 1),1))
"),"#DIV/0!")</f>
        <v>#DIV/0!</v>
      </c>
      <c r="K1022" s="7" t="e">
        <f t="shared" ref="K1022:K1276" ca="1" si="22">G1022-H1022</f>
        <v>#DIV/0!</v>
      </c>
      <c r="L1022" s="20" t="e">
        <f t="shared" ref="L1022:L1276" ca="1" si="23">(G1022 - H1022) / N1022</f>
        <v>#DIV/0!</v>
      </c>
      <c r="M1022" s="21" t="e">
        <f t="shared" ref="M1022:M1276" ca="1" si="24">IF(H1022&lt;&gt;0, ((G1022-H1022)/H1022), 0)</f>
        <v>#DIV/0!</v>
      </c>
      <c r="N1022" s="20" t="str">
        <f ca="1">IFERROR(__xludf.DUMMYFUNCTION("IF(COUNTIFS($C$2:C1022, C1022, $A$2:A1022, ""&lt;="" &amp; A1022) &lt; 30, STDEV.P(FILTER($G$2:G1022, $C$2:C1022 = C1022)), STDEV.P(FILTER($G$2:G1022, $C$2:C1022 = C1022, $A$2:A1022 &gt;= A1022 - 30)))
"),"#DIV/0!")</f>
        <v>#DIV/0!</v>
      </c>
    </row>
    <row r="1023" spans="1:14" x14ac:dyDescent="0.2">
      <c r="A1023" s="41"/>
      <c r="B1023" s="32"/>
      <c r="C1023" s="32"/>
      <c r="D1023" s="33"/>
      <c r="E1023" s="33"/>
      <c r="F1023" s="33"/>
      <c r="G1023" s="19" t="e">
        <f t="shared" si="20"/>
        <v>#DIV/0!</v>
      </c>
      <c r="H1023" s="20" t="str">
        <f ca="1">IFERROR(__xludf.DUMMYFUNCTION("IF(COUNTIFS($C$2:C1023, C1023, $A$2:A1023, ""&lt;="" &amp; A1023) &lt; 30, AVERAGEIF($C$2:C1023, C1023, $G$2:G1023), AVERAGE(FILTER($G$2:G1023, $C$2:C1023 = C1023, $A$2:A1023 &gt;= A1023 - 30)))
"),"#DIV/0!")</f>
        <v>#DIV/0!</v>
      </c>
      <c r="I1023" s="20" t="e">
        <f t="shared" ca="1" si="21"/>
        <v>#DIV/0!</v>
      </c>
      <c r="J1023" s="20" t="str">
        <f ca="1">IFERROR(__xludf.DUMMYFUNCTION("IF(OR($I1023=2, $I1023=3), 0, IFERROR(COUNTIFS($C$2:C1023, $C1023, $A$2:A1023, ""&gt;""&amp;IFERROR(MAX(FILTER($A$2:A1023, $C$2:C1023=$C1023, $I$2:I1023&lt;&gt;1)), 0), $I$2:I1023, 1),1))
"),"#DIV/0!")</f>
        <v>#DIV/0!</v>
      </c>
      <c r="K1023" s="7" t="e">
        <f t="shared" ca="1" si="22"/>
        <v>#DIV/0!</v>
      </c>
      <c r="L1023" s="20" t="e">
        <f t="shared" ca="1" si="23"/>
        <v>#DIV/0!</v>
      </c>
      <c r="M1023" s="21" t="e">
        <f t="shared" ca="1" si="24"/>
        <v>#DIV/0!</v>
      </c>
      <c r="N1023" s="20" t="str">
        <f ca="1">IFERROR(__xludf.DUMMYFUNCTION("IF(COUNTIFS($C$2:C1023, C1023, $A$2:A1023, ""&lt;="" &amp; A1023) &lt; 30, STDEV.P(FILTER($G$2:G1023, $C$2:C1023 = C1023)), STDEV.P(FILTER($G$2:G1023, $C$2:C1023 = C1023, $A$2:A1023 &gt;= A1023 - 30)))
"),"#DIV/0!")</f>
        <v>#DIV/0!</v>
      </c>
    </row>
    <row r="1024" spans="1:14" x14ac:dyDescent="0.2">
      <c r="A1024" s="41"/>
      <c r="B1024" s="32"/>
      <c r="C1024" s="32"/>
      <c r="D1024" s="33"/>
      <c r="E1024" s="33"/>
      <c r="F1024" s="33"/>
      <c r="G1024" s="19" t="e">
        <f t="shared" si="20"/>
        <v>#DIV/0!</v>
      </c>
      <c r="H1024" s="20" t="str">
        <f ca="1">IFERROR(__xludf.DUMMYFUNCTION("IF(COUNTIFS($C$2:C1024, C1024, $A$2:A1024, ""&lt;="" &amp; A1024) &lt; 30, AVERAGEIF($C$2:C1024, C1024, $G$2:G1024), AVERAGE(FILTER($G$2:G1024, $C$2:C1024 = C1024, $A$2:A1024 &gt;= A1024 - 30)))
"),"#DIV/0!")</f>
        <v>#DIV/0!</v>
      </c>
      <c r="I1024" s="20" t="e">
        <f t="shared" ca="1" si="21"/>
        <v>#DIV/0!</v>
      </c>
      <c r="J1024" s="20" t="str">
        <f ca="1">IFERROR(__xludf.DUMMYFUNCTION("IF(OR($I1024=2, $I1024=3), 0, IFERROR(COUNTIFS($C$2:C1024, $C1024, $A$2:A1024, ""&gt;""&amp;IFERROR(MAX(FILTER($A$2:A1024, $C$2:C1024=$C1024, $I$2:I1024&lt;&gt;1)), 0), $I$2:I1024, 1),1))
"),"#DIV/0!")</f>
        <v>#DIV/0!</v>
      </c>
      <c r="K1024" s="7" t="e">
        <f t="shared" ca="1" si="22"/>
        <v>#DIV/0!</v>
      </c>
      <c r="L1024" s="20" t="e">
        <f t="shared" ca="1" si="23"/>
        <v>#DIV/0!</v>
      </c>
      <c r="M1024" s="21" t="e">
        <f t="shared" ca="1" si="24"/>
        <v>#DIV/0!</v>
      </c>
      <c r="N1024" s="20" t="str">
        <f ca="1">IFERROR(__xludf.DUMMYFUNCTION("IF(COUNTIFS($C$2:C1024, C1024, $A$2:A1024, ""&lt;="" &amp; A1024) &lt; 30, STDEV.P(FILTER($G$2:G1024, $C$2:C1024 = C1024)), STDEV.P(FILTER($G$2:G1024, $C$2:C1024 = C1024, $A$2:A1024 &gt;= A1024 - 30)))
"),"#DIV/0!")</f>
        <v>#DIV/0!</v>
      </c>
    </row>
    <row r="1025" spans="1:14" x14ac:dyDescent="0.2">
      <c r="A1025" s="41"/>
      <c r="B1025" s="32"/>
      <c r="C1025" s="32"/>
      <c r="D1025" s="33"/>
      <c r="E1025" s="33"/>
      <c r="F1025" s="33"/>
      <c r="G1025" s="19" t="e">
        <f t="shared" si="20"/>
        <v>#DIV/0!</v>
      </c>
      <c r="H1025" s="20" t="str">
        <f ca="1">IFERROR(__xludf.DUMMYFUNCTION("IF(COUNTIFS($C$2:C1025, C1025, $A$2:A1025, ""&lt;="" &amp; A1025) &lt; 30, AVERAGEIF($C$2:C1025, C1025, $G$2:G1025), AVERAGE(FILTER($G$2:G1025, $C$2:C1025 = C1025, $A$2:A1025 &gt;= A1025 - 30)))
"),"#DIV/0!")</f>
        <v>#DIV/0!</v>
      </c>
      <c r="I1025" s="20" t="e">
        <f t="shared" ca="1" si="21"/>
        <v>#DIV/0!</v>
      </c>
      <c r="J1025" s="20" t="str">
        <f ca="1">IFERROR(__xludf.DUMMYFUNCTION("IF(OR($I1025=2, $I1025=3), 0, IFERROR(COUNTIFS($C$2:C1025, $C1025, $A$2:A1025, ""&gt;""&amp;IFERROR(MAX(FILTER($A$2:A1025, $C$2:C1025=$C1025, $I$2:I1025&lt;&gt;1)), 0), $I$2:I1025, 1),1))
"),"#DIV/0!")</f>
        <v>#DIV/0!</v>
      </c>
      <c r="K1025" s="7" t="e">
        <f t="shared" ca="1" si="22"/>
        <v>#DIV/0!</v>
      </c>
      <c r="L1025" s="20" t="e">
        <f t="shared" ca="1" si="23"/>
        <v>#DIV/0!</v>
      </c>
      <c r="M1025" s="21" t="e">
        <f t="shared" ca="1" si="24"/>
        <v>#DIV/0!</v>
      </c>
      <c r="N1025" s="20" t="str">
        <f ca="1">IFERROR(__xludf.DUMMYFUNCTION("IF(COUNTIFS($C$2:C1025, C1025, $A$2:A1025, ""&lt;="" &amp; A1025) &lt; 30, STDEV.P(FILTER($G$2:G1025, $C$2:C1025 = C1025)), STDEV.P(FILTER($G$2:G1025, $C$2:C1025 = C1025, $A$2:A1025 &gt;= A1025 - 30)))
"),"#DIV/0!")</f>
        <v>#DIV/0!</v>
      </c>
    </row>
    <row r="1026" spans="1:14" x14ac:dyDescent="0.2">
      <c r="A1026" s="41"/>
      <c r="B1026" s="32"/>
      <c r="C1026" s="32"/>
      <c r="D1026" s="33"/>
      <c r="E1026" s="33"/>
      <c r="F1026" s="33"/>
      <c r="G1026" s="19" t="e">
        <f t="shared" si="20"/>
        <v>#DIV/0!</v>
      </c>
      <c r="H1026" s="20" t="str">
        <f ca="1">IFERROR(__xludf.DUMMYFUNCTION("IF(COUNTIFS($C$2:C1026, C1026, $A$2:A1026, ""&lt;="" &amp; A1026) &lt; 30, AVERAGEIF($C$2:C1026, C1026, $G$2:G1026), AVERAGE(FILTER($G$2:G1026, $C$2:C1026 = C1026, $A$2:A1026 &gt;= A1026 - 30)))
"),"#DIV/0!")</f>
        <v>#DIV/0!</v>
      </c>
      <c r="I1026" s="20" t="e">
        <f t="shared" ca="1" si="21"/>
        <v>#DIV/0!</v>
      </c>
      <c r="J1026" s="20" t="str">
        <f ca="1">IFERROR(__xludf.DUMMYFUNCTION("IF(OR($I1026=2, $I1026=3), 0, IFERROR(COUNTIFS($C$2:C1026, $C1026, $A$2:A1026, ""&gt;""&amp;IFERROR(MAX(FILTER($A$2:A1026, $C$2:C1026=$C1026, $I$2:I1026&lt;&gt;1)), 0), $I$2:I1026, 1),1))
"),"#DIV/0!")</f>
        <v>#DIV/0!</v>
      </c>
      <c r="K1026" s="7" t="e">
        <f t="shared" ca="1" si="22"/>
        <v>#DIV/0!</v>
      </c>
      <c r="L1026" s="20" t="e">
        <f t="shared" ca="1" si="23"/>
        <v>#DIV/0!</v>
      </c>
      <c r="M1026" s="21" t="e">
        <f t="shared" ca="1" si="24"/>
        <v>#DIV/0!</v>
      </c>
      <c r="N1026" s="20" t="str">
        <f ca="1">IFERROR(__xludf.DUMMYFUNCTION("IF(COUNTIFS($C$2:C1026, C1026, $A$2:A1026, ""&lt;="" &amp; A1026) &lt; 30, STDEV.P(FILTER($G$2:G1026, $C$2:C1026 = C1026)), STDEV.P(FILTER($G$2:G1026, $C$2:C1026 = C1026, $A$2:A1026 &gt;= A1026 - 30)))
"),"#DIV/0!")</f>
        <v>#DIV/0!</v>
      </c>
    </row>
    <row r="1027" spans="1:14" x14ac:dyDescent="0.2">
      <c r="A1027" s="41"/>
      <c r="B1027" s="32"/>
      <c r="C1027" s="32"/>
      <c r="D1027" s="33"/>
      <c r="E1027" s="33"/>
      <c r="F1027" s="33"/>
      <c r="G1027" s="19" t="e">
        <f t="shared" si="20"/>
        <v>#DIV/0!</v>
      </c>
      <c r="H1027" s="20" t="str">
        <f ca="1">IFERROR(__xludf.DUMMYFUNCTION("IF(COUNTIFS($C$2:C1027, C1027, $A$2:A1027, ""&lt;="" &amp; A1027) &lt; 30, AVERAGEIF($C$2:C1027, C1027, $G$2:G1027), AVERAGE(FILTER($G$2:G1027, $C$2:C1027 = C1027, $A$2:A1027 &gt;= A1027 - 30)))
"),"#DIV/0!")</f>
        <v>#DIV/0!</v>
      </c>
      <c r="I1027" s="20" t="e">
        <f t="shared" ca="1" si="21"/>
        <v>#DIV/0!</v>
      </c>
      <c r="J1027" s="20" t="str">
        <f ca="1">IFERROR(__xludf.DUMMYFUNCTION("IF(OR($I1027=2, $I1027=3), 0, IFERROR(COUNTIFS($C$2:C1027, $C1027, $A$2:A1027, ""&gt;""&amp;IFERROR(MAX(FILTER($A$2:A1027, $C$2:C1027=$C1027, $I$2:I1027&lt;&gt;1)), 0), $I$2:I1027, 1),1))
"),"#DIV/0!")</f>
        <v>#DIV/0!</v>
      </c>
      <c r="K1027" s="7" t="e">
        <f t="shared" ca="1" si="22"/>
        <v>#DIV/0!</v>
      </c>
      <c r="L1027" s="20" t="e">
        <f t="shared" ca="1" si="23"/>
        <v>#DIV/0!</v>
      </c>
      <c r="M1027" s="21" t="e">
        <f t="shared" ca="1" si="24"/>
        <v>#DIV/0!</v>
      </c>
      <c r="N1027" s="20" t="str">
        <f ca="1">IFERROR(__xludf.DUMMYFUNCTION("IF(COUNTIFS($C$2:C1027, C1027, $A$2:A1027, ""&lt;="" &amp; A1027) &lt; 30, STDEV.P(FILTER($G$2:G1027, $C$2:C1027 = C1027)), STDEV.P(FILTER($G$2:G1027, $C$2:C1027 = C1027, $A$2:A1027 &gt;= A1027 - 30)))
"),"#DIV/0!")</f>
        <v>#DIV/0!</v>
      </c>
    </row>
    <row r="1028" spans="1:14" x14ac:dyDescent="0.2">
      <c r="A1028" s="41"/>
      <c r="B1028" s="40"/>
      <c r="C1028" s="40"/>
      <c r="D1028" s="31"/>
      <c r="E1028" s="31"/>
      <c r="F1028" s="31"/>
      <c r="G1028" s="19" t="e">
        <f t="shared" si="20"/>
        <v>#DIV/0!</v>
      </c>
      <c r="H1028" s="20" t="str">
        <f ca="1">IFERROR(__xludf.DUMMYFUNCTION("IF(COUNTIFS($C$2:C1028, C1028, $A$2:A1028, ""&lt;="" &amp; A1028) &lt; 30, AVERAGEIF($C$2:C1028, C1028, $G$2:G1028), AVERAGE(FILTER($G$2:G1028, $C$2:C1028 = C1028, $A$2:A1028 &gt;= A1028 - 30)))
"),"#DIV/0!")</f>
        <v>#DIV/0!</v>
      </c>
      <c r="I1028" s="20" t="e">
        <f t="shared" ca="1" si="21"/>
        <v>#DIV/0!</v>
      </c>
      <c r="J1028" s="20" t="str">
        <f ca="1">IFERROR(__xludf.DUMMYFUNCTION("IF(OR($I1028=2, $I1028=3), 0, IFERROR(COUNTIFS($C$2:C1028, $C1028, $A$2:A1028, ""&gt;""&amp;IFERROR(MAX(FILTER($A$2:A1028, $C$2:C1028=$C1028, $I$2:I1028&lt;&gt;1)), 0), $I$2:I1028, 1),1))
"),"#DIV/0!")</f>
        <v>#DIV/0!</v>
      </c>
      <c r="K1028" s="7" t="e">
        <f t="shared" ca="1" si="22"/>
        <v>#DIV/0!</v>
      </c>
      <c r="L1028" s="20" t="e">
        <f t="shared" ca="1" si="23"/>
        <v>#DIV/0!</v>
      </c>
      <c r="M1028" s="21" t="e">
        <f t="shared" ca="1" si="24"/>
        <v>#DIV/0!</v>
      </c>
      <c r="N1028" s="20" t="str">
        <f ca="1">IFERROR(__xludf.DUMMYFUNCTION("IF(COUNTIFS($C$2:C1028, C1028, $A$2:A1028, ""&lt;="" &amp; A1028) &lt; 30, STDEV.P(FILTER($G$2:G1028, $C$2:C1028 = C1028)), STDEV.P(FILTER($G$2:G1028, $C$2:C1028 = C1028, $A$2:A1028 &gt;= A1028 - 30)))
"),"#DIV/0!")</f>
        <v>#DIV/0!</v>
      </c>
    </row>
    <row r="1029" spans="1:14" x14ac:dyDescent="0.2">
      <c r="A1029" s="41"/>
      <c r="B1029" s="40"/>
      <c r="C1029" s="40"/>
      <c r="D1029" s="31"/>
      <c r="E1029" s="31"/>
      <c r="F1029" s="31"/>
      <c r="G1029" s="19" t="e">
        <f t="shared" si="20"/>
        <v>#DIV/0!</v>
      </c>
      <c r="H1029" s="20" t="str">
        <f ca="1">IFERROR(__xludf.DUMMYFUNCTION("IF(COUNTIFS($C$2:C1029, C1029, $A$2:A1029, ""&lt;="" &amp; A1029) &lt; 30, AVERAGEIF($C$2:C1029, C1029, $G$2:G1029), AVERAGE(FILTER($G$2:G1029, $C$2:C1029 = C1029, $A$2:A1029 &gt;= A1029 - 30)))
"),"#DIV/0!")</f>
        <v>#DIV/0!</v>
      </c>
      <c r="I1029" s="20" t="e">
        <f t="shared" ca="1" si="21"/>
        <v>#DIV/0!</v>
      </c>
      <c r="J1029" s="20" t="str">
        <f ca="1">IFERROR(__xludf.DUMMYFUNCTION("IF(OR($I1029=2, $I1029=3), 0, IFERROR(COUNTIFS($C$2:C1029, $C1029, $A$2:A1029, ""&gt;""&amp;IFERROR(MAX(FILTER($A$2:A1029, $C$2:C1029=$C1029, $I$2:I1029&lt;&gt;1)), 0), $I$2:I1029, 1),1))
"),"#DIV/0!")</f>
        <v>#DIV/0!</v>
      </c>
      <c r="K1029" s="7" t="e">
        <f t="shared" ca="1" si="22"/>
        <v>#DIV/0!</v>
      </c>
      <c r="L1029" s="20" t="e">
        <f t="shared" ca="1" si="23"/>
        <v>#DIV/0!</v>
      </c>
      <c r="M1029" s="21" t="e">
        <f t="shared" ca="1" si="24"/>
        <v>#DIV/0!</v>
      </c>
      <c r="N1029" s="20" t="str">
        <f ca="1">IFERROR(__xludf.DUMMYFUNCTION("IF(COUNTIFS($C$2:C1029, C1029, $A$2:A1029, ""&lt;="" &amp; A1029) &lt; 30, STDEV.P(FILTER($G$2:G1029, $C$2:C1029 = C1029)), STDEV.P(FILTER($G$2:G1029, $C$2:C1029 = C1029, $A$2:A1029 &gt;= A1029 - 30)))
"),"#DIV/0!")</f>
        <v>#DIV/0!</v>
      </c>
    </row>
    <row r="1030" spans="1:14" x14ac:dyDescent="0.2">
      <c r="A1030" s="41"/>
      <c r="B1030" s="40"/>
      <c r="C1030" s="40"/>
      <c r="D1030" s="31"/>
      <c r="E1030" s="31"/>
      <c r="F1030" s="31"/>
      <c r="G1030" s="19" t="e">
        <f t="shared" si="20"/>
        <v>#DIV/0!</v>
      </c>
      <c r="H1030" s="20" t="str">
        <f ca="1">IFERROR(__xludf.DUMMYFUNCTION("IF(COUNTIFS($C$2:C1030, C1030, $A$2:A1030, ""&lt;="" &amp; A1030) &lt; 30, AVERAGEIF($C$2:C1030, C1030, $G$2:G1030), AVERAGE(FILTER($G$2:G1030, $C$2:C1030 = C1030, $A$2:A1030 &gt;= A1030 - 30)))
"),"#DIV/0!")</f>
        <v>#DIV/0!</v>
      </c>
      <c r="I1030" s="20" t="e">
        <f t="shared" ca="1" si="21"/>
        <v>#DIV/0!</v>
      </c>
      <c r="J1030" s="20" t="str">
        <f ca="1">IFERROR(__xludf.DUMMYFUNCTION("IF(OR($I1030=2, $I1030=3), 0, IFERROR(COUNTIFS($C$2:C1030, $C1030, $A$2:A1030, ""&gt;""&amp;IFERROR(MAX(FILTER($A$2:A1030, $C$2:C1030=$C1030, $I$2:I1030&lt;&gt;1)), 0), $I$2:I1030, 1),1))
"),"#DIV/0!")</f>
        <v>#DIV/0!</v>
      </c>
      <c r="K1030" s="7" t="e">
        <f t="shared" ca="1" si="22"/>
        <v>#DIV/0!</v>
      </c>
      <c r="L1030" s="20" t="e">
        <f t="shared" ca="1" si="23"/>
        <v>#DIV/0!</v>
      </c>
      <c r="M1030" s="21" t="e">
        <f t="shared" ca="1" si="24"/>
        <v>#DIV/0!</v>
      </c>
      <c r="N1030" s="20" t="str">
        <f ca="1">IFERROR(__xludf.DUMMYFUNCTION("IF(COUNTIFS($C$2:C1030, C1030, $A$2:A1030, ""&lt;="" &amp; A1030) &lt; 30, STDEV.P(FILTER($G$2:G1030, $C$2:C1030 = C1030)), STDEV.P(FILTER($G$2:G1030, $C$2:C1030 = C1030, $A$2:A1030 &gt;= A1030 - 30)))
"),"#DIV/0!")</f>
        <v>#DIV/0!</v>
      </c>
    </row>
    <row r="1031" spans="1:14" x14ac:dyDescent="0.2">
      <c r="A1031" s="41"/>
      <c r="B1031" s="40"/>
      <c r="C1031" s="40"/>
      <c r="D1031" s="31"/>
      <c r="E1031" s="31"/>
      <c r="F1031" s="31"/>
      <c r="G1031" s="19" t="e">
        <f t="shared" si="20"/>
        <v>#DIV/0!</v>
      </c>
      <c r="H1031" s="20" t="str">
        <f ca="1">IFERROR(__xludf.DUMMYFUNCTION("IF(COUNTIFS($C$2:C1031, C1031, $A$2:A1031, ""&lt;="" &amp; A1031) &lt; 30, AVERAGEIF($C$2:C1031, C1031, $G$2:G1031), AVERAGE(FILTER($G$2:G1031, $C$2:C1031 = C1031, $A$2:A1031 &gt;= A1031 - 30)))
"),"#DIV/0!")</f>
        <v>#DIV/0!</v>
      </c>
      <c r="I1031" s="20" t="e">
        <f t="shared" ca="1" si="21"/>
        <v>#DIV/0!</v>
      </c>
      <c r="J1031" s="20" t="str">
        <f ca="1">IFERROR(__xludf.DUMMYFUNCTION("IF(OR($I1031=2, $I1031=3), 0, IFERROR(COUNTIFS($C$2:C1031, $C1031, $A$2:A1031, ""&gt;""&amp;IFERROR(MAX(FILTER($A$2:A1031, $C$2:C1031=$C1031, $I$2:I1031&lt;&gt;1)), 0), $I$2:I1031, 1),1))
"),"#DIV/0!")</f>
        <v>#DIV/0!</v>
      </c>
      <c r="K1031" s="7" t="e">
        <f t="shared" ca="1" si="22"/>
        <v>#DIV/0!</v>
      </c>
      <c r="L1031" s="20" t="e">
        <f t="shared" ca="1" si="23"/>
        <v>#DIV/0!</v>
      </c>
      <c r="M1031" s="21" t="e">
        <f t="shared" ca="1" si="24"/>
        <v>#DIV/0!</v>
      </c>
      <c r="N1031" s="20" t="str">
        <f ca="1">IFERROR(__xludf.DUMMYFUNCTION("IF(COUNTIFS($C$2:C1031, C1031, $A$2:A1031, ""&lt;="" &amp; A1031) &lt; 30, STDEV.P(FILTER($G$2:G1031, $C$2:C1031 = C1031)), STDEV.P(FILTER($G$2:G1031, $C$2:C1031 = C1031, $A$2:A1031 &gt;= A1031 - 30)))
"),"#DIV/0!")</f>
        <v>#DIV/0!</v>
      </c>
    </row>
    <row r="1032" spans="1:14" x14ac:dyDescent="0.2">
      <c r="A1032" s="41"/>
      <c r="B1032" s="40"/>
      <c r="C1032" s="40"/>
      <c r="D1032" s="31"/>
      <c r="E1032" s="31"/>
      <c r="F1032" s="31"/>
      <c r="G1032" s="19" t="e">
        <f t="shared" si="20"/>
        <v>#DIV/0!</v>
      </c>
      <c r="H1032" s="20" t="str">
        <f ca="1">IFERROR(__xludf.DUMMYFUNCTION("IF(COUNTIFS($C$2:C1032, C1032, $A$2:A1032, ""&lt;="" &amp; A1032) &lt; 30, AVERAGEIF($C$2:C1032, C1032, $G$2:G1032), AVERAGE(FILTER($G$2:G1032, $C$2:C1032 = C1032, $A$2:A1032 &gt;= A1032 - 30)))
"),"#DIV/0!")</f>
        <v>#DIV/0!</v>
      </c>
      <c r="I1032" s="20" t="e">
        <f t="shared" ca="1" si="21"/>
        <v>#DIV/0!</v>
      </c>
      <c r="J1032" s="20" t="str">
        <f ca="1">IFERROR(__xludf.DUMMYFUNCTION("IF(OR($I1032=2, $I1032=3), 0, IFERROR(COUNTIFS($C$2:C1032, $C1032, $A$2:A1032, ""&gt;""&amp;IFERROR(MAX(FILTER($A$2:A1032, $C$2:C1032=$C1032, $I$2:I1032&lt;&gt;1)), 0), $I$2:I1032, 1),1))
"),"#DIV/0!")</f>
        <v>#DIV/0!</v>
      </c>
      <c r="K1032" s="7" t="e">
        <f t="shared" ca="1" si="22"/>
        <v>#DIV/0!</v>
      </c>
      <c r="L1032" s="20" t="e">
        <f t="shared" ca="1" si="23"/>
        <v>#DIV/0!</v>
      </c>
      <c r="M1032" s="21" t="e">
        <f t="shared" ca="1" si="24"/>
        <v>#DIV/0!</v>
      </c>
      <c r="N1032" s="20" t="str">
        <f ca="1">IFERROR(__xludf.DUMMYFUNCTION("IF(COUNTIFS($C$2:C1032, C1032, $A$2:A1032, ""&lt;="" &amp; A1032) &lt; 30, STDEV.P(FILTER($G$2:G1032, $C$2:C1032 = C1032)), STDEV.P(FILTER($G$2:G1032, $C$2:C1032 = C1032, $A$2:A1032 &gt;= A1032 - 30)))
"),"#DIV/0!")</f>
        <v>#DIV/0!</v>
      </c>
    </row>
    <row r="1033" spans="1:14" x14ac:dyDescent="0.2">
      <c r="A1033" s="41"/>
      <c r="B1033" s="32"/>
      <c r="C1033" s="32"/>
      <c r="D1033" s="33"/>
      <c r="E1033" s="33"/>
      <c r="F1033" s="33"/>
      <c r="G1033" s="19" t="e">
        <f t="shared" si="20"/>
        <v>#DIV/0!</v>
      </c>
      <c r="H1033" s="20" t="str">
        <f ca="1">IFERROR(__xludf.DUMMYFUNCTION("IF(COUNTIFS($C$2:C1033, C1033, $A$2:A1033, ""&lt;="" &amp; A1033) &lt; 30, AVERAGEIF($C$2:C1033, C1033, $G$2:G1033), AVERAGE(FILTER($G$2:G1033, $C$2:C1033 = C1033, $A$2:A1033 &gt;= A1033 - 30)))
"),"#DIV/0!")</f>
        <v>#DIV/0!</v>
      </c>
      <c r="I1033" s="20" t="e">
        <f t="shared" ca="1" si="21"/>
        <v>#DIV/0!</v>
      </c>
      <c r="J1033" s="20" t="str">
        <f ca="1">IFERROR(__xludf.DUMMYFUNCTION("IF(OR($I1033=2, $I1033=3), 0, IFERROR(COUNTIFS($C$2:C1033, $C1033, $A$2:A1033, ""&gt;""&amp;IFERROR(MAX(FILTER($A$2:A1033, $C$2:C1033=$C1033, $I$2:I1033&lt;&gt;1)), 0), $I$2:I1033, 1),1))
"),"#DIV/0!")</f>
        <v>#DIV/0!</v>
      </c>
      <c r="K1033" s="7" t="e">
        <f t="shared" ca="1" si="22"/>
        <v>#DIV/0!</v>
      </c>
      <c r="L1033" s="20" t="e">
        <f t="shared" ca="1" si="23"/>
        <v>#DIV/0!</v>
      </c>
      <c r="M1033" s="21" t="e">
        <f t="shared" ca="1" si="24"/>
        <v>#DIV/0!</v>
      </c>
      <c r="N1033" s="20" t="str">
        <f ca="1">IFERROR(__xludf.DUMMYFUNCTION("IF(COUNTIFS($C$2:C1033, C1033, $A$2:A1033, ""&lt;="" &amp; A1033) &lt; 30, STDEV.P(FILTER($G$2:G1033, $C$2:C1033 = C1033)), STDEV.P(FILTER($G$2:G1033, $C$2:C1033 = C1033, $A$2:A1033 &gt;= A1033 - 30)))
"),"#DIV/0!")</f>
        <v>#DIV/0!</v>
      </c>
    </row>
    <row r="1034" spans="1:14" x14ac:dyDescent="0.2">
      <c r="A1034" s="41"/>
      <c r="B1034" s="32"/>
      <c r="C1034" s="32"/>
      <c r="D1034" s="33"/>
      <c r="E1034" s="33"/>
      <c r="F1034" s="33"/>
      <c r="G1034" s="19" t="e">
        <f t="shared" si="20"/>
        <v>#DIV/0!</v>
      </c>
      <c r="H1034" s="20" t="str">
        <f ca="1">IFERROR(__xludf.DUMMYFUNCTION("IF(COUNTIFS($C$2:C1034, C1034, $A$2:A1034, ""&lt;="" &amp; A1034) &lt; 30, AVERAGEIF($C$2:C1034, C1034, $G$2:G1034), AVERAGE(FILTER($G$2:G1034, $C$2:C1034 = C1034, $A$2:A1034 &gt;= A1034 - 30)))
"),"#DIV/0!")</f>
        <v>#DIV/0!</v>
      </c>
      <c r="I1034" s="20" t="e">
        <f t="shared" ca="1" si="21"/>
        <v>#DIV/0!</v>
      </c>
      <c r="J1034" s="20" t="str">
        <f ca="1">IFERROR(__xludf.DUMMYFUNCTION("IF(OR($I1034=2, $I1034=3), 0, IFERROR(COUNTIFS($C$2:C1034, $C1034, $A$2:A1034, ""&gt;""&amp;IFERROR(MAX(FILTER($A$2:A1034, $C$2:C1034=$C1034, $I$2:I1034&lt;&gt;1)), 0), $I$2:I1034, 1),1))
"),"#DIV/0!")</f>
        <v>#DIV/0!</v>
      </c>
      <c r="K1034" s="7" t="e">
        <f t="shared" ca="1" si="22"/>
        <v>#DIV/0!</v>
      </c>
      <c r="L1034" s="20" t="e">
        <f t="shared" ca="1" si="23"/>
        <v>#DIV/0!</v>
      </c>
      <c r="M1034" s="21" t="e">
        <f t="shared" ca="1" si="24"/>
        <v>#DIV/0!</v>
      </c>
      <c r="N1034" s="20" t="str">
        <f ca="1">IFERROR(__xludf.DUMMYFUNCTION("IF(COUNTIFS($C$2:C1034, C1034, $A$2:A1034, ""&lt;="" &amp; A1034) &lt; 30, STDEV.P(FILTER($G$2:G1034, $C$2:C1034 = C1034)), STDEV.P(FILTER($G$2:G1034, $C$2:C1034 = C1034, $A$2:A1034 &gt;= A1034 - 30)))
"),"#DIV/0!")</f>
        <v>#DIV/0!</v>
      </c>
    </row>
    <row r="1035" spans="1:14" x14ac:dyDescent="0.2">
      <c r="A1035" s="41"/>
      <c r="B1035" s="32"/>
      <c r="C1035" s="32"/>
      <c r="D1035" s="33"/>
      <c r="E1035" s="33"/>
      <c r="F1035" s="33"/>
      <c r="G1035" s="19" t="e">
        <f t="shared" si="20"/>
        <v>#DIV/0!</v>
      </c>
      <c r="H1035" s="20" t="str">
        <f ca="1">IFERROR(__xludf.DUMMYFUNCTION("IF(COUNTIFS($C$2:C1035, C1035, $A$2:A1035, ""&lt;="" &amp; A1035) &lt; 30, AVERAGEIF($C$2:C1035, C1035, $G$2:G1035), AVERAGE(FILTER($G$2:G1035, $C$2:C1035 = C1035, $A$2:A1035 &gt;= A1035 - 30)))
"),"#DIV/0!")</f>
        <v>#DIV/0!</v>
      </c>
      <c r="I1035" s="20" t="e">
        <f t="shared" ca="1" si="21"/>
        <v>#DIV/0!</v>
      </c>
      <c r="J1035" s="20" t="str">
        <f ca="1">IFERROR(__xludf.DUMMYFUNCTION("IF(OR($I1035=2, $I1035=3), 0, IFERROR(COUNTIFS($C$2:C1035, $C1035, $A$2:A1035, ""&gt;""&amp;IFERROR(MAX(FILTER($A$2:A1035, $C$2:C1035=$C1035, $I$2:I1035&lt;&gt;1)), 0), $I$2:I1035, 1),1))
"),"#DIV/0!")</f>
        <v>#DIV/0!</v>
      </c>
      <c r="K1035" s="7" t="e">
        <f t="shared" ca="1" si="22"/>
        <v>#DIV/0!</v>
      </c>
      <c r="L1035" s="20" t="e">
        <f t="shared" ca="1" si="23"/>
        <v>#DIV/0!</v>
      </c>
      <c r="M1035" s="21" t="e">
        <f t="shared" ca="1" si="24"/>
        <v>#DIV/0!</v>
      </c>
      <c r="N1035" s="20" t="str">
        <f ca="1">IFERROR(__xludf.DUMMYFUNCTION("IF(COUNTIFS($C$2:C1035, C1035, $A$2:A1035, ""&lt;="" &amp; A1035) &lt; 30, STDEV.P(FILTER($G$2:G1035, $C$2:C1035 = C1035)), STDEV.P(FILTER($G$2:G1035, $C$2:C1035 = C1035, $A$2:A1035 &gt;= A1035 - 30)))
"),"#DIV/0!")</f>
        <v>#DIV/0!</v>
      </c>
    </row>
    <row r="1036" spans="1:14" x14ac:dyDescent="0.2">
      <c r="A1036" s="41"/>
      <c r="B1036" s="32"/>
      <c r="C1036" s="32"/>
      <c r="D1036" s="33"/>
      <c r="E1036" s="33"/>
      <c r="F1036" s="33"/>
      <c r="G1036" s="19" t="e">
        <f t="shared" si="20"/>
        <v>#DIV/0!</v>
      </c>
      <c r="H1036" s="20" t="str">
        <f ca="1">IFERROR(__xludf.DUMMYFUNCTION("IF(COUNTIFS($C$2:C1036, C1036, $A$2:A1036, ""&lt;="" &amp; A1036) &lt; 30, AVERAGEIF($C$2:C1036, C1036, $G$2:G1036), AVERAGE(FILTER($G$2:G1036, $C$2:C1036 = C1036, $A$2:A1036 &gt;= A1036 - 30)))
"),"#DIV/0!")</f>
        <v>#DIV/0!</v>
      </c>
      <c r="I1036" s="20" t="e">
        <f t="shared" ca="1" si="21"/>
        <v>#DIV/0!</v>
      </c>
      <c r="J1036" s="20" t="str">
        <f ca="1">IFERROR(__xludf.DUMMYFUNCTION("IF(OR($I1036=2, $I1036=3), 0, IFERROR(COUNTIFS($C$2:C1036, $C1036, $A$2:A1036, ""&gt;""&amp;IFERROR(MAX(FILTER($A$2:A1036, $C$2:C1036=$C1036, $I$2:I1036&lt;&gt;1)), 0), $I$2:I1036, 1),1))
"),"#DIV/0!")</f>
        <v>#DIV/0!</v>
      </c>
      <c r="K1036" s="7" t="e">
        <f t="shared" ca="1" si="22"/>
        <v>#DIV/0!</v>
      </c>
      <c r="L1036" s="20" t="e">
        <f t="shared" ca="1" si="23"/>
        <v>#DIV/0!</v>
      </c>
      <c r="M1036" s="21" t="e">
        <f t="shared" ca="1" si="24"/>
        <v>#DIV/0!</v>
      </c>
      <c r="N1036" s="20" t="str">
        <f ca="1">IFERROR(__xludf.DUMMYFUNCTION("IF(COUNTIFS($C$2:C1036, C1036, $A$2:A1036, ""&lt;="" &amp; A1036) &lt; 30, STDEV.P(FILTER($G$2:G1036, $C$2:C1036 = C1036)), STDEV.P(FILTER($G$2:G1036, $C$2:C1036 = C1036, $A$2:A1036 &gt;= A1036 - 30)))
"),"#DIV/0!")</f>
        <v>#DIV/0!</v>
      </c>
    </row>
    <row r="1037" spans="1:14" x14ac:dyDescent="0.2">
      <c r="A1037" s="41"/>
      <c r="B1037" s="32"/>
      <c r="C1037" s="32"/>
      <c r="D1037" s="33"/>
      <c r="E1037" s="33"/>
      <c r="F1037" s="33"/>
      <c r="G1037" s="19" t="e">
        <f t="shared" si="20"/>
        <v>#DIV/0!</v>
      </c>
      <c r="H1037" s="20" t="str">
        <f ca="1">IFERROR(__xludf.DUMMYFUNCTION("IF(COUNTIFS($C$2:C1037, C1037, $A$2:A1037, ""&lt;="" &amp; A1037) &lt; 30, AVERAGEIF($C$2:C1037, C1037, $G$2:G1037), AVERAGE(FILTER($G$2:G1037, $C$2:C1037 = C1037, $A$2:A1037 &gt;= A1037 - 30)))
"),"#DIV/0!")</f>
        <v>#DIV/0!</v>
      </c>
      <c r="I1037" s="20" t="e">
        <f t="shared" ca="1" si="21"/>
        <v>#DIV/0!</v>
      </c>
      <c r="J1037" s="20" t="str">
        <f ca="1">IFERROR(__xludf.DUMMYFUNCTION("IF(OR($I1037=2, $I1037=3), 0, IFERROR(COUNTIFS($C$2:C1037, $C1037, $A$2:A1037, ""&gt;""&amp;IFERROR(MAX(FILTER($A$2:A1037, $C$2:C1037=$C1037, $I$2:I1037&lt;&gt;1)), 0), $I$2:I1037, 1),1))
"),"#DIV/0!")</f>
        <v>#DIV/0!</v>
      </c>
      <c r="K1037" s="7" t="e">
        <f t="shared" ca="1" si="22"/>
        <v>#DIV/0!</v>
      </c>
      <c r="L1037" s="20" t="e">
        <f t="shared" ca="1" si="23"/>
        <v>#DIV/0!</v>
      </c>
      <c r="M1037" s="21" t="e">
        <f t="shared" ca="1" si="24"/>
        <v>#DIV/0!</v>
      </c>
      <c r="N1037" s="20" t="str">
        <f ca="1">IFERROR(__xludf.DUMMYFUNCTION("IF(COUNTIFS($C$2:C1037, C1037, $A$2:A1037, ""&lt;="" &amp; A1037) &lt; 30, STDEV.P(FILTER($G$2:G1037, $C$2:C1037 = C1037)), STDEV.P(FILTER($G$2:G1037, $C$2:C1037 = C1037, $A$2:A1037 &gt;= A1037 - 30)))
"),"#DIV/0!")</f>
        <v>#DIV/0!</v>
      </c>
    </row>
    <row r="1038" spans="1:14" x14ac:dyDescent="0.2">
      <c r="A1038" s="41"/>
      <c r="B1038" s="32"/>
      <c r="C1038" s="32"/>
      <c r="D1038" s="33"/>
      <c r="E1038" s="33"/>
      <c r="F1038" s="33"/>
      <c r="G1038" s="19" t="e">
        <f t="shared" si="20"/>
        <v>#DIV/0!</v>
      </c>
      <c r="H1038" s="20" t="str">
        <f ca="1">IFERROR(__xludf.DUMMYFUNCTION("IF(COUNTIFS($C$2:C1038, C1038, $A$2:A1038, ""&lt;="" &amp; A1038) &lt; 30, AVERAGEIF($C$2:C1038, C1038, $G$2:G1038), AVERAGE(FILTER($G$2:G1038, $C$2:C1038 = C1038, $A$2:A1038 &gt;= A1038 - 30)))
"),"#DIV/0!")</f>
        <v>#DIV/0!</v>
      </c>
      <c r="I1038" s="20" t="e">
        <f t="shared" ca="1" si="21"/>
        <v>#DIV/0!</v>
      </c>
      <c r="J1038" s="20" t="str">
        <f ca="1">IFERROR(__xludf.DUMMYFUNCTION("IF(OR($I1038=2, $I1038=3), 0, IFERROR(COUNTIFS($C$2:C1038, $C1038, $A$2:A1038, ""&gt;""&amp;IFERROR(MAX(FILTER($A$2:A1038, $C$2:C1038=$C1038, $I$2:I1038&lt;&gt;1)), 0), $I$2:I1038, 1),1))
"),"#DIV/0!")</f>
        <v>#DIV/0!</v>
      </c>
      <c r="K1038" s="7" t="e">
        <f t="shared" ca="1" si="22"/>
        <v>#DIV/0!</v>
      </c>
      <c r="L1038" s="20" t="e">
        <f t="shared" ca="1" si="23"/>
        <v>#DIV/0!</v>
      </c>
      <c r="M1038" s="21" t="e">
        <f t="shared" ca="1" si="24"/>
        <v>#DIV/0!</v>
      </c>
      <c r="N1038" s="20" t="str">
        <f ca="1">IFERROR(__xludf.DUMMYFUNCTION("IF(COUNTIFS($C$2:C1038, C1038, $A$2:A1038, ""&lt;="" &amp; A1038) &lt; 30, STDEV.P(FILTER($G$2:G1038, $C$2:C1038 = C1038)), STDEV.P(FILTER($G$2:G1038, $C$2:C1038 = C1038, $A$2:A1038 &gt;= A1038 - 30)))
"),"#DIV/0!")</f>
        <v>#DIV/0!</v>
      </c>
    </row>
    <row r="1039" spans="1:14" x14ac:dyDescent="0.2">
      <c r="A1039" s="41"/>
      <c r="B1039" s="32"/>
      <c r="C1039" s="32"/>
      <c r="D1039" s="33"/>
      <c r="E1039" s="33"/>
      <c r="F1039" s="33"/>
      <c r="G1039" s="19" t="e">
        <f t="shared" si="20"/>
        <v>#DIV/0!</v>
      </c>
      <c r="H1039" s="20" t="str">
        <f ca="1">IFERROR(__xludf.DUMMYFUNCTION("IF(COUNTIFS($C$2:C1039, C1039, $A$2:A1039, ""&lt;="" &amp; A1039) &lt; 30, AVERAGEIF($C$2:C1039, C1039, $G$2:G1039), AVERAGE(FILTER($G$2:G1039, $C$2:C1039 = C1039, $A$2:A1039 &gt;= A1039 - 30)))
"),"#DIV/0!")</f>
        <v>#DIV/0!</v>
      </c>
      <c r="I1039" s="20" t="e">
        <f t="shared" ca="1" si="21"/>
        <v>#DIV/0!</v>
      </c>
      <c r="J1039" s="20" t="str">
        <f ca="1">IFERROR(__xludf.DUMMYFUNCTION("IF(OR($I1039=2, $I1039=3), 0, IFERROR(COUNTIFS($C$2:C1039, $C1039, $A$2:A1039, ""&gt;""&amp;IFERROR(MAX(FILTER($A$2:A1039, $C$2:C1039=$C1039, $I$2:I1039&lt;&gt;1)), 0), $I$2:I1039, 1),1))
"),"#DIV/0!")</f>
        <v>#DIV/0!</v>
      </c>
      <c r="K1039" s="7" t="e">
        <f t="shared" ca="1" si="22"/>
        <v>#DIV/0!</v>
      </c>
      <c r="L1039" s="20" t="e">
        <f t="shared" ca="1" si="23"/>
        <v>#DIV/0!</v>
      </c>
      <c r="M1039" s="21" t="e">
        <f t="shared" ca="1" si="24"/>
        <v>#DIV/0!</v>
      </c>
      <c r="N1039" s="20" t="str">
        <f ca="1">IFERROR(__xludf.DUMMYFUNCTION("IF(COUNTIFS($C$2:C1039, C1039, $A$2:A1039, ""&lt;="" &amp; A1039) &lt; 30, STDEV.P(FILTER($G$2:G1039, $C$2:C1039 = C1039)), STDEV.P(FILTER($G$2:G1039, $C$2:C1039 = C1039, $A$2:A1039 &gt;= A1039 - 30)))
"),"#DIV/0!")</f>
        <v>#DIV/0!</v>
      </c>
    </row>
    <row r="1040" spans="1:14" x14ac:dyDescent="0.2">
      <c r="A1040" s="41"/>
      <c r="B1040" s="32"/>
      <c r="C1040" s="32"/>
      <c r="D1040" s="33"/>
      <c r="E1040" s="33"/>
      <c r="F1040" s="33"/>
      <c r="G1040" s="19" t="e">
        <f t="shared" si="20"/>
        <v>#DIV/0!</v>
      </c>
      <c r="H1040" s="20" t="str">
        <f ca="1">IFERROR(__xludf.DUMMYFUNCTION("IF(COUNTIFS($C$2:C1040, C1040, $A$2:A1040, ""&lt;="" &amp; A1040) &lt; 30, AVERAGEIF($C$2:C1040, C1040, $G$2:G1040), AVERAGE(FILTER($G$2:G1040, $C$2:C1040 = C1040, $A$2:A1040 &gt;= A1040 - 30)))
"),"#DIV/0!")</f>
        <v>#DIV/0!</v>
      </c>
      <c r="I1040" s="20" t="e">
        <f t="shared" ca="1" si="21"/>
        <v>#DIV/0!</v>
      </c>
      <c r="J1040" s="20" t="str">
        <f ca="1">IFERROR(__xludf.DUMMYFUNCTION("IF(OR($I1040=2, $I1040=3), 0, IFERROR(COUNTIFS($C$2:C1040, $C1040, $A$2:A1040, ""&gt;""&amp;IFERROR(MAX(FILTER($A$2:A1040, $C$2:C1040=$C1040, $I$2:I1040&lt;&gt;1)), 0), $I$2:I1040, 1),1))
"),"#DIV/0!")</f>
        <v>#DIV/0!</v>
      </c>
      <c r="K1040" s="7" t="e">
        <f t="shared" ca="1" si="22"/>
        <v>#DIV/0!</v>
      </c>
      <c r="L1040" s="20" t="e">
        <f t="shared" ca="1" si="23"/>
        <v>#DIV/0!</v>
      </c>
      <c r="M1040" s="21" t="e">
        <f t="shared" ca="1" si="24"/>
        <v>#DIV/0!</v>
      </c>
      <c r="N1040" s="20" t="str">
        <f ca="1">IFERROR(__xludf.DUMMYFUNCTION("IF(COUNTIFS($C$2:C1040, C1040, $A$2:A1040, ""&lt;="" &amp; A1040) &lt; 30, STDEV.P(FILTER($G$2:G1040, $C$2:C1040 = C1040)), STDEV.P(FILTER($G$2:G1040, $C$2:C1040 = C1040, $A$2:A1040 &gt;= A1040 - 30)))
"),"#DIV/0!")</f>
        <v>#DIV/0!</v>
      </c>
    </row>
    <row r="1041" spans="1:14" x14ac:dyDescent="0.2">
      <c r="A1041" s="41"/>
      <c r="B1041" s="32"/>
      <c r="C1041" s="32"/>
      <c r="D1041" s="33"/>
      <c r="E1041" s="33"/>
      <c r="F1041" s="33"/>
      <c r="G1041" s="19" t="e">
        <f t="shared" si="20"/>
        <v>#DIV/0!</v>
      </c>
      <c r="H1041" s="20" t="str">
        <f ca="1">IFERROR(__xludf.DUMMYFUNCTION("IF(COUNTIFS($C$2:C1041, C1041, $A$2:A1041, ""&lt;="" &amp; A1041) &lt; 30, AVERAGEIF($C$2:C1041, C1041, $G$2:G1041), AVERAGE(FILTER($G$2:G1041, $C$2:C1041 = C1041, $A$2:A1041 &gt;= A1041 - 30)))
"),"#DIV/0!")</f>
        <v>#DIV/0!</v>
      </c>
      <c r="I1041" s="20" t="e">
        <f t="shared" ca="1" si="21"/>
        <v>#DIV/0!</v>
      </c>
      <c r="J1041" s="20" t="str">
        <f ca="1">IFERROR(__xludf.DUMMYFUNCTION("IF(OR($I1041=2, $I1041=3), 0, IFERROR(COUNTIFS($C$2:C1041, $C1041, $A$2:A1041, ""&gt;""&amp;IFERROR(MAX(FILTER($A$2:A1041, $C$2:C1041=$C1041, $I$2:I1041&lt;&gt;1)), 0), $I$2:I1041, 1),1))
"),"#DIV/0!")</f>
        <v>#DIV/0!</v>
      </c>
      <c r="K1041" s="7" t="e">
        <f t="shared" ca="1" si="22"/>
        <v>#DIV/0!</v>
      </c>
      <c r="L1041" s="20" t="e">
        <f t="shared" ca="1" si="23"/>
        <v>#DIV/0!</v>
      </c>
      <c r="M1041" s="21" t="e">
        <f t="shared" ca="1" si="24"/>
        <v>#DIV/0!</v>
      </c>
      <c r="N1041" s="20" t="str">
        <f ca="1">IFERROR(__xludf.DUMMYFUNCTION("IF(COUNTIFS($C$2:C1041, C1041, $A$2:A1041, ""&lt;="" &amp; A1041) &lt; 30, STDEV.P(FILTER($G$2:G1041, $C$2:C1041 = C1041)), STDEV.P(FILTER($G$2:G1041, $C$2:C1041 = C1041, $A$2:A1041 &gt;= A1041 - 30)))
"),"#DIV/0!")</f>
        <v>#DIV/0!</v>
      </c>
    </row>
    <row r="1042" spans="1:14" x14ac:dyDescent="0.2">
      <c r="A1042" s="41"/>
      <c r="B1042" s="32"/>
      <c r="C1042" s="32"/>
      <c r="D1042" s="33"/>
      <c r="E1042" s="33"/>
      <c r="F1042" s="33"/>
      <c r="G1042" s="19" t="e">
        <f t="shared" si="20"/>
        <v>#DIV/0!</v>
      </c>
      <c r="H1042" s="20" t="str">
        <f ca="1">IFERROR(__xludf.DUMMYFUNCTION("IF(COUNTIFS($C$2:C1042, C1042, $A$2:A1042, ""&lt;="" &amp; A1042) &lt; 30, AVERAGEIF($C$2:C1042, C1042, $G$2:G1042), AVERAGE(FILTER($G$2:G1042, $C$2:C1042 = C1042, $A$2:A1042 &gt;= A1042 - 30)))
"),"#DIV/0!")</f>
        <v>#DIV/0!</v>
      </c>
      <c r="I1042" s="20" t="e">
        <f t="shared" ca="1" si="21"/>
        <v>#DIV/0!</v>
      </c>
      <c r="J1042" s="20" t="str">
        <f ca="1">IFERROR(__xludf.DUMMYFUNCTION("IF(OR($I1042=2, $I1042=3), 0, IFERROR(COUNTIFS($C$2:C1042, $C1042, $A$2:A1042, ""&gt;""&amp;IFERROR(MAX(FILTER($A$2:A1042, $C$2:C1042=$C1042, $I$2:I1042&lt;&gt;1)), 0), $I$2:I1042, 1),1))
"),"#DIV/0!")</f>
        <v>#DIV/0!</v>
      </c>
      <c r="K1042" s="7" t="e">
        <f t="shared" ca="1" si="22"/>
        <v>#DIV/0!</v>
      </c>
      <c r="L1042" s="20" t="e">
        <f t="shared" ca="1" si="23"/>
        <v>#DIV/0!</v>
      </c>
      <c r="M1042" s="21" t="e">
        <f t="shared" ca="1" si="24"/>
        <v>#DIV/0!</v>
      </c>
      <c r="N1042" s="20" t="str">
        <f ca="1">IFERROR(__xludf.DUMMYFUNCTION("IF(COUNTIFS($C$2:C1042, C1042, $A$2:A1042, ""&lt;="" &amp; A1042) &lt; 30, STDEV.P(FILTER($G$2:G1042, $C$2:C1042 = C1042)), STDEV.P(FILTER($G$2:G1042, $C$2:C1042 = C1042, $A$2:A1042 &gt;= A1042 - 30)))
"),"#DIV/0!")</f>
        <v>#DIV/0!</v>
      </c>
    </row>
    <row r="1043" spans="1:14" x14ac:dyDescent="0.2">
      <c r="A1043" s="41"/>
      <c r="B1043" s="32"/>
      <c r="C1043" s="32"/>
      <c r="D1043" s="33"/>
      <c r="E1043" s="33"/>
      <c r="F1043" s="33"/>
      <c r="G1043" s="19" t="e">
        <f t="shared" si="20"/>
        <v>#DIV/0!</v>
      </c>
      <c r="H1043" s="20" t="str">
        <f ca="1">IFERROR(__xludf.DUMMYFUNCTION("IF(COUNTIFS($C$2:C1043, C1043, $A$2:A1043, ""&lt;="" &amp; A1043) &lt; 30, AVERAGEIF($C$2:C1043, C1043, $G$2:G1043), AVERAGE(FILTER($G$2:G1043, $C$2:C1043 = C1043, $A$2:A1043 &gt;= A1043 - 30)))
"),"#DIV/0!")</f>
        <v>#DIV/0!</v>
      </c>
      <c r="I1043" s="20" t="e">
        <f t="shared" ca="1" si="21"/>
        <v>#DIV/0!</v>
      </c>
      <c r="J1043" s="20" t="str">
        <f ca="1">IFERROR(__xludf.DUMMYFUNCTION("IF(OR($I1043=2, $I1043=3), 0, IFERROR(COUNTIFS($C$2:C1043, $C1043, $A$2:A1043, ""&gt;""&amp;IFERROR(MAX(FILTER($A$2:A1043, $C$2:C1043=$C1043, $I$2:I1043&lt;&gt;1)), 0), $I$2:I1043, 1),1))
"),"#DIV/0!")</f>
        <v>#DIV/0!</v>
      </c>
      <c r="K1043" s="7" t="e">
        <f t="shared" ca="1" si="22"/>
        <v>#DIV/0!</v>
      </c>
      <c r="L1043" s="20" t="e">
        <f t="shared" ca="1" si="23"/>
        <v>#DIV/0!</v>
      </c>
      <c r="M1043" s="21" t="e">
        <f t="shared" ca="1" si="24"/>
        <v>#DIV/0!</v>
      </c>
      <c r="N1043" s="20" t="str">
        <f ca="1">IFERROR(__xludf.DUMMYFUNCTION("IF(COUNTIFS($C$2:C1043, C1043, $A$2:A1043, ""&lt;="" &amp; A1043) &lt; 30, STDEV.P(FILTER($G$2:G1043, $C$2:C1043 = C1043)), STDEV.P(FILTER($G$2:G1043, $C$2:C1043 = C1043, $A$2:A1043 &gt;= A1043 - 30)))
"),"#DIV/0!")</f>
        <v>#DIV/0!</v>
      </c>
    </row>
    <row r="1044" spans="1:14" x14ac:dyDescent="0.2">
      <c r="A1044" s="41"/>
      <c r="B1044" s="40"/>
      <c r="C1044" s="40"/>
      <c r="D1044" s="31"/>
      <c r="E1044" s="31"/>
      <c r="F1044" s="31"/>
      <c r="G1044" s="19" t="e">
        <f t="shared" si="20"/>
        <v>#DIV/0!</v>
      </c>
      <c r="H1044" s="20" t="str">
        <f ca="1">IFERROR(__xludf.DUMMYFUNCTION("IF(COUNTIFS($C$2:C1044, C1044, $A$2:A1044, ""&lt;="" &amp; A1044) &lt; 30, AVERAGEIF($C$2:C1044, C1044, $G$2:G1044), AVERAGE(FILTER($G$2:G1044, $C$2:C1044 = C1044, $A$2:A1044 &gt;= A1044 - 30)))
"),"#DIV/0!")</f>
        <v>#DIV/0!</v>
      </c>
      <c r="I1044" s="20" t="e">
        <f t="shared" ca="1" si="21"/>
        <v>#DIV/0!</v>
      </c>
      <c r="J1044" s="20" t="str">
        <f ca="1">IFERROR(__xludf.DUMMYFUNCTION("IF(OR($I1044=2, $I1044=3), 0, IFERROR(COUNTIFS($C$2:C1044, $C1044, $A$2:A1044, ""&gt;""&amp;IFERROR(MAX(FILTER($A$2:A1044, $C$2:C1044=$C1044, $I$2:I1044&lt;&gt;1)), 0), $I$2:I1044, 1),1))
"),"#DIV/0!")</f>
        <v>#DIV/0!</v>
      </c>
      <c r="K1044" s="7" t="e">
        <f t="shared" ca="1" si="22"/>
        <v>#DIV/0!</v>
      </c>
      <c r="L1044" s="20" t="e">
        <f t="shared" ca="1" si="23"/>
        <v>#DIV/0!</v>
      </c>
      <c r="M1044" s="21" t="e">
        <f t="shared" ca="1" si="24"/>
        <v>#DIV/0!</v>
      </c>
      <c r="N1044" s="20" t="str">
        <f ca="1">IFERROR(__xludf.DUMMYFUNCTION("IF(COUNTIFS($C$2:C1044, C1044, $A$2:A1044, ""&lt;="" &amp; A1044) &lt; 30, STDEV.P(FILTER($G$2:G1044, $C$2:C1044 = C1044)), STDEV.P(FILTER($G$2:G1044, $C$2:C1044 = C1044, $A$2:A1044 &gt;= A1044 - 30)))
"),"#DIV/0!")</f>
        <v>#DIV/0!</v>
      </c>
    </row>
    <row r="1045" spans="1:14" x14ac:dyDescent="0.2">
      <c r="A1045" s="41"/>
      <c r="B1045" s="40"/>
      <c r="C1045" s="40"/>
      <c r="D1045" s="31"/>
      <c r="E1045" s="31"/>
      <c r="F1045" s="31"/>
      <c r="G1045" s="19" t="e">
        <f t="shared" si="20"/>
        <v>#DIV/0!</v>
      </c>
      <c r="H1045" s="20" t="str">
        <f ca="1">IFERROR(__xludf.DUMMYFUNCTION("IF(COUNTIFS($C$2:C1045, C1045, $A$2:A1045, ""&lt;="" &amp; A1045) &lt; 30, AVERAGEIF($C$2:C1045, C1045, $G$2:G1045), AVERAGE(FILTER($G$2:G1045, $C$2:C1045 = C1045, $A$2:A1045 &gt;= A1045 - 30)))
"),"#DIV/0!")</f>
        <v>#DIV/0!</v>
      </c>
      <c r="I1045" s="20" t="e">
        <f t="shared" ca="1" si="21"/>
        <v>#DIV/0!</v>
      </c>
      <c r="J1045" s="20" t="str">
        <f ca="1">IFERROR(__xludf.DUMMYFUNCTION("IF(OR($I1045=2, $I1045=3), 0, IFERROR(COUNTIFS($C$2:C1045, $C1045, $A$2:A1045, ""&gt;""&amp;IFERROR(MAX(FILTER($A$2:A1045, $C$2:C1045=$C1045, $I$2:I1045&lt;&gt;1)), 0), $I$2:I1045, 1),1))
"),"#DIV/0!")</f>
        <v>#DIV/0!</v>
      </c>
      <c r="K1045" s="7" t="e">
        <f t="shared" ca="1" si="22"/>
        <v>#DIV/0!</v>
      </c>
      <c r="L1045" s="20" t="e">
        <f t="shared" ca="1" si="23"/>
        <v>#DIV/0!</v>
      </c>
      <c r="M1045" s="21" t="e">
        <f t="shared" ca="1" si="24"/>
        <v>#DIV/0!</v>
      </c>
      <c r="N1045" s="20" t="str">
        <f ca="1">IFERROR(__xludf.DUMMYFUNCTION("IF(COUNTIFS($C$2:C1045, C1045, $A$2:A1045, ""&lt;="" &amp; A1045) &lt; 30, STDEV.P(FILTER($G$2:G1045, $C$2:C1045 = C1045)), STDEV.P(FILTER($G$2:G1045, $C$2:C1045 = C1045, $A$2:A1045 &gt;= A1045 - 30)))
"),"#DIV/0!")</f>
        <v>#DIV/0!</v>
      </c>
    </row>
    <row r="1046" spans="1:14" x14ac:dyDescent="0.2">
      <c r="A1046" s="41"/>
      <c r="B1046" s="40"/>
      <c r="C1046" s="40"/>
      <c r="D1046" s="31"/>
      <c r="E1046" s="31"/>
      <c r="F1046" s="31"/>
      <c r="G1046" s="19" t="e">
        <f t="shared" si="20"/>
        <v>#DIV/0!</v>
      </c>
      <c r="H1046" s="20" t="str">
        <f ca="1">IFERROR(__xludf.DUMMYFUNCTION("IF(COUNTIFS($C$2:C1046, C1046, $A$2:A1046, ""&lt;="" &amp; A1046) &lt; 30, AVERAGEIF($C$2:C1046, C1046, $G$2:G1046), AVERAGE(FILTER($G$2:G1046, $C$2:C1046 = C1046, $A$2:A1046 &gt;= A1046 - 30)))
"),"#DIV/0!")</f>
        <v>#DIV/0!</v>
      </c>
      <c r="I1046" s="20" t="e">
        <f t="shared" ca="1" si="21"/>
        <v>#DIV/0!</v>
      </c>
      <c r="J1046" s="20" t="str">
        <f ca="1">IFERROR(__xludf.DUMMYFUNCTION("IF(OR($I1046=2, $I1046=3), 0, IFERROR(COUNTIFS($C$2:C1046, $C1046, $A$2:A1046, ""&gt;""&amp;IFERROR(MAX(FILTER($A$2:A1046, $C$2:C1046=$C1046, $I$2:I1046&lt;&gt;1)), 0), $I$2:I1046, 1),1))
"),"#DIV/0!")</f>
        <v>#DIV/0!</v>
      </c>
      <c r="K1046" s="7" t="e">
        <f t="shared" ca="1" si="22"/>
        <v>#DIV/0!</v>
      </c>
      <c r="L1046" s="20" t="e">
        <f t="shared" ca="1" si="23"/>
        <v>#DIV/0!</v>
      </c>
      <c r="M1046" s="21" t="e">
        <f t="shared" ca="1" si="24"/>
        <v>#DIV/0!</v>
      </c>
      <c r="N1046" s="20" t="str">
        <f ca="1">IFERROR(__xludf.DUMMYFUNCTION("IF(COUNTIFS($C$2:C1046, C1046, $A$2:A1046, ""&lt;="" &amp; A1046) &lt; 30, STDEV.P(FILTER($G$2:G1046, $C$2:C1046 = C1046)), STDEV.P(FILTER($G$2:G1046, $C$2:C1046 = C1046, $A$2:A1046 &gt;= A1046 - 30)))
"),"#DIV/0!")</f>
        <v>#DIV/0!</v>
      </c>
    </row>
    <row r="1047" spans="1:14" x14ac:dyDescent="0.2">
      <c r="A1047" s="41"/>
      <c r="B1047" s="40"/>
      <c r="C1047" s="40"/>
      <c r="D1047" s="31"/>
      <c r="E1047" s="31"/>
      <c r="F1047" s="31"/>
      <c r="G1047" s="19" t="e">
        <f t="shared" si="20"/>
        <v>#DIV/0!</v>
      </c>
      <c r="H1047" s="20" t="str">
        <f ca="1">IFERROR(__xludf.DUMMYFUNCTION("IF(COUNTIFS($C$2:C1047, C1047, $A$2:A1047, ""&lt;="" &amp; A1047) &lt; 30, AVERAGEIF($C$2:C1047, C1047, $G$2:G1047), AVERAGE(FILTER($G$2:G1047, $C$2:C1047 = C1047, $A$2:A1047 &gt;= A1047 - 30)))
"),"#DIV/0!")</f>
        <v>#DIV/0!</v>
      </c>
      <c r="I1047" s="20" t="e">
        <f t="shared" ca="1" si="21"/>
        <v>#DIV/0!</v>
      </c>
      <c r="J1047" s="20" t="str">
        <f ca="1">IFERROR(__xludf.DUMMYFUNCTION("IF(OR($I1047=2, $I1047=3), 0, IFERROR(COUNTIFS($C$2:C1047, $C1047, $A$2:A1047, ""&gt;""&amp;IFERROR(MAX(FILTER($A$2:A1047, $C$2:C1047=$C1047, $I$2:I1047&lt;&gt;1)), 0), $I$2:I1047, 1),1))
"),"#DIV/0!")</f>
        <v>#DIV/0!</v>
      </c>
      <c r="K1047" s="7" t="e">
        <f t="shared" ca="1" si="22"/>
        <v>#DIV/0!</v>
      </c>
      <c r="L1047" s="20" t="e">
        <f t="shared" ca="1" si="23"/>
        <v>#DIV/0!</v>
      </c>
      <c r="M1047" s="21" t="e">
        <f t="shared" ca="1" si="24"/>
        <v>#DIV/0!</v>
      </c>
      <c r="N1047" s="20" t="str">
        <f ca="1">IFERROR(__xludf.DUMMYFUNCTION("IF(COUNTIFS($C$2:C1047, C1047, $A$2:A1047, ""&lt;="" &amp; A1047) &lt; 30, STDEV.P(FILTER($G$2:G1047, $C$2:C1047 = C1047)), STDEV.P(FILTER($G$2:G1047, $C$2:C1047 = C1047, $A$2:A1047 &gt;= A1047 - 30)))
"),"#DIV/0!")</f>
        <v>#DIV/0!</v>
      </c>
    </row>
    <row r="1048" spans="1:14" x14ac:dyDescent="0.2">
      <c r="A1048" s="41"/>
      <c r="B1048" s="40"/>
      <c r="C1048" s="40"/>
      <c r="D1048" s="31"/>
      <c r="E1048" s="31"/>
      <c r="F1048" s="31"/>
      <c r="G1048" s="19" t="e">
        <f t="shared" si="20"/>
        <v>#DIV/0!</v>
      </c>
      <c r="H1048" s="20" t="str">
        <f ca="1">IFERROR(__xludf.DUMMYFUNCTION("IF(COUNTIFS($C$2:C1048, C1048, $A$2:A1048, ""&lt;="" &amp; A1048) &lt; 30, AVERAGEIF($C$2:C1048, C1048, $G$2:G1048), AVERAGE(FILTER($G$2:G1048, $C$2:C1048 = C1048, $A$2:A1048 &gt;= A1048 - 30)))
"),"#DIV/0!")</f>
        <v>#DIV/0!</v>
      </c>
      <c r="I1048" s="20" t="e">
        <f t="shared" ca="1" si="21"/>
        <v>#DIV/0!</v>
      </c>
      <c r="J1048" s="20" t="str">
        <f ca="1">IFERROR(__xludf.DUMMYFUNCTION("IF(OR($I1048=2, $I1048=3), 0, IFERROR(COUNTIFS($C$2:C1048, $C1048, $A$2:A1048, ""&gt;""&amp;IFERROR(MAX(FILTER($A$2:A1048, $C$2:C1048=$C1048, $I$2:I1048&lt;&gt;1)), 0), $I$2:I1048, 1),1))
"),"#DIV/0!")</f>
        <v>#DIV/0!</v>
      </c>
      <c r="K1048" s="7" t="e">
        <f t="shared" ca="1" si="22"/>
        <v>#DIV/0!</v>
      </c>
      <c r="L1048" s="20" t="e">
        <f t="shared" ca="1" si="23"/>
        <v>#DIV/0!</v>
      </c>
      <c r="M1048" s="21" t="e">
        <f t="shared" ca="1" si="24"/>
        <v>#DIV/0!</v>
      </c>
      <c r="N1048" s="20" t="str">
        <f ca="1">IFERROR(__xludf.DUMMYFUNCTION("IF(COUNTIFS($C$2:C1048, C1048, $A$2:A1048, ""&lt;="" &amp; A1048) &lt; 30, STDEV.P(FILTER($G$2:G1048, $C$2:C1048 = C1048)), STDEV.P(FILTER($G$2:G1048, $C$2:C1048 = C1048, $A$2:A1048 &gt;= A1048 - 30)))
"),"#DIV/0!")</f>
        <v>#DIV/0!</v>
      </c>
    </row>
    <row r="1049" spans="1:14" x14ac:dyDescent="0.2">
      <c r="A1049" s="41"/>
      <c r="B1049" s="40"/>
      <c r="C1049" s="40"/>
      <c r="D1049" s="31"/>
      <c r="E1049" s="31"/>
      <c r="F1049" s="31"/>
      <c r="G1049" s="19" t="e">
        <f t="shared" si="20"/>
        <v>#DIV/0!</v>
      </c>
      <c r="H1049" s="20" t="str">
        <f ca="1">IFERROR(__xludf.DUMMYFUNCTION("IF(COUNTIFS($C$2:C1049, C1049, $A$2:A1049, ""&lt;="" &amp; A1049) &lt; 30, AVERAGEIF($C$2:C1049, C1049, $G$2:G1049), AVERAGE(FILTER($G$2:G1049, $C$2:C1049 = C1049, $A$2:A1049 &gt;= A1049 - 30)))
"),"#DIV/0!")</f>
        <v>#DIV/0!</v>
      </c>
      <c r="I1049" s="20" t="e">
        <f t="shared" ca="1" si="21"/>
        <v>#DIV/0!</v>
      </c>
      <c r="J1049" s="20" t="str">
        <f ca="1">IFERROR(__xludf.DUMMYFUNCTION("IF(OR($I1049=2, $I1049=3), 0, IFERROR(COUNTIFS($C$2:C1049, $C1049, $A$2:A1049, ""&gt;""&amp;IFERROR(MAX(FILTER($A$2:A1049, $C$2:C1049=$C1049, $I$2:I1049&lt;&gt;1)), 0), $I$2:I1049, 1),1))
"),"#DIV/0!")</f>
        <v>#DIV/0!</v>
      </c>
      <c r="K1049" s="7" t="e">
        <f t="shared" ca="1" si="22"/>
        <v>#DIV/0!</v>
      </c>
      <c r="L1049" s="20" t="e">
        <f t="shared" ca="1" si="23"/>
        <v>#DIV/0!</v>
      </c>
      <c r="M1049" s="21" t="e">
        <f t="shared" ca="1" si="24"/>
        <v>#DIV/0!</v>
      </c>
      <c r="N1049" s="20" t="str">
        <f ca="1">IFERROR(__xludf.DUMMYFUNCTION("IF(COUNTIFS($C$2:C1049, C1049, $A$2:A1049, ""&lt;="" &amp; A1049) &lt; 30, STDEV.P(FILTER($G$2:G1049, $C$2:C1049 = C1049)), STDEV.P(FILTER($G$2:G1049, $C$2:C1049 = C1049, $A$2:A1049 &gt;= A1049 - 30)))
"),"#DIV/0!")</f>
        <v>#DIV/0!</v>
      </c>
    </row>
    <row r="1050" spans="1:14" x14ac:dyDescent="0.2">
      <c r="A1050" s="41"/>
      <c r="B1050" s="40"/>
      <c r="C1050" s="40"/>
      <c r="D1050" s="31"/>
      <c r="E1050" s="31"/>
      <c r="F1050" s="31"/>
      <c r="G1050" s="19" t="e">
        <f t="shared" si="20"/>
        <v>#DIV/0!</v>
      </c>
      <c r="H1050" s="20" t="str">
        <f ca="1">IFERROR(__xludf.DUMMYFUNCTION("IF(COUNTIFS($C$2:C1050, C1050, $A$2:A1050, ""&lt;="" &amp; A1050) &lt; 30, AVERAGEIF($C$2:C1050, C1050, $G$2:G1050), AVERAGE(FILTER($G$2:G1050, $C$2:C1050 = C1050, $A$2:A1050 &gt;= A1050 - 30)))
"),"#DIV/0!")</f>
        <v>#DIV/0!</v>
      </c>
      <c r="I1050" s="20" t="e">
        <f t="shared" ca="1" si="21"/>
        <v>#DIV/0!</v>
      </c>
      <c r="J1050" s="20" t="str">
        <f ca="1">IFERROR(__xludf.DUMMYFUNCTION("IF(OR($I1050=2, $I1050=3), 0, IFERROR(COUNTIFS($C$2:C1050, $C1050, $A$2:A1050, ""&gt;""&amp;IFERROR(MAX(FILTER($A$2:A1050, $C$2:C1050=$C1050, $I$2:I1050&lt;&gt;1)), 0), $I$2:I1050, 1),1))
"),"#DIV/0!")</f>
        <v>#DIV/0!</v>
      </c>
      <c r="K1050" s="7" t="e">
        <f t="shared" ca="1" si="22"/>
        <v>#DIV/0!</v>
      </c>
      <c r="L1050" s="20" t="e">
        <f t="shared" ca="1" si="23"/>
        <v>#DIV/0!</v>
      </c>
      <c r="M1050" s="21" t="e">
        <f t="shared" ca="1" si="24"/>
        <v>#DIV/0!</v>
      </c>
      <c r="N1050" s="20" t="str">
        <f ca="1">IFERROR(__xludf.DUMMYFUNCTION("IF(COUNTIFS($C$2:C1050, C1050, $A$2:A1050, ""&lt;="" &amp; A1050) &lt; 30, STDEV.P(FILTER($G$2:G1050, $C$2:C1050 = C1050)), STDEV.P(FILTER($G$2:G1050, $C$2:C1050 = C1050, $A$2:A1050 &gt;= A1050 - 30)))
"),"#DIV/0!")</f>
        <v>#DIV/0!</v>
      </c>
    </row>
    <row r="1051" spans="1:14" x14ac:dyDescent="0.2">
      <c r="A1051" s="41"/>
      <c r="B1051" s="40"/>
      <c r="C1051" s="40"/>
      <c r="D1051" s="31"/>
      <c r="E1051" s="31"/>
      <c r="F1051" s="31"/>
      <c r="G1051" s="19" t="e">
        <f t="shared" si="20"/>
        <v>#DIV/0!</v>
      </c>
      <c r="H1051" s="20" t="str">
        <f ca="1">IFERROR(__xludf.DUMMYFUNCTION("IF(COUNTIFS($C$2:C1051, C1051, $A$2:A1051, ""&lt;="" &amp; A1051) &lt; 30, AVERAGEIF($C$2:C1051, C1051, $G$2:G1051), AVERAGE(FILTER($G$2:G1051, $C$2:C1051 = C1051, $A$2:A1051 &gt;= A1051 - 30)))
"),"#DIV/0!")</f>
        <v>#DIV/0!</v>
      </c>
      <c r="I1051" s="20" t="e">
        <f t="shared" ca="1" si="21"/>
        <v>#DIV/0!</v>
      </c>
      <c r="J1051" s="20" t="str">
        <f ca="1">IFERROR(__xludf.DUMMYFUNCTION("IF(OR($I1051=2, $I1051=3), 0, IFERROR(COUNTIFS($C$2:C1051, $C1051, $A$2:A1051, ""&gt;""&amp;IFERROR(MAX(FILTER($A$2:A1051, $C$2:C1051=$C1051, $I$2:I1051&lt;&gt;1)), 0), $I$2:I1051, 1),1))
"),"#DIV/0!")</f>
        <v>#DIV/0!</v>
      </c>
      <c r="K1051" s="7" t="e">
        <f t="shared" ca="1" si="22"/>
        <v>#DIV/0!</v>
      </c>
      <c r="L1051" s="20" t="e">
        <f t="shared" ca="1" si="23"/>
        <v>#DIV/0!</v>
      </c>
      <c r="M1051" s="21" t="e">
        <f t="shared" ca="1" si="24"/>
        <v>#DIV/0!</v>
      </c>
      <c r="N1051" s="20" t="str">
        <f ca="1">IFERROR(__xludf.DUMMYFUNCTION("IF(COUNTIFS($C$2:C1051, C1051, $A$2:A1051, ""&lt;="" &amp; A1051) &lt; 30, STDEV.P(FILTER($G$2:G1051, $C$2:C1051 = C1051)), STDEV.P(FILTER($G$2:G1051, $C$2:C1051 = C1051, $A$2:A1051 &gt;= A1051 - 30)))
"),"#DIV/0!")</f>
        <v>#DIV/0!</v>
      </c>
    </row>
    <row r="1052" spans="1:14" x14ac:dyDescent="0.2">
      <c r="A1052" s="41"/>
      <c r="B1052" s="40"/>
      <c r="C1052" s="40"/>
      <c r="D1052" s="31"/>
      <c r="E1052" s="31"/>
      <c r="F1052" s="31"/>
      <c r="G1052" s="19" t="e">
        <f t="shared" si="20"/>
        <v>#DIV/0!</v>
      </c>
      <c r="H1052" s="20" t="str">
        <f ca="1">IFERROR(__xludf.DUMMYFUNCTION("IF(COUNTIFS($C$2:C1052, C1052, $A$2:A1052, ""&lt;="" &amp; A1052) &lt; 30, AVERAGEIF($C$2:C1052, C1052, $G$2:G1052), AVERAGE(FILTER($G$2:G1052, $C$2:C1052 = C1052, $A$2:A1052 &gt;= A1052 - 30)))
"),"#DIV/0!")</f>
        <v>#DIV/0!</v>
      </c>
      <c r="I1052" s="20" t="e">
        <f t="shared" ca="1" si="21"/>
        <v>#DIV/0!</v>
      </c>
      <c r="J1052" s="20" t="str">
        <f ca="1">IFERROR(__xludf.DUMMYFUNCTION("IF(OR($I1052=2, $I1052=3), 0, IFERROR(COUNTIFS($C$2:C1052, $C1052, $A$2:A1052, ""&gt;""&amp;IFERROR(MAX(FILTER($A$2:A1052, $C$2:C1052=$C1052, $I$2:I1052&lt;&gt;1)), 0), $I$2:I1052, 1),1))
"),"#DIV/0!")</f>
        <v>#DIV/0!</v>
      </c>
      <c r="K1052" s="7" t="e">
        <f t="shared" ca="1" si="22"/>
        <v>#DIV/0!</v>
      </c>
      <c r="L1052" s="20" t="e">
        <f t="shared" ca="1" si="23"/>
        <v>#DIV/0!</v>
      </c>
      <c r="M1052" s="21" t="e">
        <f t="shared" ca="1" si="24"/>
        <v>#DIV/0!</v>
      </c>
      <c r="N1052" s="20" t="str">
        <f ca="1">IFERROR(__xludf.DUMMYFUNCTION("IF(COUNTIFS($C$2:C1052, C1052, $A$2:A1052, ""&lt;="" &amp; A1052) &lt; 30, STDEV.P(FILTER($G$2:G1052, $C$2:C1052 = C1052)), STDEV.P(FILTER($G$2:G1052, $C$2:C1052 = C1052, $A$2:A1052 &gt;= A1052 - 30)))
"),"#DIV/0!")</f>
        <v>#DIV/0!</v>
      </c>
    </row>
    <row r="1053" spans="1:14" x14ac:dyDescent="0.2">
      <c r="A1053" s="41"/>
      <c r="B1053" s="40"/>
      <c r="C1053" s="40"/>
      <c r="D1053" s="31"/>
      <c r="E1053" s="31"/>
      <c r="F1053" s="31"/>
      <c r="G1053" s="19" t="e">
        <f t="shared" si="20"/>
        <v>#DIV/0!</v>
      </c>
      <c r="H1053" s="20" t="str">
        <f ca="1">IFERROR(__xludf.DUMMYFUNCTION("IF(COUNTIFS($C$2:C1053, C1053, $A$2:A1053, ""&lt;="" &amp; A1053) &lt; 30, AVERAGEIF($C$2:C1053, C1053, $G$2:G1053), AVERAGE(FILTER($G$2:G1053, $C$2:C1053 = C1053, $A$2:A1053 &gt;= A1053 - 30)))
"),"#DIV/0!")</f>
        <v>#DIV/0!</v>
      </c>
      <c r="I1053" s="20" t="e">
        <f t="shared" ca="1" si="21"/>
        <v>#DIV/0!</v>
      </c>
      <c r="J1053" s="20" t="str">
        <f ca="1">IFERROR(__xludf.DUMMYFUNCTION("IF(OR($I1053=2, $I1053=3), 0, IFERROR(COUNTIFS($C$2:C1053, $C1053, $A$2:A1053, ""&gt;""&amp;IFERROR(MAX(FILTER($A$2:A1053, $C$2:C1053=$C1053, $I$2:I1053&lt;&gt;1)), 0), $I$2:I1053, 1),1))
"),"#DIV/0!")</f>
        <v>#DIV/0!</v>
      </c>
      <c r="K1053" s="7" t="e">
        <f t="shared" ca="1" si="22"/>
        <v>#DIV/0!</v>
      </c>
      <c r="L1053" s="20" t="e">
        <f t="shared" ca="1" si="23"/>
        <v>#DIV/0!</v>
      </c>
      <c r="M1053" s="21" t="e">
        <f t="shared" ca="1" si="24"/>
        <v>#DIV/0!</v>
      </c>
      <c r="N1053" s="20" t="str">
        <f ca="1">IFERROR(__xludf.DUMMYFUNCTION("IF(COUNTIFS($C$2:C1053, C1053, $A$2:A1053, ""&lt;="" &amp; A1053) &lt; 30, STDEV.P(FILTER($G$2:G1053, $C$2:C1053 = C1053)), STDEV.P(FILTER($G$2:G1053, $C$2:C1053 = C1053, $A$2:A1053 &gt;= A1053 - 30)))
"),"#DIV/0!")</f>
        <v>#DIV/0!</v>
      </c>
    </row>
    <row r="1054" spans="1:14" x14ac:dyDescent="0.2">
      <c r="A1054" s="41"/>
      <c r="B1054" s="40"/>
      <c r="C1054" s="40"/>
      <c r="D1054" s="31"/>
      <c r="E1054" s="31"/>
      <c r="F1054" s="31"/>
      <c r="G1054" s="19" t="e">
        <f t="shared" si="20"/>
        <v>#DIV/0!</v>
      </c>
      <c r="H1054" s="20" t="str">
        <f ca="1">IFERROR(__xludf.DUMMYFUNCTION("IF(COUNTIFS($C$2:C1054, C1054, $A$2:A1054, ""&lt;="" &amp; A1054) &lt; 30, AVERAGEIF($C$2:C1054, C1054, $G$2:G1054), AVERAGE(FILTER($G$2:G1054, $C$2:C1054 = C1054, $A$2:A1054 &gt;= A1054 - 30)))
"),"#DIV/0!")</f>
        <v>#DIV/0!</v>
      </c>
      <c r="I1054" s="20" t="e">
        <f t="shared" ca="1" si="21"/>
        <v>#DIV/0!</v>
      </c>
      <c r="J1054" s="20" t="str">
        <f ca="1">IFERROR(__xludf.DUMMYFUNCTION("IF(OR($I1054=2, $I1054=3), 0, IFERROR(COUNTIFS($C$2:C1054, $C1054, $A$2:A1054, ""&gt;""&amp;IFERROR(MAX(FILTER($A$2:A1054, $C$2:C1054=$C1054, $I$2:I1054&lt;&gt;1)), 0), $I$2:I1054, 1),1))
"),"#DIV/0!")</f>
        <v>#DIV/0!</v>
      </c>
      <c r="K1054" s="7" t="e">
        <f t="shared" ca="1" si="22"/>
        <v>#DIV/0!</v>
      </c>
      <c r="L1054" s="20" t="e">
        <f t="shared" ca="1" si="23"/>
        <v>#DIV/0!</v>
      </c>
      <c r="M1054" s="21" t="e">
        <f t="shared" ca="1" si="24"/>
        <v>#DIV/0!</v>
      </c>
      <c r="N1054" s="20" t="str">
        <f ca="1">IFERROR(__xludf.DUMMYFUNCTION("IF(COUNTIFS($C$2:C1054, C1054, $A$2:A1054, ""&lt;="" &amp; A1054) &lt; 30, STDEV.P(FILTER($G$2:G1054, $C$2:C1054 = C1054)), STDEV.P(FILTER($G$2:G1054, $C$2:C1054 = C1054, $A$2:A1054 &gt;= A1054 - 30)))
"),"#DIV/0!")</f>
        <v>#DIV/0!</v>
      </c>
    </row>
    <row r="1055" spans="1:14" x14ac:dyDescent="0.2">
      <c r="A1055" s="41"/>
      <c r="B1055" s="40"/>
      <c r="C1055" s="40"/>
      <c r="D1055" s="31"/>
      <c r="E1055" s="31"/>
      <c r="F1055" s="31"/>
      <c r="G1055" s="19" t="e">
        <f t="shared" si="20"/>
        <v>#DIV/0!</v>
      </c>
      <c r="H1055" s="20" t="str">
        <f ca="1">IFERROR(__xludf.DUMMYFUNCTION("IF(COUNTIFS($C$2:C1055, C1055, $A$2:A1055, ""&lt;="" &amp; A1055) &lt; 30, AVERAGEIF($C$2:C1055, C1055, $G$2:G1055), AVERAGE(FILTER($G$2:G1055, $C$2:C1055 = C1055, $A$2:A1055 &gt;= A1055 - 30)))
"),"#DIV/0!")</f>
        <v>#DIV/0!</v>
      </c>
      <c r="I1055" s="20" t="e">
        <f t="shared" ca="1" si="21"/>
        <v>#DIV/0!</v>
      </c>
      <c r="J1055" s="20" t="str">
        <f ca="1">IFERROR(__xludf.DUMMYFUNCTION("IF(OR($I1055=2, $I1055=3), 0, IFERROR(COUNTIFS($C$2:C1055, $C1055, $A$2:A1055, ""&gt;""&amp;IFERROR(MAX(FILTER($A$2:A1055, $C$2:C1055=$C1055, $I$2:I1055&lt;&gt;1)), 0), $I$2:I1055, 1),1))
"),"#DIV/0!")</f>
        <v>#DIV/0!</v>
      </c>
      <c r="K1055" s="7" t="e">
        <f t="shared" ca="1" si="22"/>
        <v>#DIV/0!</v>
      </c>
      <c r="L1055" s="20" t="e">
        <f t="shared" ca="1" si="23"/>
        <v>#DIV/0!</v>
      </c>
      <c r="M1055" s="21" t="e">
        <f t="shared" ca="1" si="24"/>
        <v>#DIV/0!</v>
      </c>
      <c r="N1055" s="20" t="str">
        <f ca="1">IFERROR(__xludf.DUMMYFUNCTION("IF(COUNTIFS($C$2:C1055, C1055, $A$2:A1055, ""&lt;="" &amp; A1055) &lt; 30, STDEV.P(FILTER($G$2:G1055, $C$2:C1055 = C1055)), STDEV.P(FILTER($G$2:G1055, $C$2:C1055 = C1055, $A$2:A1055 &gt;= A1055 - 30)))
"),"#DIV/0!")</f>
        <v>#DIV/0!</v>
      </c>
    </row>
    <row r="1056" spans="1:14" x14ac:dyDescent="0.2">
      <c r="A1056" s="41"/>
      <c r="B1056" s="40"/>
      <c r="C1056" s="40"/>
      <c r="D1056" s="31"/>
      <c r="E1056" s="31"/>
      <c r="F1056" s="31"/>
      <c r="G1056" s="19" t="e">
        <f t="shared" si="20"/>
        <v>#DIV/0!</v>
      </c>
      <c r="H1056" s="20" t="str">
        <f ca="1">IFERROR(__xludf.DUMMYFUNCTION("IF(COUNTIFS($C$2:C1056, C1056, $A$2:A1056, ""&lt;="" &amp; A1056) &lt; 30, AVERAGEIF($C$2:C1056, C1056, $G$2:G1056), AVERAGE(FILTER($G$2:G1056, $C$2:C1056 = C1056, $A$2:A1056 &gt;= A1056 - 30)))
"),"#DIV/0!")</f>
        <v>#DIV/0!</v>
      </c>
      <c r="I1056" s="20" t="e">
        <f t="shared" ca="1" si="21"/>
        <v>#DIV/0!</v>
      </c>
      <c r="J1056" s="20" t="str">
        <f ca="1">IFERROR(__xludf.DUMMYFUNCTION("IF(OR($I1056=2, $I1056=3), 0, IFERROR(COUNTIFS($C$2:C1056, $C1056, $A$2:A1056, ""&gt;""&amp;IFERROR(MAX(FILTER($A$2:A1056, $C$2:C1056=$C1056, $I$2:I1056&lt;&gt;1)), 0), $I$2:I1056, 1),1))
"),"#DIV/0!")</f>
        <v>#DIV/0!</v>
      </c>
      <c r="K1056" s="7" t="e">
        <f t="shared" ca="1" si="22"/>
        <v>#DIV/0!</v>
      </c>
      <c r="L1056" s="20" t="e">
        <f t="shared" ca="1" si="23"/>
        <v>#DIV/0!</v>
      </c>
      <c r="M1056" s="21" t="e">
        <f t="shared" ca="1" si="24"/>
        <v>#DIV/0!</v>
      </c>
      <c r="N1056" s="20" t="str">
        <f ca="1">IFERROR(__xludf.DUMMYFUNCTION("IF(COUNTIFS($C$2:C1056, C1056, $A$2:A1056, ""&lt;="" &amp; A1056) &lt; 30, STDEV.P(FILTER($G$2:G1056, $C$2:C1056 = C1056)), STDEV.P(FILTER($G$2:G1056, $C$2:C1056 = C1056, $A$2:A1056 &gt;= A1056 - 30)))
"),"#DIV/0!")</f>
        <v>#DIV/0!</v>
      </c>
    </row>
    <row r="1057" spans="1:14" x14ac:dyDescent="0.2">
      <c r="A1057" s="41"/>
      <c r="B1057" s="40"/>
      <c r="C1057" s="40"/>
      <c r="D1057" s="31"/>
      <c r="E1057" s="31"/>
      <c r="F1057" s="31"/>
      <c r="G1057" s="19" t="e">
        <f t="shared" si="20"/>
        <v>#DIV/0!</v>
      </c>
      <c r="H1057" s="20" t="str">
        <f ca="1">IFERROR(__xludf.DUMMYFUNCTION("IF(COUNTIFS($C$2:C1057, C1057, $A$2:A1057, ""&lt;="" &amp; A1057) &lt; 30, AVERAGEIF($C$2:C1057, C1057, $G$2:G1057), AVERAGE(FILTER($G$2:G1057, $C$2:C1057 = C1057, $A$2:A1057 &gt;= A1057 - 30)))
"),"#DIV/0!")</f>
        <v>#DIV/0!</v>
      </c>
      <c r="I1057" s="20" t="e">
        <f t="shared" ca="1" si="21"/>
        <v>#DIV/0!</v>
      </c>
      <c r="J1057" s="20" t="str">
        <f ca="1">IFERROR(__xludf.DUMMYFUNCTION("IF(OR($I1057=2, $I1057=3), 0, IFERROR(COUNTIFS($C$2:C1057, $C1057, $A$2:A1057, ""&gt;""&amp;IFERROR(MAX(FILTER($A$2:A1057, $C$2:C1057=$C1057, $I$2:I1057&lt;&gt;1)), 0), $I$2:I1057, 1),1))
"),"#DIV/0!")</f>
        <v>#DIV/0!</v>
      </c>
      <c r="K1057" s="7" t="e">
        <f t="shared" ca="1" si="22"/>
        <v>#DIV/0!</v>
      </c>
      <c r="L1057" s="20" t="e">
        <f t="shared" ca="1" si="23"/>
        <v>#DIV/0!</v>
      </c>
      <c r="M1057" s="21" t="e">
        <f t="shared" ca="1" si="24"/>
        <v>#DIV/0!</v>
      </c>
      <c r="N1057" s="20" t="str">
        <f ca="1">IFERROR(__xludf.DUMMYFUNCTION("IF(COUNTIFS($C$2:C1057, C1057, $A$2:A1057, ""&lt;="" &amp; A1057) &lt; 30, STDEV.P(FILTER($G$2:G1057, $C$2:C1057 = C1057)), STDEV.P(FILTER($G$2:G1057, $C$2:C1057 = C1057, $A$2:A1057 &gt;= A1057 - 30)))
"),"#DIV/0!")</f>
        <v>#DIV/0!</v>
      </c>
    </row>
    <row r="1058" spans="1:14" x14ac:dyDescent="0.2">
      <c r="A1058" s="41"/>
      <c r="B1058" s="40"/>
      <c r="C1058" s="40"/>
      <c r="D1058" s="31"/>
      <c r="E1058" s="31"/>
      <c r="F1058" s="31"/>
      <c r="G1058" s="19" t="e">
        <f t="shared" si="20"/>
        <v>#DIV/0!</v>
      </c>
      <c r="H1058" s="20" t="str">
        <f ca="1">IFERROR(__xludf.DUMMYFUNCTION("IF(COUNTIFS($C$2:C1058, C1058, $A$2:A1058, ""&lt;="" &amp; A1058) &lt; 30, AVERAGEIF($C$2:C1058, C1058, $G$2:G1058), AVERAGE(FILTER($G$2:G1058, $C$2:C1058 = C1058, $A$2:A1058 &gt;= A1058 - 30)))
"),"#DIV/0!")</f>
        <v>#DIV/0!</v>
      </c>
      <c r="I1058" s="20" t="e">
        <f t="shared" ca="1" si="21"/>
        <v>#DIV/0!</v>
      </c>
      <c r="J1058" s="20" t="str">
        <f ca="1">IFERROR(__xludf.DUMMYFUNCTION("IF(OR($I1058=2, $I1058=3), 0, IFERROR(COUNTIFS($C$2:C1058, $C1058, $A$2:A1058, ""&gt;""&amp;IFERROR(MAX(FILTER($A$2:A1058, $C$2:C1058=$C1058, $I$2:I1058&lt;&gt;1)), 0), $I$2:I1058, 1),1))
"),"#DIV/0!")</f>
        <v>#DIV/0!</v>
      </c>
      <c r="K1058" s="7" t="e">
        <f t="shared" ca="1" si="22"/>
        <v>#DIV/0!</v>
      </c>
      <c r="L1058" s="20" t="e">
        <f t="shared" ca="1" si="23"/>
        <v>#DIV/0!</v>
      </c>
      <c r="M1058" s="21" t="e">
        <f t="shared" ca="1" si="24"/>
        <v>#DIV/0!</v>
      </c>
      <c r="N1058" s="20" t="str">
        <f ca="1">IFERROR(__xludf.DUMMYFUNCTION("IF(COUNTIFS($C$2:C1058, C1058, $A$2:A1058, ""&lt;="" &amp; A1058) &lt; 30, STDEV.P(FILTER($G$2:G1058, $C$2:C1058 = C1058)), STDEV.P(FILTER($G$2:G1058, $C$2:C1058 = C1058, $A$2:A1058 &gt;= A1058 - 30)))
"),"#DIV/0!")</f>
        <v>#DIV/0!</v>
      </c>
    </row>
    <row r="1059" spans="1:14" x14ac:dyDescent="0.2">
      <c r="A1059" s="41"/>
      <c r="B1059" s="40"/>
      <c r="C1059" s="40"/>
      <c r="D1059" s="31"/>
      <c r="E1059" s="31"/>
      <c r="F1059" s="31"/>
      <c r="G1059" s="19" t="e">
        <f t="shared" si="20"/>
        <v>#DIV/0!</v>
      </c>
      <c r="H1059" s="20" t="str">
        <f ca="1">IFERROR(__xludf.DUMMYFUNCTION("IF(COUNTIFS($C$2:C1059, C1059, $A$2:A1059, ""&lt;="" &amp; A1059) &lt; 30, AVERAGEIF($C$2:C1059, C1059, $G$2:G1059), AVERAGE(FILTER($G$2:G1059, $C$2:C1059 = C1059, $A$2:A1059 &gt;= A1059 - 30)))
"),"#DIV/0!")</f>
        <v>#DIV/0!</v>
      </c>
      <c r="I1059" s="20" t="e">
        <f t="shared" ca="1" si="21"/>
        <v>#DIV/0!</v>
      </c>
      <c r="J1059" s="20" t="str">
        <f ca="1">IFERROR(__xludf.DUMMYFUNCTION("IF(OR($I1059=2, $I1059=3), 0, IFERROR(COUNTIFS($C$2:C1059, $C1059, $A$2:A1059, ""&gt;""&amp;IFERROR(MAX(FILTER($A$2:A1059, $C$2:C1059=$C1059, $I$2:I1059&lt;&gt;1)), 0), $I$2:I1059, 1),1))
"),"#DIV/0!")</f>
        <v>#DIV/0!</v>
      </c>
      <c r="K1059" s="7" t="e">
        <f t="shared" ca="1" si="22"/>
        <v>#DIV/0!</v>
      </c>
      <c r="L1059" s="20" t="e">
        <f t="shared" ca="1" si="23"/>
        <v>#DIV/0!</v>
      </c>
      <c r="M1059" s="21" t="e">
        <f t="shared" ca="1" si="24"/>
        <v>#DIV/0!</v>
      </c>
      <c r="N1059" s="20" t="str">
        <f ca="1">IFERROR(__xludf.DUMMYFUNCTION("IF(COUNTIFS($C$2:C1059, C1059, $A$2:A1059, ""&lt;="" &amp; A1059) &lt; 30, STDEV.P(FILTER($G$2:G1059, $C$2:C1059 = C1059)), STDEV.P(FILTER($G$2:G1059, $C$2:C1059 = C1059, $A$2:A1059 &gt;= A1059 - 30)))
"),"#DIV/0!")</f>
        <v>#DIV/0!</v>
      </c>
    </row>
    <row r="1060" spans="1:14" x14ac:dyDescent="0.2">
      <c r="A1060" s="41"/>
      <c r="B1060" s="40"/>
      <c r="C1060" s="40"/>
      <c r="D1060" s="31"/>
      <c r="E1060" s="31"/>
      <c r="F1060" s="31"/>
      <c r="G1060" s="19" t="e">
        <f t="shared" si="20"/>
        <v>#DIV/0!</v>
      </c>
      <c r="H1060" s="20" t="str">
        <f ca="1">IFERROR(__xludf.DUMMYFUNCTION("IF(COUNTIFS($C$2:C1060, C1060, $A$2:A1060, ""&lt;="" &amp; A1060) &lt; 30, AVERAGEIF($C$2:C1060, C1060, $G$2:G1060), AVERAGE(FILTER($G$2:G1060, $C$2:C1060 = C1060, $A$2:A1060 &gt;= A1060 - 30)))
"),"#DIV/0!")</f>
        <v>#DIV/0!</v>
      </c>
      <c r="I1060" s="20" t="e">
        <f t="shared" ca="1" si="21"/>
        <v>#DIV/0!</v>
      </c>
      <c r="J1060" s="20" t="str">
        <f ca="1">IFERROR(__xludf.DUMMYFUNCTION("IF(OR($I1060=2, $I1060=3), 0, IFERROR(COUNTIFS($C$2:C1060, $C1060, $A$2:A1060, ""&gt;""&amp;IFERROR(MAX(FILTER($A$2:A1060, $C$2:C1060=$C1060, $I$2:I1060&lt;&gt;1)), 0), $I$2:I1060, 1),1))
"),"#DIV/0!")</f>
        <v>#DIV/0!</v>
      </c>
      <c r="K1060" s="7" t="e">
        <f t="shared" ca="1" si="22"/>
        <v>#DIV/0!</v>
      </c>
      <c r="L1060" s="20" t="e">
        <f t="shared" ca="1" si="23"/>
        <v>#DIV/0!</v>
      </c>
      <c r="M1060" s="21" t="e">
        <f t="shared" ca="1" si="24"/>
        <v>#DIV/0!</v>
      </c>
      <c r="N1060" s="20" t="str">
        <f ca="1">IFERROR(__xludf.DUMMYFUNCTION("IF(COUNTIFS($C$2:C1060, C1060, $A$2:A1060, ""&lt;="" &amp; A1060) &lt; 30, STDEV.P(FILTER($G$2:G1060, $C$2:C1060 = C1060)), STDEV.P(FILTER($G$2:G1060, $C$2:C1060 = C1060, $A$2:A1060 &gt;= A1060 - 30)))
"),"#DIV/0!")</f>
        <v>#DIV/0!</v>
      </c>
    </row>
    <row r="1061" spans="1:14" x14ac:dyDescent="0.2">
      <c r="A1061" s="41"/>
      <c r="B1061" s="40"/>
      <c r="C1061" s="40"/>
      <c r="D1061" s="31"/>
      <c r="E1061" s="31"/>
      <c r="F1061" s="31"/>
      <c r="G1061" s="19" t="e">
        <f t="shared" si="20"/>
        <v>#DIV/0!</v>
      </c>
      <c r="H1061" s="20" t="str">
        <f ca="1">IFERROR(__xludf.DUMMYFUNCTION("IF(COUNTIFS($C$2:C1061, C1061, $A$2:A1061, ""&lt;="" &amp; A1061) &lt; 30, AVERAGEIF($C$2:C1061, C1061, $G$2:G1061), AVERAGE(FILTER($G$2:G1061, $C$2:C1061 = C1061, $A$2:A1061 &gt;= A1061 - 30)))
"),"#DIV/0!")</f>
        <v>#DIV/0!</v>
      </c>
      <c r="I1061" s="20" t="e">
        <f t="shared" ca="1" si="21"/>
        <v>#DIV/0!</v>
      </c>
      <c r="J1061" s="20" t="str">
        <f ca="1">IFERROR(__xludf.DUMMYFUNCTION("IF(OR($I1061=2, $I1061=3), 0, IFERROR(COUNTIFS($C$2:C1061, $C1061, $A$2:A1061, ""&gt;""&amp;IFERROR(MAX(FILTER($A$2:A1061, $C$2:C1061=$C1061, $I$2:I1061&lt;&gt;1)), 0), $I$2:I1061, 1),1))
"),"#DIV/0!")</f>
        <v>#DIV/0!</v>
      </c>
      <c r="K1061" s="7" t="e">
        <f t="shared" ca="1" si="22"/>
        <v>#DIV/0!</v>
      </c>
      <c r="L1061" s="20" t="e">
        <f t="shared" ca="1" si="23"/>
        <v>#DIV/0!</v>
      </c>
      <c r="M1061" s="21" t="e">
        <f t="shared" ca="1" si="24"/>
        <v>#DIV/0!</v>
      </c>
      <c r="N1061" s="20" t="str">
        <f ca="1">IFERROR(__xludf.DUMMYFUNCTION("IF(COUNTIFS($C$2:C1061, C1061, $A$2:A1061, ""&lt;="" &amp; A1061) &lt; 30, STDEV.P(FILTER($G$2:G1061, $C$2:C1061 = C1061)), STDEV.P(FILTER($G$2:G1061, $C$2:C1061 = C1061, $A$2:A1061 &gt;= A1061 - 30)))
"),"#DIV/0!")</f>
        <v>#DIV/0!</v>
      </c>
    </row>
    <row r="1062" spans="1:14" x14ac:dyDescent="0.2">
      <c r="A1062" s="41"/>
      <c r="B1062" s="40"/>
      <c r="C1062" s="40"/>
      <c r="D1062" s="31"/>
      <c r="E1062" s="31"/>
      <c r="F1062" s="31"/>
      <c r="G1062" s="19" t="e">
        <f t="shared" si="20"/>
        <v>#DIV/0!</v>
      </c>
      <c r="H1062" s="20" t="str">
        <f ca="1">IFERROR(__xludf.DUMMYFUNCTION("IF(COUNTIFS($C$2:C1062, C1062, $A$2:A1062, ""&lt;="" &amp; A1062) &lt; 30, AVERAGEIF($C$2:C1062, C1062, $G$2:G1062), AVERAGE(FILTER($G$2:G1062, $C$2:C1062 = C1062, $A$2:A1062 &gt;= A1062 - 30)))
"),"#DIV/0!")</f>
        <v>#DIV/0!</v>
      </c>
      <c r="I1062" s="20" t="e">
        <f t="shared" ca="1" si="21"/>
        <v>#DIV/0!</v>
      </c>
      <c r="J1062" s="20" t="str">
        <f ca="1">IFERROR(__xludf.DUMMYFUNCTION("IF(OR($I1062=2, $I1062=3), 0, IFERROR(COUNTIFS($C$2:C1062, $C1062, $A$2:A1062, ""&gt;""&amp;IFERROR(MAX(FILTER($A$2:A1062, $C$2:C1062=$C1062, $I$2:I1062&lt;&gt;1)), 0), $I$2:I1062, 1),1))
"),"#DIV/0!")</f>
        <v>#DIV/0!</v>
      </c>
      <c r="K1062" s="7" t="e">
        <f t="shared" ca="1" si="22"/>
        <v>#DIV/0!</v>
      </c>
      <c r="L1062" s="20" t="e">
        <f t="shared" ca="1" si="23"/>
        <v>#DIV/0!</v>
      </c>
      <c r="M1062" s="21" t="e">
        <f t="shared" ca="1" si="24"/>
        <v>#DIV/0!</v>
      </c>
      <c r="N1062" s="20" t="str">
        <f ca="1">IFERROR(__xludf.DUMMYFUNCTION("IF(COUNTIFS($C$2:C1062, C1062, $A$2:A1062, ""&lt;="" &amp; A1062) &lt; 30, STDEV.P(FILTER($G$2:G1062, $C$2:C1062 = C1062)), STDEV.P(FILTER($G$2:G1062, $C$2:C1062 = C1062, $A$2:A1062 &gt;= A1062 - 30)))
"),"#DIV/0!")</f>
        <v>#DIV/0!</v>
      </c>
    </row>
    <row r="1063" spans="1:14" x14ac:dyDescent="0.2">
      <c r="A1063" s="41"/>
      <c r="B1063" s="40"/>
      <c r="C1063" s="40"/>
      <c r="D1063" s="31"/>
      <c r="E1063" s="31"/>
      <c r="F1063" s="31"/>
      <c r="G1063" s="19" t="e">
        <f t="shared" si="20"/>
        <v>#DIV/0!</v>
      </c>
      <c r="H1063" s="20" t="str">
        <f ca="1">IFERROR(__xludf.DUMMYFUNCTION("IF(COUNTIFS($C$2:C1063, C1063, $A$2:A1063, ""&lt;="" &amp; A1063) &lt; 30, AVERAGEIF($C$2:C1063, C1063, $G$2:G1063), AVERAGE(FILTER($G$2:G1063, $C$2:C1063 = C1063, $A$2:A1063 &gt;= A1063 - 30)))
"),"#DIV/0!")</f>
        <v>#DIV/0!</v>
      </c>
      <c r="I1063" s="20" t="e">
        <f t="shared" ca="1" si="21"/>
        <v>#DIV/0!</v>
      </c>
      <c r="J1063" s="20" t="str">
        <f ca="1">IFERROR(__xludf.DUMMYFUNCTION("IF(OR($I1063=2, $I1063=3), 0, IFERROR(COUNTIFS($C$2:C1063, $C1063, $A$2:A1063, ""&gt;""&amp;IFERROR(MAX(FILTER($A$2:A1063, $C$2:C1063=$C1063, $I$2:I1063&lt;&gt;1)), 0), $I$2:I1063, 1),1))
"),"#DIV/0!")</f>
        <v>#DIV/0!</v>
      </c>
      <c r="K1063" s="7" t="e">
        <f t="shared" ca="1" si="22"/>
        <v>#DIV/0!</v>
      </c>
      <c r="L1063" s="20" t="e">
        <f t="shared" ca="1" si="23"/>
        <v>#DIV/0!</v>
      </c>
      <c r="M1063" s="21" t="e">
        <f t="shared" ca="1" si="24"/>
        <v>#DIV/0!</v>
      </c>
      <c r="N1063" s="20" t="str">
        <f ca="1">IFERROR(__xludf.DUMMYFUNCTION("IF(COUNTIFS($C$2:C1063, C1063, $A$2:A1063, ""&lt;="" &amp; A1063) &lt; 30, STDEV.P(FILTER($G$2:G1063, $C$2:C1063 = C1063)), STDEV.P(FILTER($G$2:G1063, $C$2:C1063 = C1063, $A$2:A1063 &gt;= A1063 - 30)))
"),"#DIV/0!")</f>
        <v>#DIV/0!</v>
      </c>
    </row>
    <row r="1064" spans="1:14" x14ac:dyDescent="0.2">
      <c r="A1064" s="41"/>
      <c r="B1064" s="40"/>
      <c r="C1064" s="40"/>
      <c r="D1064" s="31"/>
      <c r="E1064" s="31"/>
      <c r="F1064" s="31"/>
      <c r="G1064" s="19" t="e">
        <f t="shared" si="20"/>
        <v>#DIV/0!</v>
      </c>
      <c r="H1064" s="20" t="str">
        <f ca="1">IFERROR(__xludf.DUMMYFUNCTION("IF(COUNTIFS($C$2:C1064, C1064, $A$2:A1064, ""&lt;="" &amp; A1064) &lt; 30, AVERAGEIF($C$2:C1064, C1064, $G$2:G1064), AVERAGE(FILTER($G$2:G1064, $C$2:C1064 = C1064, $A$2:A1064 &gt;= A1064 - 30)))
"),"#DIV/0!")</f>
        <v>#DIV/0!</v>
      </c>
      <c r="I1064" s="20" t="e">
        <f t="shared" ca="1" si="21"/>
        <v>#DIV/0!</v>
      </c>
      <c r="J1064" s="20" t="str">
        <f ca="1">IFERROR(__xludf.DUMMYFUNCTION("IF(OR($I1064=2, $I1064=3), 0, IFERROR(COUNTIFS($C$2:C1064, $C1064, $A$2:A1064, ""&gt;""&amp;IFERROR(MAX(FILTER($A$2:A1064, $C$2:C1064=$C1064, $I$2:I1064&lt;&gt;1)), 0), $I$2:I1064, 1),1))
"),"#DIV/0!")</f>
        <v>#DIV/0!</v>
      </c>
      <c r="K1064" s="7" t="e">
        <f t="shared" ca="1" si="22"/>
        <v>#DIV/0!</v>
      </c>
      <c r="L1064" s="20" t="e">
        <f t="shared" ca="1" si="23"/>
        <v>#DIV/0!</v>
      </c>
      <c r="M1064" s="21" t="e">
        <f t="shared" ca="1" si="24"/>
        <v>#DIV/0!</v>
      </c>
      <c r="N1064" s="20" t="str">
        <f ca="1">IFERROR(__xludf.DUMMYFUNCTION("IF(COUNTIFS($C$2:C1064, C1064, $A$2:A1064, ""&lt;="" &amp; A1064) &lt; 30, STDEV.P(FILTER($G$2:G1064, $C$2:C1064 = C1064)), STDEV.P(FILTER($G$2:G1064, $C$2:C1064 = C1064, $A$2:A1064 &gt;= A1064 - 30)))
"),"#DIV/0!")</f>
        <v>#DIV/0!</v>
      </c>
    </row>
    <row r="1065" spans="1:14" x14ac:dyDescent="0.2">
      <c r="A1065" s="41"/>
      <c r="B1065" s="40"/>
      <c r="C1065" s="40"/>
      <c r="D1065" s="31"/>
      <c r="E1065" s="31"/>
      <c r="F1065" s="31"/>
      <c r="G1065" s="19" t="e">
        <f t="shared" si="20"/>
        <v>#DIV/0!</v>
      </c>
      <c r="H1065" s="20" t="str">
        <f ca="1">IFERROR(__xludf.DUMMYFUNCTION("IF(COUNTIFS($C$2:C1065, C1065, $A$2:A1065, ""&lt;="" &amp; A1065) &lt; 30, AVERAGEIF($C$2:C1065, C1065, $G$2:G1065), AVERAGE(FILTER($G$2:G1065, $C$2:C1065 = C1065, $A$2:A1065 &gt;= A1065 - 30)))
"),"#DIV/0!")</f>
        <v>#DIV/0!</v>
      </c>
      <c r="I1065" s="20" t="e">
        <f t="shared" ca="1" si="21"/>
        <v>#DIV/0!</v>
      </c>
      <c r="J1065" s="20" t="str">
        <f ca="1">IFERROR(__xludf.DUMMYFUNCTION("IF(OR($I1065=2, $I1065=3), 0, IFERROR(COUNTIFS($C$2:C1065, $C1065, $A$2:A1065, ""&gt;""&amp;IFERROR(MAX(FILTER($A$2:A1065, $C$2:C1065=$C1065, $I$2:I1065&lt;&gt;1)), 0), $I$2:I1065, 1),1))
"),"#DIV/0!")</f>
        <v>#DIV/0!</v>
      </c>
      <c r="K1065" s="7" t="e">
        <f t="shared" ca="1" si="22"/>
        <v>#DIV/0!</v>
      </c>
      <c r="L1065" s="20" t="e">
        <f t="shared" ca="1" si="23"/>
        <v>#DIV/0!</v>
      </c>
      <c r="M1065" s="21" t="e">
        <f t="shared" ca="1" si="24"/>
        <v>#DIV/0!</v>
      </c>
      <c r="N1065" s="20" t="str">
        <f ca="1">IFERROR(__xludf.DUMMYFUNCTION("IF(COUNTIFS($C$2:C1065, C1065, $A$2:A1065, ""&lt;="" &amp; A1065) &lt; 30, STDEV.P(FILTER($G$2:G1065, $C$2:C1065 = C1065)), STDEV.P(FILTER($G$2:G1065, $C$2:C1065 = C1065, $A$2:A1065 &gt;= A1065 - 30)))
"),"#DIV/0!")</f>
        <v>#DIV/0!</v>
      </c>
    </row>
    <row r="1066" spans="1:14" x14ac:dyDescent="0.2">
      <c r="A1066" s="41"/>
      <c r="B1066" s="40"/>
      <c r="C1066" s="40"/>
      <c r="D1066" s="31"/>
      <c r="E1066" s="31"/>
      <c r="F1066" s="31"/>
      <c r="G1066" s="19" t="e">
        <f t="shared" si="20"/>
        <v>#DIV/0!</v>
      </c>
      <c r="H1066" s="20" t="str">
        <f ca="1">IFERROR(__xludf.DUMMYFUNCTION("IF(COUNTIFS($C$2:C1066, C1066, $A$2:A1066, ""&lt;="" &amp; A1066) &lt; 30, AVERAGEIF($C$2:C1066, C1066, $G$2:G1066), AVERAGE(FILTER($G$2:G1066, $C$2:C1066 = C1066, $A$2:A1066 &gt;= A1066 - 30)))
"),"#DIV/0!")</f>
        <v>#DIV/0!</v>
      </c>
      <c r="I1066" s="20" t="e">
        <f t="shared" ca="1" si="21"/>
        <v>#DIV/0!</v>
      </c>
      <c r="J1066" s="20" t="str">
        <f ca="1">IFERROR(__xludf.DUMMYFUNCTION("IF(OR($I1066=2, $I1066=3), 0, IFERROR(COUNTIFS($C$2:C1066, $C1066, $A$2:A1066, ""&gt;""&amp;IFERROR(MAX(FILTER($A$2:A1066, $C$2:C1066=$C1066, $I$2:I1066&lt;&gt;1)), 0), $I$2:I1066, 1),1))
"),"#DIV/0!")</f>
        <v>#DIV/0!</v>
      </c>
      <c r="K1066" s="7" t="e">
        <f t="shared" ca="1" si="22"/>
        <v>#DIV/0!</v>
      </c>
      <c r="L1066" s="20" t="e">
        <f t="shared" ca="1" si="23"/>
        <v>#DIV/0!</v>
      </c>
      <c r="M1066" s="21" t="e">
        <f t="shared" ca="1" si="24"/>
        <v>#DIV/0!</v>
      </c>
      <c r="N1066" s="20" t="str">
        <f ca="1">IFERROR(__xludf.DUMMYFUNCTION("IF(COUNTIFS($C$2:C1066, C1066, $A$2:A1066, ""&lt;="" &amp; A1066) &lt; 30, STDEV.P(FILTER($G$2:G1066, $C$2:C1066 = C1066)), STDEV.P(FILTER($G$2:G1066, $C$2:C1066 = C1066, $A$2:A1066 &gt;= A1066 - 30)))
"),"#DIV/0!")</f>
        <v>#DIV/0!</v>
      </c>
    </row>
    <row r="1067" spans="1:14" x14ac:dyDescent="0.2">
      <c r="A1067" s="41"/>
      <c r="B1067" s="40"/>
      <c r="C1067" s="40"/>
      <c r="D1067" s="31"/>
      <c r="E1067" s="31"/>
      <c r="F1067" s="31"/>
      <c r="G1067" s="19" t="e">
        <f t="shared" si="20"/>
        <v>#DIV/0!</v>
      </c>
      <c r="H1067" s="20" t="str">
        <f ca="1">IFERROR(__xludf.DUMMYFUNCTION("IF(COUNTIFS($C$2:C1067, C1067, $A$2:A1067, ""&lt;="" &amp; A1067) &lt; 30, AVERAGEIF($C$2:C1067, C1067, $G$2:G1067), AVERAGE(FILTER($G$2:G1067, $C$2:C1067 = C1067, $A$2:A1067 &gt;= A1067 - 30)))
"),"#DIV/0!")</f>
        <v>#DIV/0!</v>
      </c>
      <c r="I1067" s="20" t="e">
        <f t="shared" ca="1" si="21"/>
        <v>#DIV/0!</v>
      </c>
      <c r="J1067" s="20" t="str">
        <f ca="1">IFERROR(__xludf.DUMMYFUNCTION("IF(OR($I1067=2, $I1067=3), 0, IFERROR(COUNTIFS($C$2:C1067, $C1067, $A$2:A1067, ""&gt;""&amp;IFERROR(MAX(FILTER($A$2:A1067, $C$2:C1067=$C1067, $I$2:I1067&lt;&gt;1)), 0), $I$2:I1067, 1),1))
"),"#DIV/0!")</f>
        <v>#DIV/0!</v>
      </c>
      <c r="K1067" s="7" t="e">
        <f t="shared" ca="1" si="22"/>
        <v>#DIV/0!</v>
      </c>
      <c r="L1067" s="20" t="e">
        <f t="shared" ca="1" si="23"/>
        <v>#DIV/0!</v>
      </c>
      <c r="M1067" s="21" t="e">
        <f t="shared" ca="1" si="24"/>
        <v>#DIV/0!</v>
      </c>
      <c r="N1067" s="20" t="str">
        <f ca="1">IFERROR(__xludf.DUMMYFUNCTION("IF(COUNTIFS($C$2:C1067, C1067, $A$2:A1067, ""&lt;="" &amp; A1067) &lt; 30, STDEV.P(FILTER($G$2:G1067, $C$2:C1067 = C1067)), STDEV.P(FILTER($G$2:G1067, $C$2:C1067 = C1067, $A$2:A1067 &gt;= A1067 - 30)))
"),"#DIV/0!")</f>
        <v>#DIV/0!</v>
      </c>
    </row>
    <row r="1068" spans="1:14" x14ac:dyDescent="0.2">
      <c r="A1068" s="41"/>
      <c r="B1068" s="40"/>
      <c r="C1068" s="40"/>
      <c r="D1068" s="31"/>
      <c r="E1068" s="31"/>
      <c r="F1068" s="31"/>
      <c r="G1068" s="19" t="e">
        <f t="shared" si="20"/>
        <v>#DIV/0!</v>
      </c>
      <c r="H1068" s="20" t="str">
        <f ca="1">IFERROR(__xludf.DUMMYFUNCTION("IF(COUNTIFS($C$2:C1068, C1068, $A$2:A1068, ""&lt;="" &amp; A1068) &lt; 30, AVERAGEIF($C$2:C1068, C1068, $G$2:G1068), AVERAGE(FILTER($G$2:G1068, $C$2:C1068 = C1068, $A$2:A1068 &gt;= A1068 - 30)))
"),"#DIV/0!")</f>
        <v>#DIV/0!</v>
      </c>
      <c r="I1068" s="20" t="e">
        <f t="shared" ca="1" si="21"/>
        <v>#DIV/0!</v>
      </c>
      <c r="J1068" s="20" t="str">
        <f ca="1">IFERROR(__xludf.DUMMYFUNCTION("IF(OR($I1068=2, $I1068=3), 0, IFERROR(COUNTIFS($C$2:C1068, $C1068, $A$2:A1068, ""&gt;""&amp;IFERROR(MAX(FILTER($A$2:A1068, $C$2:C1068=$C1068, $I$2:I1068&lt;&gt;1)), 0), $I$2:I1068, 1),1))
"),"#DIV/0!")</f>
        <v>#DIV/0!</v>
      </c>
      <c r="K1068" s="7" t="e">
        <f t="shared" ca="1" si="22"/>
        <v>#DIV/0!</v>
      </c>
      <c r="L1068" s="20" t="e">
        <f t="shared" ca="1" si="23"/>
        <v>#DIV/0!</v>
      </c>
      <c r="M1068" s="21" t="e">
        <f t="shared" ca="1" si="24"/>
        <v>#DIV/0!</v>
      </c>
      <c r="N1068" s="20" t="str">
        <f ca="1">IFERROR(__xludf.DUMMYFUNCTION("IF(COUNTIFS($C$2:C1068, C1068, $A$2:A1068, ""&lt;="" &amp; A1068) &lt; 30, STDEV.P(FILTER($G$2:G1068, $C$2:C1068 = C1068)), STDEV.P(FILTER($G$2:G1068, $C$2:C1068 = C1068, $A$2:A1068 &gt;= A1068 - 30)))
"),"#DIV/0!")</f>
        <v>#DIV/0!</v>
      </c>
    </row>
    <row r="1069" spans="1:14" x14ac:dyDescent="0.2">
      <c r="A1069" s="41"/>
      <c r="B1069" s="40"/>
      <c r="C1069" s="40"/>
      <c r="D1069" s="31"/>
      <c r="E1069" s="31"/>
      <c r="F1069" s="31"/>
      <c r="G1069" s="19" t="e">
        <f t="shared" si="20"/>
        <v>#DIV/0!</v>
      </c>
      <c r="H1069" s="20" t="str">
        <f ca="1">IFERROR(__xludf.DUMMYFUNCTION("IF(COUNTIFS($C$2:C1069, C1069, $A$2:A1069, ""&lt;="" &amp; A1069) &lt; 30, AVERAGEIF($C$2:C1069, C1069, $G$2:G1069), AVERAGE(FILTER($G$2:G1069, $C$2:C1069 = C1069, $A$2:A1069 &gt;= A1069 - 30)))
"),"#DIV/0!")</f>
        <v>#DIV/0!</v>
      </c>
      <c r="I1069" s="20" t="e">
        <f t="shared" ca="1" si="21"/>
        <v>#DIV/0!</v>
      </c>
      <c r="J1069" s="20" t="str">
        <f ca="1">IFERROR(__xludf.DUMMYFUNCTION("IF(OR($I1069=2, $I1069=3), 0, IFERROR(COUNTIFS($C$2:C1069, $C1069, $A$2:A1069, ""&gt;""&amp;IFERROR(MAX(FILTER($A$2:A1069, $C$2:C1069=$C1069, $I$2:I1069&lt;&gt;1)), 0), $I$2:I1069, 1),1))
"),"#DIV/0!")</f>
        <v>#DIV/0!</v>
      </c>
      <c r="K1069" s="7" t="e">
        <f t="shared" ca="1" si="22"/>
        <v>#DIV/0!</v>
      </c>
      <c r="L1069" s="20" t="e">
        <f t="shared" ca="1" si="23"/>
        <v>#DIV/0!</v>
      </c>
      <c r="M1069" s="21" t="e">
        <f t="shared" ca="1" si="24"/>
        <v>#DIV/0!</v>
      </c>
      <c r="N1069" s="20" t="str">
        <f ca="1">IFERROR(__xludf.DUMMYFUNCTION("IF(COUNTIFS($C$2:C1069, C1069, $A$2:A1069, ""&lt;="" &amp; A1069) &lt; 30, STDEV.P(FILTER($G$2:G1069, $C$2:C1069 = C1069)), STDEV.P(FILTER($G$2:G1069, $C$2:C1069 = C1069, $A$2:A1069 &gt;= A1069 - 30)))
"),"#DIV/0!")</f>
        <v>#DIV/0!</v>
      </c>
    </row>
    <row r="1070" spans="1:14" x14ac:dyDescent="0.2">
      <c r="A1070" s="41"/>
      <c r="B1070" s="40"/>
      <c r="C1070" s="40"/>
      <c r="D1070" s="31"/>
      <c r="E1070" s="31"/>
      <c r="F1070" s="31"/>
      <c r="G1070" s="19" t="e">
        <f t="shared" si="20"/>
        <v>#DIV/0!</v>
      </c>
      <c r="H1070" s="20" t="str">
        <f ca="1">IFERROR(__xludf.DUMMYFUNCTION("IF(COUNTIFS($C$2:C1070, C1070, $A$2:A1070, ""&lt;="" &amp; A1070) &lt; 30, AVERAGEIF($C$2:C1070, C1070, $G$2:G1070), AVERAGE(FILTER($G$2:G1070, $C$2:C1070 = C1070, $A$2:A1070 &gt;= A1070 - 30)))
"),"#DIV/0!")</f>
        <v>#DIV/0!</v>
      </c>
      <c r="I1070" s="20" t="e">
        <f t="shared" ca="1" si="21"/>
        <v>#DIV/0!</v>
      </c>
      <c r="J1070" s="20" t="str">
        <f ca="1">IFERROR(__xludf.DUMMYFUNCTION("IF(OR($I1070=2, $I1070=3), 0, IFERROR(COUNTIFS($C$2:C1070, $C1070, $A$2:A1070, ""&gt;""&amp;IFERROR(MAX(FILTER($A$2:A1070, $C$2:C1070=$C1070, $I$2:I1070&lt;&gt;1)), 0), $I$2:I1070, 1),1))
"),"#DIV/0!")</f>
        <v>#DIV/0!</v>
      </c>
      <c r="K1070" s="7" t="e">
        <f t="shared" ca="1" si="22"/>
        <v>#DIV/0!</v>
      </c>
      <c r="L1070" s="20" t="e">
        <f t="shared" ca="1" si="23"/>
        <v>#DIV/0!</v>
      </c>
      <c r="M1070" s="21" t="e">
        <f t="shared" ca="1" si="24"/>
        <v>#DIV/0!</v>
      </c>
      <c r="N1070" s="20" t="str">
        <f ca="1">IFERROR(__xludf.DUMMYFUNCTION("IF(COUNTIFS($C$2:C1070, C1070, $A$2:A1070, ""&lt;="" &amp; A1070) &lt; 30, STDEV.P(FILTER($G$2:G1070, $C$2:C1070 = C1070)), STDEV.P(FILTER($G$2:G1070, $C$2:C1070 = C1070, $A$2:A1070 &gt;= A1070 - 30)))
"),"#DIV/0!")</f>
        <v>#DIV/0!</v>
      </c>
    </row>
    <row r="1071" spans="1:14" x14ac:dyDescent="0.2">
      <c r="A1071" s="41"/>
      <c r="B1071" s="40"/>
      <c r="C1071" s="40"/>
      <c r="D1071" s="31"/>
      <c r="E1071" s="31"/>
      <c r="F1071" s="31"/>
      <c r="G1071" s="19" t="e">
        <f t="shared" si="20"/>
        <v>#DIV/0!</v>
      </c>
      <c r="H1071" s="20" t="str">
        <f ca="1">IFERROR(__xludf.DUMMYFUNCTION("IF(COUNTIFS($C$2:C1071, C1071, $A$2:A1071, ""&lt;="" &amp; A1071) &lt; 30, AVERAGEIF($C$2:C1071, C1071, $G$2:G1071), AVERAGE(FILTER($G$2:G1071, $C$2:C1071 = C1071, $A$2:A1071 &gt;= A1071 - 30)))
"),"#DIV/0!")</f>
        <v>#DIV/0!</v>
      </c>
      <c r="I1071" s="20" t="e">
        <f t="shared" ca="1" si="21"/>
        <v>#DIV/0!</v>
      </c>
      <c r="J1071" s="20" t="str">
        <f ca="1">IFERROR(__xludf.DUMMYFUNCTION("IF(OR($I1071=2, $I1071=3), 0, IFERROR(COUNTIFS($C$2:C1071, $C1071, $A$2:A1071, ""&gt;""&amp;IFERROR(MAX(FILTER($A$2:A1071, $C$2:C1071=$C1071, $I$2:I1071&lt;&gt;1)), 0), $I$2:I1071, 1),1))
"),"#DIV/0!")</f>
        <v>#DIV/0!</v>
      </c>
      <c r="K1071" s="7" t="e">
        <f t="shared" ca="1" si="22"/>
        <v>#DIV/0!</v>
      </c>
      <c r="L1071" s="20" t="e">
        <f t="shared" ca="1" si="23"/>
        <v>#DIV/0!</v>
      </c>
      <c r="M1071" s="21" t="e">
        <f t="shared" ca="1" si="24"/>
        <v>#DIV/0!</v>
      </c>
      <c r="N1071" s="20" t="str">
        <f ca="1">IFERROR(__xludf.DUMMYFUNCTION("IF(COUNTIFS($C$2:C1071, C1071, $A$2:A1071, ""&lt;="" &amp; A1071) &lt; 30, STDEV.P(FILTER($G$2:G1071, $C$2:C1071 = C1071)), STDEV.P(FILTER($G$2:G1071, $C$2:C1071 = C1071, $A$2:A1071 &gt;= A1071 - 30)))
"),"#DIV/0!")</f>
        <v>#DIV/0!</v>
      </c>
    </row>
    <row r="1072" spans="1:14" x14ac:dyDescent="0.2">
      <c r="A1072" s="41"/>
      <c r="B1072" s="40"/>
      <c r="C1072" s="40"/>
      <c r="D1072" s="31"/>
      <c r="E1072" s="31"/>
      <c r="F1072" s="31"/>
      <c r="G1072" s="19" t="e">
        <f t="shared" si="20"/>
        <v>#DIV/0!</v>
      </c>
      <c r="H1072" s="20" t="str">
        <f ca="1">IFERROR(__xludf.DUMMYFUNCTION("IF(COUNTIFS($C$2:C1072, C1072, $A$2:A1072, ""&lt;="" &amp; A1072) &lt; 30, AVERAGEIF($C$2:C1072, C1072, $G$2:G1072), AVERAGE(FILTER($G$2:G1072, $C$2:C1072 = C1072, $A$2:A1072 &gt;= A1072 - 30)))
"),"#DIV/0!")</f>
        <v>#DIV/0!</v>
      </c>
      <c r="I1072" s="20" t="e">
        <f t="shared" ca="1" si="21"/>
        <v>#DIV/0!</v>
      </c>
      <c r="J1072" s="20" t="str">
        <f ca="1">IFERROR(__xludf.DUMMYFUNCTION("IF(OR($I1072=2, $I1072=3), 0, IFERROR(COUNTIFS($C$2:C1072, $C1072, $A$2:A1072, ""&gt;""&amp;IFERROR(MAX(FILTER($A$2:A1072, $C$2:C1072=$C1072, $I$2:I1072&lt;&gt;1)), 0), $I$2:I1072, 1),1))
"),"#DIV/0!")</f>
        <v>#DIV/0!</v>
      </c>
      <c r="K1072" s="7" t="e">
        <f t="shared" ca="1" si="22"/>
        <v>#DIV/0!</v>
      </c>
      <c r="L1072" s="20" t="e">
        <f t="shared" ca="1" si="23"/>
        <v>#DIV/0!</v>
      </c>
      <c r="M1072" s="21" t="e">
        <f t="shared" ca="1" si="24"/>
        <v>#DIV/0!</v>
      </c>
      <c r="N1072" s="20" t="str">
        <f ca="1">IFERROR(__xludf.DUMMYFUNCTION("IF(COUNTIFS($C$2:C1072, C1072, $A$2:A1072, ""&lt;="" &amp; A1072) &lt; 30, STDEV.P(FILTER($G$2:G1072, $C$2:C1072 = C1072)), STDEV.P(FILTER($G$2:G1072, $C$2:C1072 = C1072, $A$2:A1072 &gt;= A1072 - 30)))
"),"#DIV/0!")</f>
        <v>#DIV/0!</v>
      </c>
    </row>
    <row r="1073" spans="1:14" x14ac:dyDescent="0.2">
      <c r="A1073" s="41"/>
      <c r="B1073" s="40"/>
      <c r="C1073" s="40"/>
      <c r="D1073" s="31"/>
      <c r="E1073" s="31"/>
      <c r="F1073" s="31"/>
      <c r="G1073" s="19" t="e">
        <f t="shared" si="20"/>
        <v>#DIV/0!</v>
      </c>
      <c r="H1073" s="20" t="str">
        <f ca="1">IFERROR(__xludf.DUMMYFUNCTION("IF(COUNTIFS($C$2:C1073, C1073, $A$2:A1073, ""&lt;="" &amp; A1073) &lt; 30, AVERAGEIF($C$2:C1073, C1073, $G$2:G1073), AVERAGE(FILTER($G$2:G1073, $C$2:C1073 = C1073, $A$2:A1073 &gt;= A1073 - 30)))
"),"#DIV/0!")</f>
        <v>#DIV/0!</v>
      </c>
      <c r="I1073" s="20" t="e">
        <f t="shared" ca="1" si="21"/>
        <v>#DIV/0!</v>
      </c>
      <c r="J1073" s="20" t="str">
        <f ca="1">IFERROR(__xludf.DUMMYFUNCTION("IF(OR($I1073=2, $I1073=3), 0, IFERROR(COUNTIFS($C$2:C1073, $C1073, $A$2:A1073, ""&gt;""&amp;IFERROR(MAX(FILTER($A$2:A1073, $C$2:C1073=$C1073, $I$2:I1073&lt;&gt;1)), 0), $I$2:I1073, 1),1))
"),"#DIV/0!")</f>
        <v>#DIV/0!</v>
      </c>
      <c r="K1073" s="7" t="e">
        <f t="shared" ca="1" si="22"/>
        <v>#DIV/0!</v>
      </c>
      <c r="L1073" s="20" t="e">
        <f t="shared" ca="1" si="23"/>
        <v>#DIV/0!</v>
      </c>
      <c r="M1073" s="21" t="e">
        <f t="shared" ca="1" si="24"/>
        <v>#DIV/0!</v>
      </c>
      <c r="N1073" s="20" t="str">
        <f ca="1">IFERROR(__xludf.DUMMYFUNCTION("IF(COUNTIFS($C$2:C1073, C1073, $A$2:A1073, ""&lt;="" &amp; A1073) &lt; 30, STDEV.P(FILTER($G$2:G1073, $C$2:C1073 = C1073)), STDEV.P(FILTER($G$2:G1073, $C$2:C1073 = C1073, $A$2:A1073 &gt;= A1073 - 30)))
"),"#DIV/0!")</f>
        <v>#DIV/0!</v>
      </c>
    </row>
    <row r="1074" spans="1:14" x14ac:dyDescent="0.2">
      <c r="A1074" s="41"/>
      <c r="B1074" s="40"/>
      <c r="C1074" s="40"/>
      <c r="D1074" s="31"/>
      <c r="E1074" s="31"/>
      <c r="F1074" s="31"/>
      <c r="G1074" s="19" t="e">
        <f t="shared" si="20"/>
        <v>#DIV/0!</v>
      </c>
      <c r="H1074" s="20" t="str">
        <f ca="1">IFERROR(__xludf.DUMMYFUNCTION("IF(COUNTIFS($C$2:C1074, C1074, $A$2:A1074, ""&lt;="" &amp; A1074) &lt; 30, AVERAGEIF($C$2:C1074, C1074, $G$2:G1074), AVERAGE(FILTER($G$2:G1074, $C$2:C1074 = C1074, $A$2:A1074 &gt;= A1074 - 30)))
"),"#DIV/0!")</f>
        <v>#DIV/0!</v>
      </c>
      <c r="I1074" s="20" t="e">
        <f t="shared" ca="1" si="21"/>
        <v>#DIV/0!</v>
      </c>
      <c r="J1074" s="20" t="str">
        <f ca="1">IFERROR(__xludf.DUMMYFUNCTION("IF(OR($I1074=2, $I1074=3), 0, IFERROR(COUNTIFS($C$2:C1074, $C1074, $A$2:A1074, ""&gt;""&amp;IFERROR(MAX(FILTER($A$2:A1074, $C$2:C1074=$C1074, $I$2:I1074&lt;&gt;1)), 0), $I$2:I1074, 1),1))
"),"#DIV/0!")</f>
        <v>#DIV/0!</v>
      </c>
      <c r="K1074" s="7" t="e">
        <f t="shared" ca="1" si="22"/>
        <v>#DIV/0!</v>
      </c>
      <c r="L1074" s="20" t="e">
        <f t="shared" ca="1" si="23"/>
        <v>#DIV/0!</v>
      </c>
      <c r="M1074" s="21" t="e">
        <f t="shared" ca="1" si="24"/>
        <v>#DIV/0!</v>
      </c>
      <c r="N1074" s="20" t="str">
        <f ca="1">IFERROR(__xludf.DUMMYFUNCTION("IF(COUNTIFS($C$2:C1074, C1074, $A$2:A1074, ""&lt;="" &amp; A1074) &lt; 30, STDEV.P(FILTER($G$2:G1074, $C$2:C1074 = C1074)), STDEV.P(FILTER($G$2:G1074, $C$2:C1074 = C1074, $A$2:A1074 &gt;= A1074 - 30)))
"),"#DIV/0!")</f>
        <v>#DIV/0!</v>
      </c>
    </row>
    <row r="1075" spans="1:14" x14ac:dyDescent="0.2">
      <c r="A1075" s="41"/>
      <c r="B1075" s="40"/>
      <c r="C1075" s="40"/>
      <c r="D1075" s="31"/>
      <c r="E1075" s="31"/>
      <c r="F1075" s="31"/>
      <c r="G1075" s="19" t="e">
        <f t="shared" si="20"/>
        <v>#DIV/0!</v>
      </c>
      <c r="H1075" s="20" t="str">
        <f ca="1">IFERROR(__xludf.DUMMYFUNCTION("IF(COUNTIFS($C$2:C1075, C1075, $A$2:A1075, ""&lt;="" &amp; A1075) &lt; 30, AVERAGEIF($C$2:C1075, C1075, $G$2:G1075), AVERAGE(FILTER($G$2:G1075, $C$2:C1075 = C1075, $A$2:A1075 &gt;= A1075 - 30)))
"),"#DIV/0!")</f>
        <v>#DIV/0!</v>
      </c>
      <c r="I1075" s="20" t="e">
        <f t="shared" ca="1" si="21"/>
        <v>#DIV/0!</v>
      </c>
      <c r="J1075" s="20" t="str">
        <f ca="1">IFERROR(__xludf.DUMMYFUNCTION("IF(OR($I1075=2, $I1075=3), 0, IFERROR(COUNTIFS($C$2:C1075, $C1075, $A$2:A1075, ""&gt;""&amp;IFERROR(MAX(FILTER($A$2:A1075, $C$2:C1075=$C1075, $I$2:I1075&lt;&gt;1)), 0), $I$2:I1075, 1),1))
"),"#DIV/0!")</f>
        <v>#DIV/0!</v>
      </c>
      <c r="K1075" s="7" t="e">
        <f t="shared" ca="1" si="22"/>
        <v>#DIV/0!</v>
      </c>
      <c r="L1075" s="20" t="e">
        <f t="shared" ca="1" si="23"/>
        <v>#DIV/0!</v>
      </c>
      <c r="M1075" s="21" t="e">
        <f t="shared" ca="1" si="24"/>
        <v>#DIV/0!</v>
      </c>
      <c r="N1075" s="20" t="str">
        <f ca="1">IFERROR(__xludf.DUMMYFUNCTION("IF(COUNTIFS($C$2:C1075, C1075, $A$2:A1075, ""&lt;="" &amp; A1075) &lt; 30, STDEV.P(FILTER($G$2:G1075, $C$2:C1075 = C1075)), STDEV.P(FILTER($G$2:G1075, $C$2:C1075 = C1075, $A$2:A1075 &gt;= A1075 - 30)))
"),"#DIV/0!")</f>
        <v>#DIV/0!</v>
      </c>
    </row>
    <row r="1076" spans="1:14" x14ac:dyDescent="0.2">
      <c r="A1076" s="41"/>
      <c r="B1076" s="40"/>
      <c r="C1076" s="40"/>
      <c r="D1076" s="31"/>
      <c r="E1076" s="31"/>
      <c r="F1076" s="31"/>
      <c r="G1076" s="19" t="e">
        <f t="shared" si="20"/>
        <v>#DIV/0!</v>
      </c>
      <c r="H1076" s="20" t="str">
        <f ca="1">IFERROR(__xludf.DUMMYFUNCTION("IF(COUNTIFS($C$2:C1076, C1076, $A$2:A1076, ""&lt;="" &amp; A1076) &lt; 30, AVERAGEIF($C$2:C1076, C1076, $G$2:G1076), AVERAGE(FILTER($G$2:G1076, $C$2:C1076 = C1076, $A$2:A1076 &gt;= A1076 - 30)))
"),"#DIV/0!")</f>
        <v>#DIV/0!</v>
      </c>
      <c r="I1076" s="20" t="e">
        <f t="shared" ca="1" si="21"/>
        <v>#DIV/0!</v>
      </c>
      <c r="J1076" s="20" t="str">
        <f ca="1">IFERROR(__xludf.DUMMYFUNCTION("IF(OR($I1076=2, $I1076=3), 0, IFERROR(COUNTIFS($C$2:C1076, $C1076, $A$2:A1076, ""&gt;""&amp;IFERROR(MAX(FILTER($A$2:A1076, $C$2:C1076=$C1076, $I$2:I1076&lt;&gt;1)), 0), $I$2:I1076, 1),1))
"),"#DIV/0!")</f>
        <v>#DIV/0!</v>
      </c>
      <c r="K1076" s="7" t="e">
        <f t="shared" ca="1" si="22"/>
        <v>#DIV/0!</v>
      </c>
      <c r="L1076" s="20" t="e">
        <f t="shared" ca="1" si="23"/>
        <v>#DIV/0!</v>
      </c>
      <c r="M1076" s="21" t="e">
        <f t="shared" ca="1" si="24"/>
        <v>#DIV/0!</v>
      </c>
      <c r="N1076" s="20" t="str">
        <f ca="1">IFERROR(__xludf.DUMMYFUNCTION("IF(COUNTIFS($C$2:C1076, C1076, $A$2:A1076, ""&lt;="" &amp; A1076) &lt; 30, STDEV.P(FILTER($G$2:G1076, $C$2:C1076 = C1076)), STDEV.P(FILTER($G$2:G1076, $C$2:C1076 = C1076, $A$2:A1076 &gt;= A1076 - 30)))
"),"#DIV/0!")</f>
        <v>#DIV/0!</v>
      </c>
    </row>
    <row r="1077" spans="1:14" x14ac:dyDescent="0.2">
      <c r="A1077" s="41"/>
      <c r="B1077" s="40"/>
      <c r="C1077" s="40"/>
      <c r="D1077" s="31"/>
      <c r="E1077" s="31"/>
      <c r="F1077" s="31"/>
      <c r="G1077" s="19" t="e">
        <f t="shared" si="20"/>
        <v>#DIV/0!</v>
      </c>
      <c r="H1077" s="20" t="str">
        <f ca="1">IFERROR(__xludf.DUMMYFUNCTION("IF(COUNTIFS($C$2:C1077, C1077, $A$2:A1077, ""&lt;="" &amp; A1077) &lt; 30, AVERAGEIF($C$2:C1077, C1077, $G$2:G1077), AVERAGE(FILTER($G$2:G1077, $C$2:C1077 = C1077, $A$2:A1077 &gt;= A1077 - 30)))
"),"#DIV/0!")</f>
        <v>#DIV/0!</v>
      </c>
      <c r="I1077" s="20" t="e">
        <f t="shared" ca="1" si="21"/>
        <v>#DIV/0!</v>
      </c>
      <c r="J1077" s="20" t="str">
        <f ca="1">IFERROR(__xludf.DUMMYFUNCTION("IF(OR($I1077=2, $I1077=3), 0, IFERROR(COUNTIFS($C$2:C1077, $C1077, $A$2:A1077, ""&gt;""&amp;IFERROR(MAX(FILTER($A$2:A1077, $C$2:C1077=$C1077, $I$2:I1077&lt;&gt;1)), 0), $I$2:I1077, 1),1))
"),"#DIV/0!")</f>
        <v>#DIV/0!</v>
      </c>
      <c r="K1077" s="7" t="e">
        <f t="shared" ca="1" si="22"/>
        <v>#DIV/0!</v>
      </c>
      <c r="L1077" s="20" t="e">
        <f t="shared" ca="1" si="23"/>
        <v>#DIV/0!</v>
      </c>
      <c r="M1077" s="21" t="e">
        <f t="shared" ca="1" si="24"/>
        <v>#DIV/0!</v>
      </c>
      <c r="N1077" s="20" t="str">
        <f ca="1">IFERROR(__xludf.DUMMYFUNCTION("IF(COUNTIFS($C$2:C1077, C1077, $A$2:A1077, ""&lt;="" &amp; A1077) &lt; 30, STDEV.P(FILTER($G$2:G1077, $C$2:C1077 = C1077)), STDEV.P(FILTER($G$2:G1077, $C$2:C1077 = C1077, $A$2:A1077 &gt;= A1077 - 30)))
"),"#DIV/0!")</f>
        <v>#DIV/0!</v>
      </c>
    </row>
    <row r="1078" spans="1:14" x14ac:dyDescent="0.2">
      <c r="A1078" s="41"/>
      <c r="B1078" s="40"/>
      <c r="C1078" s="40"/>
      <c r="D1078" s="31"/>
      <c r="E1078" s="31"/>
      <c r="F1078" s="31"/>
      <c r="G1078" s="19" t="e">
        <f t="shared" si="20"/>
        <v>#DIV/0!</v>
      </c>
      <c r="H1078" s="20" t="str">
        <f ca="1">IFERROR(__xludf.DUMMYFUNCTION("IF(COUNTIFS($C$2:C1078, C1078, $A$2:A1078, ""&lt;="" &amp; A1078) &lt; 30, AVERAGEIF($C$2:C1078, C1078, $G$2:G1078), AVERAGE(FILTER($G$2:G1078, $C$2:C1078 = C1078, $A$2:A1078 &gt;= A1078 - 30)))
"),"#DIV/0!")</f>
        <v>#DIV/0!</v>
      </c>
      <c r="I1078" s="20" t="e">
        <f t="shared" ca="1" si="21"/>
        <v>#DIV/0!</v>
      </c>
      <c r="J1078" s="20" t="str">
        <f ca="1">IFERROR(__xludf.DUMMYFUNCTION("IF(OR($I1078=2, $I1078=3), 0, IFERROR(COUNTIFS($C$2:C1078, $C1078, $A$2:A1078, ""&gt;""&amp;IFERROR(MAX(FILTER($A$2:A1078, $C$2:C1078=$C1078, $I$2:I1078&lt;&gt;1)), 0), $I$2:I1078, 1),1))
"),"#DIV/0!")</f>
        <v>#DIV/0!</v>
      </c>
      <c r="K1078" s="7" t="e">
        <f t="shared" ca="1" si="22"/>
        <v>#DIV/0!</v>
      </c>
      <c r="L1078" s="20" t="e">
        <f t="shared" ca="1" si="23"/>
        <v>#DIV/0!</v>
      </c>
      <c r="M1078" s="21" t="e">
        <f t="shared" ca="1" si="24"/>
        <v>#DIV/0!</v>
      </c>
      <c r="N1078" s="20" t="str">
        <f ca="1">IFERROR(__xludf.DUMMYFUNCTION("IF(COUNTIFS($C$2:C1078, C1078, $A$2:A1078, ""&lt;="" &amp; A1078) &lt; 30, STDEV.P(FILTER($G$2:G1078, $C$2:C1078 = C1078)), STDEV.P(FILTER($G$2:G1078, $C$2:C1078 = C1078, $A$2:A1078 &gt;= A1078 - 30)))
"),"#DIV/0!")</f>
        <v>#DIV/0!</v>
      </c>
    </row>
    <row r="1079" spans="1:14" x14ac:dyDescent="0.2">
      <c r="A1079" s="41"/>
      <c r="B1079" s="40"/>
      <c r="C1079" s="40"/>
      <c r="D1079" s="31"/>
      <c r="E1079" s="31"/>
      <c r="F1079" s="31"/>
      <c r="G1079" s="19" t="e">
        <f t="shared" si="20"/>
        <v>#DIV/0!</v>
      </c>
      <c r="H1079" s="20" t="str">
        <f ca="1">IFERROR(__xludf.DUMMYFUNCTION("IF(COUNTIFS($C$2:C1079, C1079, $A$2:A1079, ""&lt;="" &amp; A1079) &lt; 30, AVERAGEIF($C$2:C1079, C1079, $G$2:G1079), AVERAGE(FILTER($G$2:G1079, $C$2:C1079 = C1079, $A$2:A1079 &gt;= A1079 - 30)))
"),"#DIV/0!")</f>
        <v>#DIV/0!</v>
      </c>
      <c r="I1079" s="20" t="e">
        <f t="shared" ca="1" si="21"/>
        <v>#DIV/0!</v>
      </c>
      <c r="J1079" s="20" t="str">
        <f ca="1">IFERROR(__xludf.DUMMYFUNCTION("IF(OR($I1079=2, $I1079=3), 0, IFERROR(COUNTIFS($C$2:C1079, $C1079, $A$2:A1079, ""&gt;""&amp;IFERROR(MAX(FILTER($A$2:A1079, $C$2:C1079=$C1079, $I$2:I1079&lt;&gt;1)), 0), $I$2:I1079, 1),1))
"),"#DIV/0!")</f>
        <v>#DIV/0!</v>
      </c>
      <c r="K1079" s="7" t="e">
        <f t="shared" ca="1" si="22"/>
        <v>#DIV/0!</v>
      </c>
      <c r="L1079" s="20" t="e">
        <f t="shared" ca="1" si="23"/>
        <v>#DIV/0!</v>
      </c>
      <c r="M1079" s="21" t="e">
        <f t="shared" ca="1" si="24"/>
        <v>#DIV/0!</v>
      </c>
      <c r="N1079" s="20" t="str">
        <f ca="1">IFERROR(__xludf.DUMMYFUNCTION("IF(COUNTIFS($C$2:C1079, C1079, $A$2:A1079, ""&lt;="" &amp; A1079) &lt; 30, STDEV.P(FILTER($G$2:G1079, $C$2:C1079 = C1079)), STDEV.P(FILTER($G$2:G1079, $C$2:C1079 = C1079, $A$2:A1079 &gt;= A1079 - 30)))
"),"#DIV/0!")</f>
        <v>#DIV/0!</v>
      </c>
    </row>
    <row r="1080" spans="1:14" x14ac:dyDescent="0.2">
      <c r="A1080" s="41"/>
      <c r="B1080" s="40"/>
      <c r="C1080" s="40"/>
      <c r="D1080" s="31"/>
      <c r="E1080" s="31"/>
      <c r="F1080" s="31"/>
      <c r="G1080" s="19" t="e">
        <f t="shared" si="20"/>
        <v>#DIV/0!</v>
      </c>
      <c r="H1080" s="20" t="str">
        <f ca="1">IFERROR(__xludf.DUMMYFUNCTION("IF(COUNTIFS($C$2:C1080, C1080, $A$2:A1080, ""&lt;="" &amp; A1080) &lt; 30, AVERAGEIF($C$2:C1080, C1080, $G$2:G1080), AVERAGE(FILTER($G$2:G1080, $C$2:C1080 = C1080, $A$2:A1080 &gt;= A1080 - 30)))
"),"#DIV/0!")</f>
        <v>#DIV/0!</v>
      </c>
      <c r="I1080" s="20" t="e">
        <f t="shared" ca="1" si="21"/>
        <v>#DIV/0!</v>
      </c>
      <c r="J1080" s="20" t="str">
        <f ca="1">IFERROR(__xludf.DUMMYFUNCTION("IF(OR($I1080=2, $I1080=3), 0, IFERROR(COUNTIFS($C$2:C1080, $C1080, $A$2:A1080, ""&gt;""&amp;IFERROR(MAX(FILTER($A$2:A1080, $C$2:C1080=$C1080, $I$2:I1080&lt;&gt;1)), 0), $I$2:I1080, 1),1))
"),"#DIV/0!")</f>
        <v>#DIV/0!</v>
      </c>
      <c r="K1080" s="7" t="e">
        <f t="shared" ca="1" si="22"/>
        <v>#DIV/0!</v>
      </c>
      <c r="L1080" s="20" t="e">
        <f t="shared" ca="1" si="23"/>
        <v>#DIV/0!</v>
      </c>
      <c r="M1080" s="21" t="e">
        <f t="shared" ca="1" si="24"/>
        <v>#DIV/0!</v>
      </c>
      <c r="N1080" s="20" t="str">
        <f ca="1">IFERROR(__xludf.DUMMYFUNCTION("IF(COUNTIFS($C$2:C1080, C1080, $A$2:A1080, ""&lt;="" &amp; A1080) &lt; 30, STDEV.P(FILTER($G$2:G1080, $C$2:C1080 = C1080)), STDEV.P(FILTER($G$2:G1080, $C$2:C1080 = C1080, $A$2:A1080 &gt;= A1080 - 30)))
"),"#DIV/0!")</f>
        <v>#DIV/0!</v>
      </c>
    </row>
    <row r="1081" spans="1:14" x14ac:dyDescent="0.2">
      <c r="A1081" s="41"/>
      <c r="B1081" s="40"/>
      <c r="C1081" s="40"/>
      <c r="D1081" s="31"/>
      <c r="E1081" s="31"/>
      <c r="F1081" s="31"/>
      <c r="G1081" s="19" t="e">
        <f t="shared" si="20"/>
        <v>#DIV/0!</v>
      </c>
      <c r="H1081" s="20" t="str">
        <f ca="1">IFERROR(__xludf.DUMMYFUNCTION("IF(COUNTIFS($C$2:C1081, C1081, $A$2:A1081, ""&lt;="" &amp; A1081) &lt; 30, AVERAGEIF($C$2:C1081, C1081, $G$2:G1081), AVERAGE(FILTER($G$2:G1081, $C$2:C1081 = C1081, $A$2:A1081 &gt;= A1081 - 30)))
"),"#DIV/0!")</f>
        <v>#DIV/0!</v>
      </c>
      <c r="I1081" s="20" t="e">
        <f t="shared" ca="1" si="21"/>
        <v>#DIV/0!</v>
      </c>
      <c r="J1081" s="20" t="str">
        <f ca="1">IFERROR(__xludf.DUMMYFUNCTION("IF(OR($I1081=2, $I1081=3), 0, IFERROR(COUNTIFS($C$2:C1081, $C1081, $A$2:A1081, ""&gt;""&amp;IFERROR(MAX(FILTER($A$2:A1081, $C$2:C1081=$C1081, $I$2:I1081&lt;&gt;1)), 0), $I$2:I1081, 1),1))
"),"#DIV/0!")</f>
        <v>#DIV/0!</v>
      </c>
      <c r="K1081" s="7" t="e">
        <f t="shared" ca="1" si="22"/>
        <v>#DIV/0!</v>
      </c>
      <c r="L1081" s="20" t="e">
        <f t="shared" ca="1" si="23"/>
        <v>#DIV/0!</v>
      </c>
      <c r="M1081" s="21" t="e">
        <f t="shared" ca="1" si="24"/>
        <v>#DIV/0!</v>
      </c>
      <c r="N1081" s="20" t="str">
        <f ca="1">IFERROR(__xludf.DUMMYFUNCTION("IF(COUNTIFS($C$2:C1081, C1081, $A$2:A1081, ""&lt;="" &amp; A1081) &lt; 30, STDEV.P(FILTER($G$2:G1081, $C$2:C1081 = C1081)), STDEV.P(FILTER($G$2:G1081, $C$2:C1081 = C1081, $A$2:A1081 &gt;= A1081 - 30)))
"),"#DIV/0!")</f>
        <v>#DIV/0!</v>
      </c>
    </row>
    <row r="1082" spans="1:14" x14ac:dyDescent="0.2">
      <c r="A1082" s="41"/>
      <c r="B1082" s="40"/>
      <c r="C1082" s="40"/>
      <c r="D1082" s="31"/>
      <c r="E1082" s="31"/>
      <c r="F1082" s="31"/>
      <c r="G1082" s="19" t="e">
        <f t="shared" si="20"/>
        <v>#DIV/0!</v>
      </c>
      <c r="H1082" s="20" t="str">
        <f ca="1">IFERROR(__xludf.DUMMYFUNCTION("IF(COUNTIFS($C$2:C1082, C1082, $A$2:A1082, ""&lt;="" &amp; A1082) &lt; 30, AVERAGEIF($C$2:C1082, C1082, $G$2:G1082), AVERAGE(FILTER($G$2:G1082, $C$2:C1082 = C1082, $A$2:A1082 &gt;= A1082 - 30)))
"),"#DIV/0!")</f>
        <v>#DIV/0!</v>
      </c>
      <c r="I1082" s="20" t="e">
        <f t="shared" ca="1" si="21"/>
        <v>#DIV/0!</v>
      </c>
      <c r="J1082" s="20" t="str">
        <f ca="1">IFERROR(__xludf.DUMMYFUNCTION("IF(OR($I1082=2, $I1082=3), 0, IFERROR(COUNTIFS($C$2:C1082, $C1082, $A$2:A1082, ""&gt;""&amp;IFERROR(MAX(FILTER($A$2:A1082, $C$2:C1082=$C1082, $I$2:I1082&lt;&gt;1)), 0), $I$2:I1082, 1),1))
"),"#DIV/0!")</f>
        <v>#DIV/0!</v>
      </c>
      <c r="K1082" s="7" t="e">
        <f t="shared" ca="1" si="22"/>
        <v>#DIV/0!</v>
      </c>
      <c r="L1082" s="20" t="e">
        <f t="shared" ca="1" si="23"/>
        <v>#DIV/0!</v>
      </c>
      <c r="M1082" s="21" t="e">
        <f t="shared" ca="1" si="24"/>
        <v>#DIV/0!</v>
      </c>
      <c r="N1082" s="20" t="str">
        <f ca="1">IFERROR(__xludf.DUMMYFUNCTION("IF(COUNTIFS($C$2:C1082, C1082, $A$2:A1082, ""&lt;="" &amp; A1082) &lt; 30, STDEV.P(FILTER($G$2:G1082, $C$2:C1082 = C1082)), STDEV.P(FILTER($G$2:G1082, $C$2:C1082 = C1082, $A$2:A1082 &gt;= A1082 - 30)))
"),"#DIV/0!")</f>
        <v>#DIV/0!</v>
      </c>
    </row>
    <row r="1083" spans="1:14" x14ac:dyDescent="0.2">
      <c r="A1083" s="41"/>
      <c r="B1083" s="40"/>
      <c r="C1083" s="40"/>
      <c r="D1083" s="31"/>
      <c r="E1083" s="31"/>
      <c r="F1083" s="31"/>
      <c r="G1083" s="19" t="e">
        <f t="shared" si="20"/>
        <v>#DIV/0!</v>
      </c>
      <c r="H1083" s="20" t="str">
        <f ca="1">IFERROR(__xludf.DUMMYFUNCTION("IF(COUNTIFS($C$2:C1083, C1083, $A$2:A1083, ""&lt;="" &amp; A1083) &lt; 30, AVERAGEIF($C$2:C1083, C1083, $G$2:G1083), AVERAGE(FILTER($G$2:G1083, $C$2:C1083 = C1083, $A$2:A1083 &gt;= A1083 - 30)))
"),"#DIV/0!")</f>
        <v>#DIV/0!</v>
      </c>
      <c r="I1083" s="20" t="e">
        <f t="shared" ca="1" si="21"/>
        <v>#DIV/0!</v>
      </c>
      <c r="J1083" s="20" t="str">
        <f ca="1">IFERROR(__xludf.DUMMYFUNCTION("IF(OR($I1083=2, $I1083=3), 0, IFERROR(COUNTIFS($C$2:C1083, $C1083, $A$2:A1083, ""&gt;""&amp;IFERROR(MAX(FILTER($A$2:A1083, $C$2:C1083=$C1083, $I$2:I1083&lt;&gt;1)), 0), $I$2:I1083, 1),1))
"),"#DIV/0!")</f>
        <v>#DIV/0!</v>
      </c>
      <c r="K1083" s="7" t="e">
        <f t="shared" ca="1" si="22"/>
        <v>#DIV/0!</v>
      </c>
      <c r="L1083" s="20" t="e">
        <f t="shared" ca="1" si="23"/>
        <v>#DIV/0!</v>
      </c>
      <c r="M1083" s="21" t="e">
        <f t="shared" ca="1" si="24"/>
        <v>#DIV/0!</v>
      </c>
      <c r="N1083" s="20" t="str">
        <f ca="1">IFERROR(__xludf.DUMMYFUNCTION("IF(COUNTIFS($C$2:C1083, C1083, $A$2:A1083, ""&lt;="" &amp; A1083) &lt; 30, STDEV.P(FILTER($G$2:G1083, $C$2:C1083 = C1083)), STDEV.P(FILTER($G$2:G1083, $C$2:C1083 = C1083, $A$2:A1083 &gt;= A1083 - 30)))
"),"#DIV/0!")</f>
        <v>#DIV/0!</v>
      </c>
    </row>
    <row r="1084" spans="1:14" x14ac:dyDescent="0.2">
      <c r="A1084" s="41"/>
      <c r="B1084" s="40"/>
      <c r="C1084" s="40"/>
      <c r="D1084" s="31"/>
      <c r="E1084" s="31"/>
      <c r="F1084" s="31"/>
      <c r="G1084" s="19" t="e">
        <f t="shared" si="20"/>
        <v>#DIV/0!</v>
      </c>
      <c r="H1084" s="20" t="str">
        <f ca="1">IFERROR(__xludf.DUMMYFUNCTION("IF(COUNTIFS($C$2:C1084, C1084, $A$2:A1084, ""&lt;="" &amp; A1084) &lt; 30, AVERAGEIF($C$2:C1084, C1084, $G$2:G1084), AVERAGE(FILTER($G$2:G1084, $C$2:C1084 = C1084, $A$2:A1084 &gt;= A1084 - 30)))
"),"#DIV/0!")</f>
        <v>#DIV/0!</v>
      </c>
      <c r="I1084" s="20" t="e">
        <f t="shared" ca="1" si="21"/>
        <v>#DIV/0!</v>
      </c>
      <c r="J1084" s="20" t="str">
        <f ca="1">IFERROR(__xludf.DUMMYFUNCTION("IF(OR($I1084=2, $I1084=3), 0, IFERROR(COUNTIFS($C$2:C1084, $C1084, $A$2:A1084, ""&gt;""&amp;IFERROR(MAX(FILTER($A$2:A1084, $C$2:C1084=$C1084, $I$2:I1084&lt;&gt;1)), 0), $I$2:I1084, 1),1))
"),"#DIV/0!")</f>
        <v>#DIV/0!</v>
      </c>
      <c r="K1084" s="7" t="e">
        <f t="shared" ca="1" si="22"/>
        <v>#DIV/0!</v>
      </c>
      <c r="L1084" s="20" t="e">
        <f t="shared" ca="1" si="23"/>
        <v>#DIV/0!</v>
      </c>
      <c r="M1084" s="21" t="e">
        <f t="shared" ca="1" si="24"/>
        <v>#DIV/0!</v>
      </c>
      <c r="N1084" s="20" t="str">
        <f ca="1">IFERROR(__xludf.DUMMYFUNCTION("IF(COUNTIFS($C$2:C1084, C1084, $A$2:A1084, ""&lt;="" &amp; A1084) &lt; 30, STDEV.P(FILTER($G$2:G1084, $C$2:C1084 = C1084)), STDEV.P(FILTER($G$2:G1084, $C$2:C1084 = C1084, $A$2:A1084 &gt;= A1084 - 30)))
"),"#DIV/0!")</f>
        <v>#DIV/0!</v>
      </c>
    </row>
    <row r="1085" spans="1:14" x14ac:dyDescent="0.2">
      <c r="A1085" s="41"/>
      <c r="B1085" s="40"/>
      <c r="C1085" s="40"/>
      <c r="D1085" s="31"/>
      <c r="E1085" s="31"/>
      <c r="F1085" s="31"/>
      <c r="G1085" s="19" t="e">
        <f t="shared" si="20"/>
        <v>#DIV/0!</v>
      </c>
      <c r="H1085" s="20" t="str">
        <f ca="1">IFERROR(__xludf.DUMMYFUNCTION("IF(COUNTIFS($C$2:C1085, C1085, $A$2:A1085, ""&lt;="" &amp; A1085) &lt; 30, AVERAGEIF($C$2:C1085, C1085, $G$2:G1085), AVERAGE(FILTER($G$2:G1085, $C$2:C1085 = C1085, $A$2:A1085 &gt;= A1085 - 30)))
"),"#DIV/0!")</f>
        <v>#DIV/0!</v>
      </c>
      <c r="I1085" s="20" t="e">
        <f t="shared" ca="1" si="21"/>
        <v>#DIV/0!</v>
      </c>
      <c r="J1085" s="20" t="str">
        <f ca="1">IFERROR(__xludf.DUMMYFUNCTION("IF(OR($I1085=2, $I1085=3), 0, IFERROR(COUNTIFS($C$2:C1085, $C1085, $A$2:A1085, ""&gt;""&amp;IFERROR(MAX(FILTER($A$2:A1085, $C$2:C1085=$C1085, $I$2:I1085&lt;&gt;1)), 0), $I$2:I1085, 1),1))
"),"#DIV/0!")</f>
        <v>#DIV/0!</v>
      </c>
      <c r="K1085" s="7" t="e">
        <f t="shared" ca="1" si="22"/>
        <v>#DIV/0!</v>
      </c>
      <c r="L1085" s="20" t="e">
        <f t="shared" ca="1" si="23"/>
        <v>#DIV/0!</v>
      </c>
      <c r="M1085" s="21" t="e">
        <f t="shared" ca="1" si="24"/>
        <v>#DIV/0!</v>
      </c>
      <c r="N1085" s="20" t="str">
        <f ca="1">IFERROR(__xludf.DUMMYFUNCTION("IF(COUNTIFS($C$2:C1085, C1085, $A$2:A1085, ""&lt;="" &amp; A1085) &lt; 30, STDEV.P(FILTER($G$2:G1085, $C$2:C1085 = C1085)), STDEV.P(FILTER($G$2:G1085, $C$2:C1085 = C1085, $A$2:A1085 &gt;= A1085 - 30)))
"),"#DIV/0!")</f>
        <v>#DIV/0!</v>
      </c>
    </row>
    <row r="1086" spans="1:14" x14ac:dyDescent="0.2">
      <c r="A1086" s="41"/>
      <c r="B1086" s="40"/>
      <c r="C1086" s="40"/>
      <c r="D1086" s="31"/>
      <c r="E1086" s="31"/>
      <c r="F1086" s="31"/>
      <c r="G1086" s="19" t="e">
        <f t="shared" si="20"/>
        <v>#DIV/0!</v>
      </c>
      <c r="H1086" s="20" t="str">
        <f ca="1">IFERROR(__xludf.DUMMYFUNCTION("IF(COUNTIFS($C$2:C1086, C1086, $A$2:A1086, ""&lt;="" &amp; A1086) &lt; 30, AVERAGEIF($C$2:C1086, C1086, $G$2:G1086), AVERAGE(FILTER($G$2:G1086, $C$2:C1086 = C1086, $A$2:A1086 &gt;= A1086 - 30)))
"),"#DIV/0!")</f>
        <v>#DIV/0!</v>
      </c>
      <c r="I1086" s="20" t="e">
        <f t="shared" ca="1" si="21"/>
        <v>#DIV/0!</v>
      </c>
      <c r="J1086" s="20" t="str">
        <f ca="1">IFERROR(__xludf.DUMMYFUNCTION("IF(OR($I1086=2, $I1086=3), 0, IFERROR(COUNTIFS($C$2:C1086, $C1086, $A$2:A1086, ""&gt;""&amp;IFERROR(MAX(FILTER($A$2:A1086, $C$2:C1086=$C1086, $I$2:I1086&lt;&gt;1)), 0), $I$2:I1086, 1),1))
"),"#DIV/0!")</f>
        <v>#DIV/0!</v>
      </c>
      <c r="K1086" s="7" t="e">
        <f t="shared" ca="1" si="22"/>
        <v>#DIV/0!</v>
      </c>
      <c r="L1086" s="20" t="e">
        <f t="shared" ca="1" si="23"/>
        <v>#DIV/0!</v>
      </c>
      <c r="M1086" s="21" t="e">
        <f t="shared" ca="1" si="24"/>
        <v>#DIV/0!</v>
      </c>
      <c r="N1086" s="20" t="str">
        <f ca="1">IFERROR(__xludf.DUMMYFUNCTION("IF(COUNTIFS($C$2:C1086, C1086, $A$2:A1086, ""&lt;="" &amp; A1086) &lt; 30, STDEV.P(FILTER($G$2:G1086, $C$2:C1086 = C1086)), STDEV.P(FILTER($G$2:G1086, $C$2:C1086 = C1086, $A$2:A1086 &gt;= A1086 - 30)))
"),"#DIV/0!")</f>
        <v>#DIV/0!</v>
      </c>
    </row>
    <row r="1087" spans="1:14" x14ac:dyDescent="0.2">
      <c r="A1087" s="41"/>
      <c r="B1087" s="40"/>
      <c r="C1087" s="40"/>
      <c r="D1087" s="31"/>
      <c r="E1087" s="31"/>
      <c r="F1087" s="31"/>
      <c r="G1087" s="19" t="e">
        <f t="shared" si="20"/>
        <v>#DIV/0!</v>
      </c>
      <c r="H1087" s="20" t="str">
        <f ca="1">IFERROR(__xludf.DUMMYFUNCTION("IF(COUNTIFS($C$2:C1087, C1087, $A$2:A1087, ""&lt;="" &amp; A1087) &lt; 30, AVERAGEIF($C$2:C1087, C1087, $G$2:G1087), AVERAGE(FILTER($G$2:G1087, $C$2:C1087 = C1087, $A$2:A1087 &gt;= A1087 - 30)))
"),"#DIV/0!")</f>
        <v>#DIV/0!</v>
      </c>
      <c r="I1087" s="20" t="e">
        <f t="shared" ca="1" si="21"/>
        <v>#DIV/0!</v>
      </c>
      <c r="J1087" s="20" t="str">
        <f ca="1">IFERROR(__xludf.DUMMYFUNCTION("IF(OR($I1087=2, $I1087=3), 0, IFERROR(COUNTIFS($C$2:C1087, $C1087, $A$2:A1087, ""&gt;""&amp;IFERROR(MAX(FILTER($A$2:A1087, $C$2:C1087=$C1087, $I$2:I1087&lt;&gt;1)), 0), $I$2:I1087, 1),1))
"),"#DIV/0!")</f>
        <v>#DIV/0!</v>
      </c>
      <c r="K1087" s="7" t="e">
        <f t="shared" ca="1" si="22"/>
        <v>#DIV/0!</v>
      </c>
      <c r="L1087" s="20" t="e">
        <f t="shared" ca="1" si="23"/>
        <v>#DIV/0!</v>
      </c>
      <c r="M1087" s="21" t="e">
        <f t="shared" ca="1" si="24"/>
        <v>#DIV/0!</v>
      </c>
      <c r="N1087" s="20" t="str">
        <f ca="1">IFERROR(__xludf.DUMMYFUNCTION("IF(COUNTIFS($C$2:C1087, C1087, $A$2:A1087, ""&lt;="" &amp; A1087) &lt; 30, STDEV.P(FILTER($G$2:G1087, $C$2:C1087 = C1087)), STDEV.P(FILTER($G$2:G1087, $C$2:C1087 = C1087, $A$2:A1087 &gt;= A1087 - 30)))
"),"#DIV/0!")</f>
        <v>#DIV/0!</v>
      </c>
    </row>
    <row r="1088" spans="1:14" x14ac:dyDescent="0.2">
      <c r="A1088" s="41"/>
      <c r="B1088" s="40"/>
      <c r="C1088" s="40"/>
      <c r="D1088" s="31"/>
      <c r="E1088" s="31"/>
      <c r="F1088" s="31"/>
      <c r="G1088" s="19" t="e">
        <f t="shared" si="20"/>
        <v>#DIV/0!</v>
      </c>
      <c r="H1088" s="20" t="str">
        <f ca="1">IFERROR(__xludf.DUMMYFUNCTION("IF(COUNTIFS($C$2:C1088, C1088, $A$2:A1088, ""&lt;="" &amp; A1088) &lt; 30, AVERAGEIF($C$2:C1088, C1088, $G$2:G1088), AVERAGE(FILTER($G$2:G1088, $C$2:C1088 = C1088, $A$2:A1088 &gt;= A1088 - 30)))
"),"#DIV/0!")</f>
        <v>#DIV/0!</v>
      </c>
      <c r="I1088" s="20" t="e">
        <f t="shared" ca="1" si="21"/>
        <v>#DIV/0!</v>
      </c>
      <c r="J1088" s="20" t="str">
        <f ca="1">IFERROR(__xludf.DUMMYFUNCTION("IF(OR($I1088=2, $I1088=3), 0, IFERROR(COUNTIFS($C$2:C1088, $C1088, $A$2:A1088, ""&gt;""&amp;IFERROR(MAX(FILTER($A$2:A1088, $C$2:C1088=$C1088, $I$2:I1088&lt;&gt;1)), 0), $I$2:I1088, 1),1))
"),"#DIV/0!")</f>
        <v>#DIV/0!</v>
      </c>
      <c r="K1088" s="7" t="e">
        <f t="shared" ca="1" si="22"/>
        <v>#DIV/0!</v>
      </c>
      <c r="L1088" s="20" t="e">
        <f t="shared" ca="1" si="23"/>
        <v>#DIV/0!</v>
      </c>
      <c r="M1088" s="21" t="e">
        <f t="shared" ca="1" si="24"/>
        <v>#DIV/0!</v>
      </c>
      <c r="N1088" s="20" t="str">
        <f ca="1">IFERROR(__xludf.DUMMYFUNCTION("IF(COUNTIFS($C$2:C1088, C1088, $A$2:A1088, ""&lt;="" &amp; A1088) &lt; 30, STDEV.P(FILTER($G$2:G1088, $C$2:C1088 = C1088)), STDEV.P(FILTER($G$2:G1088, $C$2:C1088 = C1088, $A$2:A1088 &gt;= A1088 - 30)))
"),"#DIV/0!")</f>
        <v>#DIV/0!</v>
      </c>
    </row>
    <row r="1089" spans="1:14" x14ac:dyDescent="0.2">
      <c r="A1089" s="41"/>
      <c r="B1089" s="40"/>
      <c r="C1089" s="40"/>
      <c r="D1089" s="31"/>
      <c r="E1089" s="31"/>
      <c r="F1089" s="31"/>
      <c r="G1089" s="19" t="e">
        <f t="shared" si="20"/>
        <v>#DIV/0!</v>
      </c>
      <c r="H1089" s="20" t="str">
        <f ca="1">IFERROR(__xludf.DUMMYFUNCTION("IF(COUNTIFS($C$2:C1089, C1089, $A$2:A1089, ""&lt;="" &amp; A1089) &lt; 30, AVERAGEIF($C$2:C1089, C1089, $G$2:G1089), AVERAGE(FILTER($G$2:G1089, $C$2:C1089 = C1089, $A$2:A1089 &gt;= A1089 - 30)))
"),"#DIV/0!")</f>
        <v>#DIV/0!</v>
      </c>
      <c r="I1089" s="20" t="e">
        <f t="shared" ca="1" si="21"/>
        <v>#DIV/0!</v>
      </c>
      <c r="J1089" s="20" t="str">
        <f ca="1">IFERROR(__xludf.DUMMYFUNCTION("IF(OR($I1089=2, $I1089=3), 0, IFERROR(COUNTIFS($C$2:C1089, $C1089, $A$2:A1089, ""&gt;""&amp;IFERROR(MAX(FILTER($A$2:A1089, $C$2:C1089=$C1089, $I$2:I1089&lt;&gt;1)), 0), $I$2:I1089, 1),1))
"),"#DIV/0!")</f>
        <v>#DIV/0!</v>
      </c>
      <c r="K1089" s="7" t="e">
        <f t="shared" ca="1" si="22"/>
        <v>#DIV/0!</v>
      </c>
      <c r="L1089" s="20" t="e">
        <f t="shared" ca="1" si="23"/>
        <v>#DIV/0!</v>
      </c>
      <c r="M1089" s="21" t="e">
        <f t="shared" ca="1" si="24"/>
        <v>#DIV/0!</v>
      </c>
      <c r="N1089" s="20" t="str">
        <f ca="1">IFERROR(__xludf.DUMMYFUNCTION("IF(COUNTIFS($C$2:C1089, C1089, $A$2:A1089, ""&lt;="" &amp; A1089) &lt; 30, STDEV.P(FILTER($G$2:G1089, $C$2:C1089 = C1089)), STDEV.P(FILTER($G$2:G1089, $C$2:C1089 = C1089, $A$2:A1089 &gt;= A1089 - 30)))
"),"#DIV/0!")</f>
        <v>#DIV/0!</v>
      </c>
    </row>
    <row r="1090" spans="1:14" x14ac:dyDescent="0.2">
      <c r="A1090" s="41"/>
      <c r="B1090" s="40"/>
      <c r="C1090" s="40"/>
      <c r="D1090" s="31"/>
      <c r="E1090" s="31"/>
      <c r="F1090" s="31"/>
      <c r="G1090" s="19" t="e">
        <f t="shared" si="20"/>
        <v>#DIV/0!</v>
      </c>
      <c r="H1090" s="20" t="str">
        <f ca="1">IFERROR(__xludf.DUMMYFUNCTION("IF(COUNTIFS($C$2:C1090, C1090, $A$2:A1090, ""&lt;="" &amp; A1090) &lt; 30, AVERAGEIF($C$2:C1090, C1090, $G$2:G1090), AVERAGE(FILTER($G$2:G1090, $C$2:C1090 = C1090, $A$2:A1090 &gt;= A1090 - 30)))
"),"#DIV/0!")</f>
        <v>#DIV/0!</v>
      </c>
      <c r="I1090" s="20" t="e">
        <f t="shared" ca="1" si="21"/>
        <v>#DIV/0!</v>
      </c>
      <c r="J1090" s="20" t="str">
        <f ca="1">IFERROR(__xludf.DUMMYFUNCTION("IF(OR($I1090=2, $I1090=3), 0, IFERROR(COUNTIFS($C$2:C1090, $C1090, $A$2:A1090, ""&gt;""&amp;IFERROR(MAX(FILTER($A$2:A1090, $C$2:C1090=$C1090, $I$2:I1090&lt;&gt;1)), 0), $I$2:I1090, 1),1))
"),"#DIV/0!")</f>
        <v>#DIV/0!</v>
      </c>
      <c r="K1090" s="7" t="e">
        <f t="shared" ca="1" si="22"/>
        <v>#DIV/0!</v>
      </c>
      <c r="L1090" s="20" t="e">
        <f t="shared" ca="1" si="23"/>
        <v>#DIV/0!</v>
      </c>
      <c r="M1090" s="21" t="e">
        <f t="shared" ca="1" si="24"/>
        <v>#DIV/0!</v>
      </c>
      <c r="N1090" s="20" t="str">
        <f ca="1">IFERROR(__xludf.DUMMYFUNCTION("IF(COUNTIFS($C$2:C1090, C1090, $A$2:A1090, ""&lt;="" &amp; A1090) &lt; 30, STDEV.P(FILTER($G$2:G1090, $C$2:C1090 = C1090)), STDEV.P(FILTER($G$2:G1090, $C$2:C1090 = C1090, $A$2:A1090 &gt;= A1090 - 30)))
"),"#DIV/0!")</f>
        <v>#DIV/0!</v>
      </c>
    </row>
    <row r="1091" spans="1:14" x14ac:dyDescent="0.2">
      <c r="A1091" s="41"/>
      <c r="B1091" s="40"/>
      <c r="C1091" s="40"/>
      <c r="D1091" s="31"/>
      <c r="E1091" s="31"/>
      <c r="F1091" s="31"/>
      <c r="G1091" s="19" t="e">
        <f t="shared" si="20"/>
        <v>#DIV/0!</v>
      </c>
      <c r="H1091" s="20" t="str">
        <f ca="1">IFERROR(__xludf.DUMMYFUNCTION("IF(COUNTIFS($C$2:C1091, C1091, $A$2:A1091, ""&lt;="" &amp; A1091) &lt; 30, AVERAGEIF($C$2:C1091, C1091, $G$2:G1091), AVERAGE(FILTER($G$2:G1091, $C$2:C1091 = C1091, $A$2:A1091 &gt;= A1091 - 30)))
"),"#DIV/0!")</f>
        <v>#DIV/0!</v>
      </c>
      <c r="I1091" s="20" t="e">
        <f t="shared" ca="1" si="21"/>
        <v>#DIV/0!</v>
      </c>
      <c r="J1091" s="20" t="str">
        <f ca="1">IFERROR(__xludf.DUMMYFUNCTION("IF(OR($I1091=2, $I1091=3), 0, IFERROR(COUNTIFS($C$2:C1091, $C1091, $A$2:A1091, ""&gt;""&amp;IFERROR(MAX(FILTER($A$2:A1091, $C$2:C1091=$C1091, $I$2:I1091&lt;&gt;1)), 0), $I$2:I1091, 1),1))
"),"#DIV/0!")</f>
        <v>#DIV/0!</v>
      </c>
      <c r="K1091" s="7" t="e">
        <f t="shared" ca="1" si="22"/>
        <v>#DIV/0!</v>
      </c>
      <c r="L1091" s="20" t="e">
        <f t="shared" ca="1" si="23"/>
        <v>#DIV/0!</v>
      </c>
      <c r="M1091" s="21" t="e">
        <f t="shared" ca="1" si="24"/>
        <v>#DIV/0!</v>
      </c>
      <c r="N1091" s="20" t="str">
        <f ca="1">IFERROR(__xludf.DUMMYFUNCTION("IF(COUNTIFS($C$2:C1091, C1091, $A$2:A1091, ""&lt;="" &amp; A1091) &lt; 30, STDEV.P(FILTER($G$2:G1091, $C$2:C1091 = C1091)), STDEV.P(FILTER($G$2:G1091, $C$2:C1091 = C1091, $A$2:A1091 &gt;= A1091 - 30)))
"),"#DIV/0!")</f>
        <v>#DIV/0!</v>
      </c>
    </row>
    <row r="1092" spans="1:14" x14ac:dyDescent="0.2">
      <c r="A1092" s="41"/>
      <c r="B1092" s="40"/>
      <c r="C1092" s="40"/>
      <c r="D1092" s="31"/>
      <c r="E1092" s="31"/>
      <c r="F1092" s="31"/>
      <c r="G1092" s="19" t="e">
        <f t="shared" si="20"/>
        <v>#DIV/0!</v>
      </c>
      <c r="H1092" s="20" t="str">
        <f ca="1">IFERROR(__xludf.DUMMYFUNCTION("IF(COUNTIFS($C$2:C1092, C1092, $A$2:A1092, ""&lt;="" &amp; A1092) &lt; 30, AVERAGEIF($C$2:C1092, C1092, $G$2:G1092), AVERAGE(FILTER($G$2:G1092, $C$2:C1092 = C1092, $A$2:A1092 &gt;= A1092 - 30)))
"),"#DIV/0!")</f>
        <v>#DIV/0!</v>
      </c>
      <c r="I1092" s="20" t="e">
        <f t="shared" ca="1" si="21"/>
        <v>#DIV/0!</v>
      </c>
      <c r="J1092" s="20" t="str">
        <f ca="1">IFERROR(__xludf.DUMMYFUNCTION("IF(OR($I1092=2, $I1092=3), 0, IFERROR(COUNTIFS($C$2:C1092, $C1092, $A$2:A1092, ""&gt;""&amp;IFERROR(MAX(FILTER($A$2:A1092, $C$2:C1092=$C1092, $I$2:I1092&lt;&gt;1)), 0), $I$2:I1092, 1),1))
"),"#DIV/0!")</f>
        <v>#DIV/0!</v>
      </c>
      <c r="K1092" s="7" t="e">
        <f t="shared" ca="1" si="22"/>
        <v>#DIV/0!</v>
      </c>
      <c r="L1092" s="20" t="e">
        <f t="shared" ca="1" si="23"/>
        <v>#DIV/0!</v>
      </c>
      <c r="M1092" s="21" t="e">
        <f t="shared" ca="1" si="24"/>
        <v>#DIV/0!</v>
      </c>
      <c r="N1092" s="20" t="str">
        <f ca="1">IFERROR(__xludf.DUMMYFUNCTION("IF(COUNTIFS($C$2:C1092, C1092, $A$2:A1092, ""&lt;="" &amp; A1092) &lt; 30, STDEV.P(FILTER($G$2:G1092, $C$2:C1092 = C1092)), STDEV.P(FILTER($G$2:G1092, $C$2:C1092 = C1092, $A$2:A1092 &gt;= A1092 - 30)))
"),"#DIV/0!")</f>
        <v>#DIV/0!</v>
      </c>
    </row>
    <row r="1093" spans="1:14" x14ac:dyDescent="0.2">
      <c r="A1093" s="41"/>
      <c r="B1093" s="40"/>
      <c r="C1093" s="40"/>
      <c r="D1093" s="31"/>
      <c r="E1093" s="31"/>
      <c r="F1093" s="31"/>
      <c r="G1093" s="19" t="e">
        <f t="shared" si="20"/>
        <v>#DIV/0!</v>
      </c>
      <c r="H1093" s="20" t="str">
        <f ca="1">IFERROR(__xludf.DUMMYFUNCTION("IF(COUNTIFS($C$2:C1093, C1093, $A$2:A1093, ""&lt;="" &amp; A1093) &lt; 30, AVERAGEIF($C$2:C1093, C1093, $G$2:G1093), AVERAGE(FILTER($G$2:G1093, $C$2:C1093 = C1093, $A$2:A1093 &gt;= A1093 - 30)))
"),"#DIV/0!")</f>
        <v>#DIV/0!</v>
      </c>
      <c r="I1093" s="20" t="e">
        <f t="shared" ca="1" si="21"/>
        <v>#DIV/0!</v>
      </c>
      <c r="J1093" s="20" t="str">
        <f ca="1">IFERROR(__xludf.DUMMYFUNCTION("IF(OR($I1093=2, $I1093=3), 0, IFERROR(COUNTIFS($C$2:C1093, $C1093, $A$2:A1093, ""&gt;""&amp;IFERROR(MAX(FILTER($A$2:A1093, $C$2:C1093=$C1093, $I$2:I1093&lt;&gt;1)), 0), $I$2:I1093, 1),1))
"),"#DIV/0!")</f>
        <v>#DIV/0!</v>
      </c>
      <c r="K1093" s="7" t="e">
        <f t="shared" ca="1" si="22"/>
        <v>#DIV/0!</v>
      </c>
      <c r="L1093" s="20" t="e">
        <f t="shared" ca="1" si="23"/>
        <v>#DIV/0!</v>
      </c>
      <c r="M1093" s="21" t="e">
        <f t="shared" ca="1" si="24"/>
        <v>#DIV/0!</v>
      </c>
      <c r="N1093" s="20" t="str">
        <f ca="1">IFERROR(__xludf.DUMMYFUNCTION("IF(COUNTIFS($C$2:C1093, C1093, $A$2:A1093, ""&lt;="" &amp; A1093) &lt; 30, STDEV.P(FILTER($G$2:G1093, $C$2:C1093 = C1093)), STDEV.P(FILTER($G$2:G1093, $C$2:C1093 = C1093, $A$2:A1093 &gt;= A1093 - 30)))
"),"#DIV/0!")</f>
        <v>#DIV/0!</v>
      </c>
    </row>
    <row r="1094" spans="1:14" x14ac:dyDescent="0.2">
      <c r="A1094" s="41"/>
      <c r="B1094" s="40"/>
      <c r="C1094" s="40"/>
      <c r="D1094" s="31"/>
      <c r="E1094" s="31"/>
      <c r="F1094" s="31"/>
      <c r="G1094" s="19" t="e">
        <f t="shared" si="20"/>
        <v>#DIV/0!</v>
      </c>
      <c r="H1094" s="20" t="str">
        <f ca="1">IFERROR(__xludf.DUMMYFUNCTION("IF(COUNTIFS($C$2:C1094, C1094, $A$2:A1094, ""&lt;="" &amp; A1094) &lt; 30, AVERAGEIF($C$2:C1094, C1094, $G$2:G1094), AVERAGE(FILTER($G$2:G1094, $C$2:C1094 = C1094, $A$2:A1094 &gt;= A1094 - 30)))
"),"#DIV/0!")</f>
        <v>#DIV/0!</v>
      </c>
      <c r="I1094" s="20" t="e">
        <f t="shared" ca="1" si="21"/>
        <v>#DIV/0!</v>
      </c>
      <c r="J1094" s="20" t="str">
        <f ca="1">IFERROR(__xludf.DUMMYFUNCTION("IF(OR($I1094=2, $I1094=3), 0, IFERROR(COUNTIFS($C$2:C1094, $C1094, $A$2:A1094, ""&gt;""&amp;IFERROR(MAX(FILTER($A$2:A1094, $C$2:C1094=$C1094, $I$2:I1094&lt;&gt;1)), 0), $I$2:I1094, 1),1))
"),"#DIV/0!")</f>
        <v>#DIV/0!</v>
      </c>
      <c r="K1094" s="7" t="e">
        <f t="shared" ca="1" si="22"/>
        <v>#DIV/0!</v>
      </c>
      <c r="L1094" s="20" t="e">
        <f t="shared" ca="1" si="23"/>
        <v>#DIV/0!</v>
      </c>
      <c r="M1094" s="21" t="e">
        <f t="shared" ca="1" si="24"/>
        <v>#DIV/0!</v>
      </c>
      <c r="N1094" s="20" t="str">
        <f ca="1">IFERROR(__xludf.DUMMYFUNCTION("IF(COUNTIFS($C$2:C1094, C1094, $A$2:A1094, ""&lt;="" &amp; A1094) &lt; 30, STDEV.P(FILTER($G$2:G1094, $C$2:C1094 = C1094)), STDEV.P(FILTER($G$2:G1094, $C$2:C1094 = C1094, $A$2:A1094 &gt;= A1094 - 30)))
"),"#DIV/0!")</f>
        <v>#DIV/0!</v>
      </c>
    </row>
    <row r="1095" spans="1:14" x14ac:dyDescent="0.2">
      <c r="A1095" s="41"/>
      <c r="B1095" s="40"/>
      <c r="C1095" s="40"/>
      <c r="D1095" s="31"/>
      <c r="E1095" s="31"/>
      <c r="F1095" s="31"/>
      <c r="G1095" s="19" t="e">
        <f t="shared" si="20"/>
        <v>#DIV/0!</v>
      </c>
      <c r="H1095" s="20" t="str">
        <f ca="1">IFERROR(__xludf.DUMMYFUNCTION("IF(COUNTIFS($C$2:C1095, C1095, $A$2:A1095, ""&lt;="" &amp; A1095) &lt; 30, AVERAGEIF($C$2:C1095, C1095, $G$2:G1095), AVERAGE(FILTER($G$2:G1095, $C$2:C1095 = C1095, $A$2:A1095 &gt;= A1095 - 30)))
"),"#DIV/0!")</f>
        <v>#DIV/0!</v>
      </c>
      <c r="I1095" s="20" t="e">
        <f t="shared" ca="1" si="21"/>
        <v>#DIV/0!</v>
      </c>
      <c r="J1095" s="20" t="str">
        <f ca="1">IFERROR(__xludf.DUMMYFUNCTION("IF(OR($I1095=2, $I1095=3), 0, IFERROR(COUNTIFS($C$2:C1095, $C1095, $A$2:A1095, ""&gt;""&amp;IFERROR(MAX(FILTER($A$2:A1095, $C$2:C1095=$C1095, $I$2:I1095&lt;&gt;1)), 0), $I$2:I1095, 1),1))
"),"#DIV/0!")</f>
        <v>#DIV/0!</v>
      </c>
      <c r="K1095" s="7" t="e">
        <f t="shared" ca="1" si="22"/>
        <v>#DIV/0!</v>
      </c>
      <c r="L1095" s="20" t="e">
        <f t="shared" ca="1" si="23"/>
        <v>#DIV/0!</v>
      </c>
      <c r="M1095" s="21" t="e">
        <f t="shared" ca="1" si="24"/>
        <v>#DIV/0!</v>
      </c>
      <c r="N1095" s="20" t="str">
        <f ca="1">IFERROR(__xludf.DUMMYFUNCTION("IF(COUNTIFS($C$2:C1095, C1095, $A$2:A1095, ""&lt;="" &amp; A1095) &lt; 30, STDEV.P(FILTER($G$2:G1095, $C$2:C1095 = C1095)), STDEV.P(FILTER($G$2:G1095, $C$2:C1095 = C1095, $A$2:A1095 &gt;= A1095 - 30)))
"),"#DIV/0!")</f>
        <v>#DIV/0!</v>
      </c>
    </row>
    <row r="1096" spans="1:14" x14ac:dyDescent="0.2">
      <c r="A1096" s="41"/>
      <c r="B1096" s="40"/>
      <c r="C1096" s="40"/>
      <c r="D1096" s="31"/>
      <c r="E1096" s="31"/>
      <c r="F1096" s="31"/>
      <c r="G1096" s="19" t="e">
        <f t="shared" si="20"/>
        <v>#DIV/0!</v>
      </c>
      <c r="H1096" s="20" t="str">
        <f ca="1">IFERROR(__xludf.DUMMYFUNCTION("IF(COUNTIFS($C$2:C1096, C1096, $A$2:A1096, ""&lt;="" &amp; A1096) &lt; 30, AVERAGEIF($C$2:C1096, C1096, $G$2:G1096), AVERAGE(FILTER($G$2:G1096, $C$2:C1096 = C1096, $A$2:A1096 &gt;= A1096 - 30)))
"),"#DIV/0!")</f>
        <v>#DIV/0!</v>
      </c>
      <c r="I1096" s="20" t="e">
        <f t="shared" ca="1" si="21"/>
        <v>#DIV/0!</v>
      </c>
      <c r="J1096" s="20" t="str">
        <f ca="1">IFERROR(__xludf.DUMMYFUNCTION("IF(OR($I1096=2, $I1096=3), 0, IFERROR(COUNTIFS($C$2:C1096, $C1096, $A$2:A1096, ""&gt;""&amp;IFERROR(MAX(FILTER($A$2:A1096, $C$2:C1096=$C1096, $I$2:I1096&lt;&gt;1)), 0), $I$2:I1096, 1),1))
"),"#DIV/0!")</f>
        <v>#DIV/0!</v>
      </c>
      <c r="K1096" s="7" t="e">
        <f t="shared" ca="1" si="22"/>
        <v>#DIV/0!</v>
      </c>
      <c r="L1096" s="20" t="e">
        <f t="shared" ca="1" si="23"/>
        <v>#DIV/0!</v>
      </c>
      <c r="M1096" s="21" t="e">
        <f t="shared" ca="1" si="24"/>
        <v>#DIV/0!</v>
      </c>
      <c r="N1096" s="20" t="str">
        <f ca="1">IFERROR(__xludf.DUMMYFUNCTION("IF(COUNTIFS($C$2:C1096, C1096, $A$2:A1096, ""&lt;="" &amp; A1096) &lt; 30, STDEV.P(FILTER($G$2:G1096, $C$2:C1096 = C1096)), STDEV.P(FILTER($G$2:G1096, $C$2:C1096 = C1096, $A$2:A1096 &gt;= A1096 - 30)))
"),"#DIV/0!")</f>
        <v>#DIV/0!</v>
      </c>
    </row>
    <row r="1097" spans="1:14" x14ac:dyDescent="0.2">
      <c r="A1097" s="41"/>
      <c r="B1097" s="40"/>
      <c r="C1097" s="40"/>
      <c r="D1097" s="31"/>
      <c r="E1097" s="31"/>
      <c r="F1097" s="31"/>
      <c r="G1097" s="19" t="e">
        <f t="shared" si="20"/>
        <v>#DIV/0!</v>
      </c>
      <c r="H1097" s="20" t="str">
        <f ca="1">IFERROR(__xludf.DUMMYFUNCTION("IF(COUNTIFS($C$2:C1097, C1097, $A$2:A1097, ""&lt;="" &amp; A1097) &lt; 30, AVERAGEIF($C$2:C1097, C1097, $G$2:G1097), AVERAGE(FILTER($G$2:G1097, $C$2:C1097 = C1097, $A$2:A1097 &gt;= A1097 - 30)))
"),"#DIV/0!")</f>
        <v>#DIV/0!</v>
      </c>
      <c r="I1097" s="20" t="e">
        <f t="shared" ca="1" si="21"/>
        <v>#DIV/0!</v>
      </c>
      <c r="J1097" s="20" t="str">
        <f ca="1">IFERROR(__xludf.DUMMYFUNCTION("IF(OR($I1097=2, $I1097=3), 0, IFERROR(COUNTIFS($C$2:C1097, $C1097, $A$2:A1097, ""&gt;""&amp;IFERROR(MAX(FILTER($A$2:A1097, $C$2:C1097=$C1097, $I$2:I1097&lt;&gt;1)), 0), $I$2:I1097, 1),1))
"),"#DIV/0!")</f>
        <v>#DIV/0!</v>
      </c>
      <c r="K1097" s="7" t="e">
        <f t="shared" ca="1" si="22"/>
        <v>#DIV/0!</v>
      </c>
      <c r="L1097" s="20" t="e">
        <f t="shared" ca="1" si="23"/>
        <v>#DIV/0!</v>
      </c>
      <c r="M1097" s="21" t="e">
        <f t="shared" ca="1" si="24"/>
        <v>#DIV/0!</v>
      </c>
      <c r="N1097" s="20" t="str">
        <f ca="1">IFERROR(__xludf.DUMMYFUNCTION("IF(COUNTIFS($C$2:C1097, C1097, $A$2:A1097, ""&lt;="" &amp; A1097) &lt; 30, STDEV.P(FILTER($G$2:G1097, $C$2:C1097 = C1097)), STDEV.P(FILTER($G$2:G1097, $C$2:C1097 = C1097, $A$2:A1097 &gt;= A1097 - 30)))
"),"#DIV/0!")</f>
        <v>#DIV/0!</v>
      </c>
    </row>
    <row r="1098" spans="1:14" x14ac:dyDescent="0.2">
      <c r="A1098" s="41"/>
      <c r="B1098" s="40"/>
      <c r="C1098" s="40"/>
      <c r="D1098" s="31"/>
      <c r="E1098" s="31"/>
      <c r="F1098" s="31"/>
      <c r="G1098" s="19" t="e">
        <f t="shared" si="20"/>
        <v>#DIV/0!</v>
      </c>
      <c r="H1098" s="20" t="str">
        <f ca="1">IFERROR(__xludf.DUMMYFUNCTION("IF(COUNTIFS($C$2:C1098, C1098, $A$2:A1098, ""&lt;="" &amp; A1098) &lt; 30, AVERAGEIF($C$2:C1098, C1098, $G$2:G1098), AVERAGE(FILTER($G$2:G1098, $C$2:C1098 = C1098, $A$2:A1098 &gt;= A1098 - 30)))
"),"#DIV/0!")</f>
        <v>#DIV/0!</v>
      </c>
      <c r="I1098" s="20" t="e">
        <f t="shared" ca="1" si="21"/>
        <v>#DIV/0!</v>
      </c>
      <c r="J1098" s="20" t="str">
        <f ca="1">IFERROR(__xludf.DUMMYFUNCTION("IF(OR($I1098=2, $I1098=3), 0, IFERROR(COUNTIFS($C$2:C1098, $C1098, $A$2:A1098, ""&gt;""&amp;IFERROR(MAX(FILTER($A$2:A1098, $C$2:C1098=$C1098, $I$2:I1098&lt;&gt;1)), 0), $I$2:I1098, 1),1))
"),"#DIV/0!")</f>
        <v>#DIV/0!</v>
      </c>
      <c r="K1098" s="7" t="e">
        <f t="shared" ca="1" si="22"/>
        <v>#DIV/0!</v>
      </c>
      <c r="L1098" s="20" t="e">
        <f t="shared" ca="1" si="23"/>
        <v>#DIV/0!</v>
      </c>
      <c r="M1098" s="21" t="e">
        <f t="shared" ca="1" si="24"/>
        <v>#DIV/0!</v>
      </c>
      <c r="N1098" s="20" t="str">
        <f ca="1">IFERROR(__xludf.DUMMYFUNCTION("IF(COUNTIFS($C$2:C1098, C1098, $A$2:A1098, ""&lt;="" &amp; A1098) &lt; 30, STDEV.P(FILTER($G$2:G1098, $C$2:C1098 = C1098)), STDEV.P(FILTER($G$2:G1098, $C$2:C1098 = C1098, $A$2:A1098 &gt;= A1098 - 30)))
"),"#DIV/0!")</f>
        <v>#DIV/0!</v>
      </c>
    </row>
    <row r="1099" spans="1:14" x14ac:dyDescent="0.2">
      <c r="A1099" s="41"/>
      <c r="B1099" s="40"/>
      <c r="C1099" s="40"/>
      <c r="D1099" s="31"/>
      <c r="E1099" s="31"/>
      <c r="F1099" s="31"/>
      <c r="G1099" s="19" t="e">
        <f t="shared" si="20"/>
        <v>#DIV/0!</v>
      </c>
      <c r="H1099" s="20" t="str">
        <f ca="1">IFERROR(__xludf.DUMMYFUNCTION("IF(COUNTIFS($C$2:C1099, C1099, $A$2:A1099, ""&lt;="" &amp; A1099) &lt; 30, AVERAGEIF($C$2:C1099, C1099, $G$2:G1099), AVERAGE(FILTER($G$2:G1099, $C$2:C1099 = C1099, $A$2:A1099 &gt;= A1099 - 30)))
"),"#DIV/0!")</f>
        <v>#DIV/0!</v>
      </c>
      <c r="I1099" s="20" t="e">
        <f t="shared" ca="1" si="21"/>
        <v>#DIV/0!</v>
      </c>
      <c r="J1099" s="20" t="str">
        <f ca="1">IFERROR(__xludf.DUMMYFUNCTION("IF(OR($I1099=2, $I1099=3), 0, IFERROR(COUNTIFS($C$2:C1099, $C1099, $A$2:A1099, ""&gt;""&amp;IFERROR(MAX(FILTER($A$2:A1099, $C$2:C1099=$C1099, $I$2:I1099&lt;&gt;1)), 0), $I$2:I1099, 1),1))
"),"#DIV/0!")</f>
        <v>#DIV/0!</v>
      </c>
      <c r="K1099" s="7" t="e">
        <f t="shared" ca="1" si="22"/>
        <v>#DIV/0!</v>
      </c>
      <c r="L1099" s="20" t="e">
        <f t="shared" ca="1" si="23"/>
        <v>#DIV/0!</v>
      </c>
      <c r="M1099" s="21" t="e">
        <f t="shared" ca="1" si="24"/>
        <v>#DIV/0!</v>
      </c>
      <c r="N1099" s="20" t="str">
        <f ca="1">IFERROR(__xludf.DUMMYFUNCTION("IF(COUNTIFS($C$2:C1099, C1099, $A$2:A1099, ""&lt;="" &amp; A1099) &lt; 30, STDEV.P(FILTER($G$2:G1099, $C$2:C1099 = C1099)), STDEV.P(FILTER($G$2:G1099, $C$2:C1099 = C1099, $A$2:A1099 &gt;= A1099 - 30)))
"),"#DIV/0!")</f>
        <v>#DIV/0!</v>
      </c>
    </row>
    <row r="1100" spans="1:14" x14ac:dyDescent="0.2">
      <c r="A1100" s="41"/>
      <c r="B1100" s="40"/>
      <c r="C1100" s="40"/>
      <c r="D1100" s="31"/>
      <c r="E1100" s="31"/>
      <c r="F1100" s="31"/>
      <c r="G1100" s="19" t="e">
        <f t="shared" si="20"/>
        <v>#DIV/0!</v>
      </c>
      <c r="H1100" s="20" t="str">
        <f ca="1">IFERROR(__xludf.DUMMYFUNCTION("IF(COUNTIFS($C$2:C1100, C1100, $A$2:A1100, ""&lt;="" &amp; A1100) &lt; 30, AVERAGEIF($C$2:C1100, C1100, $G$2:G1100), AVERAGE(FILTER($G$2:G1100, $C$2:C1100 = C1100, $A$2:A1100 &gt;= A1100 - 30)))
"),"#DIV/0!")</f>
        <v>#DIV/0!</v>
      </c>
      <c r="I1100" s="20" t="e">
        <f t="shared" ca="1" si="21"/>
        <v>#DIV/0!</v>
      </c>
      <c r="J1100" s="20" t="str">
        <f ca="1">IFERROR(__xludf.DUMMYFUNCTION("IF(OR($I1100=2, $I1100=3), 0, IFERROR(COUNTIFS($C$2:C1100, $C1100, $A$2:A1100, ""&gt;""&amp;IFERROR(MAX(FILTER($A$2:A1100, $C$2:C1100=$C1100, $I$2:I1100&lt;&gt;1)), 0), $I$2:I1100, 1),1))
"),"#DIV/0!")</f>
        <v>#DIV/0!</v>
      </c>
      <c r="K1100" s="7" t="e">
        <f t="shared" ca="1" si="22"/>
        <v>#DIV/0!</v>
      </c>
      <c r="L1100" s="20" t="e">
        <f t="shared" ca="1" si="23"/>
        <v>#DIV/0!</v>
      </c>
      <c r="M1100" s="21" t="e">
        <f t="shared" ca="1" si="24"/>
        <v>#DIV/0!</v>
      </c>
      <c r="N1100" s="20" t="str">
        <f ca="1">IFERROR(__xludf.DUMMYFUNCTION("IF(COUNTIFS($C$2:C1100, C1100, $A$2:A1100, ""&lt;="" &amp; A1100) &lt; 30, STDEV.P(FILTER($G$2:G1100, $C$2:C1100 = C1100)), STDEV.P(FILTER($G$2:G1100, $C$2:C1100 = C1100, $A$2:A1100 &gt;= A1100 - 30)))
"),"#DIV/0!")</f>
        <v>#DIV/0!</v>
      </c>
    </row>
    <row r="1101" spans="1:14" x14ac:dyDescent="0.2">
      <c r="A1101" s="41"/>
      <c r="B1101" s="40"/>
      <c r="C1101" s="40"/>
      <c r="D1101" s="31"/>
      <c r="E1101" s="31"/>
      <c r="F1101" s="31"/>
      <c r="G1101" s="19" t="e">
        <f t="shared" si="20"/>
        <v>#DIV/0!</v>
      </c>
      <c r="H1101" s="20" t="str">
        <f ca="1">IFERROR(__xludf.DUMMYFUNCTION("IF(COUNTIFS($C$2:C1101, C1101, $A$2:A1101, ""&lt;="" &amp; A1101) &lt; 30, AVERAGEIF($C$2:C1101, C1101, $G$2:G1101), AVERAGE(FILTER($G$2:G1101, $C$2:C1101 = C1101, $A$2:A1101 &gt;= A1101 - 30)))
"),"#DIV/0!")</f>
        <v>#DIV/0!</v>
      </c>
      <c r="I1101" s="20" t="e">
        <f t="shared" ca="1" si="21"/>
        <v>#DIV/0!</v>
      </c>
      <c r="J1101" s="20" t="str">
        <f ca="1">IFERROR(__xludf.DUMMYFUNCTION("IF(OR($I1101=2, $I1101=3), 0, IFERROR(COUNTIFS($C$2:C1101, $C1101, $A$2:A1101, ""&gt;""&amp;IFERROR(MAX(FILTER($A$2:A1101, $C$2:C1101=$C1101, $I$2:I1101&lt;&gt;1)), 0), $I$2:I1101, 1),1))
"),"#DIV/0!")</f>
        <v>#DIV/0!</v>
      </c>
      <c r="K1101" s="7" t="e">
        <f t="shared" ca="1" si="22"/>
        <v>#DIV/0!</v>
      </c>
      <c r="L1101" s="20" t="e">
        <f t="shared" ca="1" si="23"/>
        <v>#DIV/0!</v>
      </c>
      <c r="M1101" s="21" t="e">
        <f t="shared" ca="1" si="24"/>
        <v>#DIV/0!</v>
      </c>
      <c r="N1101" s="20" t="str">
        <f ca="1">IFERROR(__xludf.DUMMYFUNCTION("IF(COUNTIFS($C$2:C1101, C1101, $A$2:A1101, ""&lt;="" &amp; A1101) &lt; 30, STDEV.P(FILTER($G$2:G1101, $C$2:C1101 = C1101)), STDEV.P(FILTER($G$2:G1101, $C$2:C1101 = C1101, $A$2:A1101 &gt;= A1101 - 30)))
"),"#DIV/0!")</f>
        <v>#DIV/0!</v>
      </c>
    </row>
    <row r="1102" spans="1:14" x14ac:dyDescent="0.2">
      <c r="A1102" s="41"/>
      <c r="B1102" s="40"/>
      <c r="C1102" s="40"/>
      <c r="D1102" s="31"/>
      <c r="E1102" s="31"/>
      <c r="F1102" s="31"/>
      <c r="G1102" s="19" t="e">
        <f t="shared" si="20"/>
        <v>#DIV/0!</v>
      </c>
      <c r="H1102" s="20" t="str">
        <f ca="1">IFERROR(__xludf.DUMMYFUNCTION("IF(COUNTIFS($C$2:C1102, C1102, $A$2:A1102, ""&lt;="" &amp; A1102) &lt; 30, AVERAGEIF($C$2:C1102, C1102, $G$2:G1102), AVERAGE(FILTER($G$2:G1102, $C$2:C1102 = C1102, $A$2:A1102 &gt;= A1102 - 30)))
"),"#DIV/0!")</f>
        <v>#DIV/0!</v>
      </c>
      <c r="I1102" s="20" t="e">
        <f t="shared" ca="1" si="21"/>
        <v>#DIV/0!</v>
      </c>
      <c r="J1102" s="20" t="str">
        <f ca="1">IFERROR(__xludf.DUMMYFUNCTION("IF(OR($I1102=2, $I1102=3), 0, IFERROR(COUNTIFS($C$2:C1102, $C1102, $A$2:A1102, ""&gt;""&amp;IFERROR(MAX(FILTER($A$2:A1102, $C$2:C1102=$C1102, $I$2:I1102&lt;&gt;1)), 0), $I$2:I1102, 1),1))
"),"#DIV/0!")</f>
        <v>#DIV/0!</v>
      </c>
      <c r="K1102" s="7" t="e">
        <f t="shared" ca="1" si="22"/>
        <v>#DIV/0!</v>
      </c>
      <c r="L1102" s="20" t="e">
        <f t="shared" ca="1" si="23"/>
        <v>#DIV/0!</v>
      </c>
      <c r="M1102" s="21" t="e">
        <f t="shared" ca="1" si="24"/>
        <v>#DIV/0!</v>
      </c>
      <c r="N1102" s="20" t="str">
        <f ca="1">IFERROR(__xludf.DUMMYFUNCTION("IF(COUNTIFS($C$2:C1102, C1102, $A$2:A1102, ""&lt;="" &amp; A1102) &lt; 30, STDEV.P(FILTER($G$2:G1102, $C$2:C1102 = C1102)), STDEV.P(FILTER($G$2:G1102, $C$2:C1102 = C1102, $A$2:A1102 &gt;= A1102 - 30)))
"),"#DIV/0!")</f>
        <v>#DIV/0!</v>
      </c>
    </row>
    <row r="1103" spans="1:14" x14ac:dyDescent="0.2">
      <c r="A1103" s="41"/>
      <c r="B1103" s="40"/>
      <c r="C1103" s="40"/>
      <c r="D1103" s="31"/>
      <c r="E1103" s="31"/>
      <c r="F1103" s="31"/>
      <c r="G1103" s="19" t="e">
        <f t="shared" si="20"/>
        <v>#DIV/0!</v>
      </c>
      <c r="H1103" s="20" t="str">
        <f ca="1">IFERROR(__xludf.DUMMYFUNCTION("IF(COUNTIFS($C$2:C1103, C1103, $A$2:A1103, ""&lt;="" &amp; A1103) &lt; 30, AVERAGEIF($C$2:C1103, C1103, $G$2:G1103), AVERAGE(FILTER($G$2:G1103, $C$2:C1103 = C1103, $A$2:A1103 &gt;= A1103 - 30)))
"),"#DIV/0!")</f>
        <v>#DIV/0!</v>
      </c>
      <c r="I1103" s="20" t="e">
        <f t="shared" ca="1" si="21"/>
        <v>#DIV/0!</v>
      </c>
      <c r="J1103" s="20" t="str">
        <f ca="1">IFERROR(__xludf.DUMMYFUNCTION("IF(OR($I1103=2, $I1103=3), 0, IFERROR(COUNTIFS($C$2:C1103, $C1103, $A$2:A1103, ""&gt;""&amp;IFERROR(MAX(FILTER($A$2:A1103, $C$2:C1103=$C1103, $I$2:I1103&lt;&gt;1)), 0), $I$2:I1103, 1),1))
"),"#DIV/0!")</f>
        <v>#DIV/0!</v>
      </c>
      <c r="K1103" s="7" t="e">
        <f t="shared" ca="1" si="22"/>
        <v>#DIV/0!</v>
      </c>
      <c r="L1103" s="20" t="e">
        <f t="shared" ca="1" si="23"/>
        <v>#DIV/0!</v>
      </c>
      <c r="M1103" s="21" t="e">
        <f t="shared" ca="1" si="24"/>
        <v>#DIV/0!</v>
      </c>
      <c r="N1103" s="20" t="str">
        <f ca="1">IFERROR(__xludf.DUMMYFUNCTION("IF(COUNTIFS($C$2:C1103, C1103, $A$2:A1103, ""&lt;="" &amp; A1103) &lt; 30, STDEV.P(FILTER($G$2:G1103, $C$2:C1103 = C1103)), STDEV.P(FILTER($G$2:G1103, $C$2:C1103 = C1103, $A$2:A1103 &gt;= A1103 - 30)))
"),"#DIV/0!")</f>
        <v>#DIV/0!</v>
      </c>
    </row>
    <row r="1104" spans="1:14" x14ac:dyDescent="0.2">
      <c r="A1104" s="41"/>
      <c r="B1104" s="40"/>
      <c r="C1104" s="40"/>
      <c r="D1104" s="31"/>
      <c r="E1104" s="31"/>
      <c r="F1104" s="31"/>
      <c r="G1104" s="19" t="e">
        <f t="shared" si="20"/>
        <v>#DIV/0!</v>
      </c>
      <c r="H1104" s="20" t="str">
        <f ca="1">IFERROR(__xludf.DUMMYFUNCTION("IF(COUNTIFS($C$2:C1104, C1104, $A$2:A1104, ""&lt;="" &amp; A1104) &lt; 30, AVERAGEIF($C$2:C1104, C1104, $G$2:G1104), AVERAGE(FILTER($G$2:G1104, $C$2:C1104 = C1104, $A$2:A1104 &gt;= A1104 - 30)))
"),"#DIV/0!")</f>
        <v>#DIV/0!</v>
      </c>
      <c r="I1104" s="20" t="e">
        <f t="shared" ca="1" si="21"/>
        <v>#DIV/0!</v>
      </c>
      <c r="J1104" s="20" t="str">
        <f ca="1">IFERROR(__xludf.DUMMYFUNCTION("IF(OR($I1104=2, $I1104=3), 0, IFERROR(COUNTIFS($C$2:C1104, $C1104, $A$2:A1104, ""&gt;""&amp;IFERROR(MAX(FILTER($A$2:A1104, $C$2:C1104=$C1104, $I$2:I1104&lt;&gt;1)), 0), $I$2:I1104, 1),1))
"),"#DIV/0!")</f>
        <v>#DIV/0!</v>
      </c>
      <c r="K1104" s="7" t="e">
        <f t="shared" ca="1" si="22"/>
        <v>#DIV/0!</v>
      </c>
      <c r="L1104" s="20" t="e">
        <f t="shared" ca="1" si="23"/>
        <v>#DIV/0!</v>
      </c>
      <c r="M1104" s="21" t="e">
        <f t="shared" ca="1" si="24"/>
        <v>#DIV/0!</v>
      </c>
      <c r="N1104" s="20" t="str">
        <f ca="1">IFERROR(__xludf.DUMMYFUNCTION("IF(COUNTIFS($C$2:C1104, C1104, $A$2:A1104, ""&lt;="" &amp; A1104) &lt; 30, STDEV.P(FILTER($G$2:G1104, $C$2:C1104 = C1104)), STDEV.P(FILTER($G$2:G1104, $C$2:C1104 = C1104, $A$2:A1104 &gt;= A1104 - 30)))
"),"#DIV/0!")</f>
        <v>#DIV/0!</v>
      </c>
    </row>
    <row r="1105" spans="1:14" x14ac:dyDescent="0.2">
      <c r="A1105" s="41"/>
      <c r="B1105" s="40"/>
      <c r="C1105" s="40"/>
      <c r="D1105" s="31"/>
      <c r="E1105" s="31"/>
      <c r="F1105" s="31"/>
      <c r="G1105" s="19" t="e">
        <f t="shared" si="20"/>
        <v>#DIV/0!</v>
      </c>
      <c r="H1105" s="20" t="str">
        <f ca="1">IFERROR(__xludf.DUMMYFUNCTION("IF(COUNTIFS($C$2:C1105, C1105, $A$2:A1105, ""&lt;="" &amp; A1105) &lt; 30, AVERAGEIF($C$2:C1105, C1105, $G$2:G1105), AVERAGE(FILTER($G$2:G1105, $C$2:C1105 = C1105, $A$2:A1105 &gt;= A1105 - 30)))
"),"#DIV/0!")</f>
        <v>#DIV/0!</v>
      </c>
      <c r="I1105" s="20" t="e">
        <f t="shared" ca="1" si="21"/>
        <v>#DIV/0!</v>
      </c>
      <c r="J1105" s="20" t="str">
        <f ca="1">IFERROR(__xludf.DUMMYFUNCTION("IF(OR($I1105=2, $I1105=3), 0, IFERROR(COUNTIFS($C$2:C1105, $C1105, $A$2:A1105, ""&gt;""&amp;IFERROR(MAX(FILTER($A$2:A1105, $C$2:C1105=$C1105, $I$2:I1105&lt;&gt;1)), 0), $I$2:I1105, 1),1))
"),"#DIV/0!")</f>
        <v>#DIV/0!</v>
      </c>
      <c r="K1105" s="7" t="e">
        <f t="shared" ca="1" si="22"/>
        <v>#DIV/0!</v>
      </c>
      <c r="L1105" s="20" t="e">
        <f t="shared" ca="1" si="23"/>
        <v>#DIV/0!</v>
      </c>
      <c r="M1105" s="21" t="e">
        <f t="shared" ca="1" si="24"/>
        <v>#DIV/0!</v>
      </c>
      <c r="N1105" s="20" t="str">
        <f ca="1">IFERROR(__xludf.DUMMYFUNCTION("IF(COUNTIFS($C$2:C1105, C1105, $A$2:A1105, ""&lt;="" &amp; A1105) &lt; 30, STDEV.P(FILTER($G$2:G1105, $C$2:C1105 = C1105)), STDEV.P(FILTER($G$2:G1105, $C$2:C1105 = C1105, $A$2:A1105 &gt;= A1105 - 30)))
"),"#DIV/0!")</f>
        <v>#DIV/0!</v>
      </c>
    </row>
    <row r="1106" spans="1:14" x14ac:dyDescent="0.2">
      <c r="A1106" s="41"/>
      <c r="B1106" s="40"/>
      <c r="C1106" s="40"/>
      <c r="D1106" s="31"/>
      <c r="E1106" s="31"/>
      <c r="F1106" s="31"/>
      <c r="G1106" s="19" t="e">
        <f t="shared" si="20"/>
        <v>#DIV/0!</v>
      </c>
      <c r="H1106" s="20" t="str">
        <f ca="1">IFERROR(__xludf.DUMMYFUNCTION("IF(COUNTIFS($C$2:C1106, C1106, $A$2:A1106, ""&lt;="" &amp; A1106) &lt; 30, AVERAGEIF($C$2:C1106, C1106, $G$2:G1106), AVERAGE(FILTER($G$2:G1106, $C$2:C1106 = C1106, $A$2:A1106 &gt;= A1106 - 30)))
"),"#DIV/0!")</f>
        <v>#DIV/0!</v>
      </c>
      <c r="I1106" s="20" t="e">
        <f t="shared" ca="1" si="21"/>
        <v>#DIV/0!</v>
      </c>
      <c r="J1106" s="20" t="str">
        <f ca="1">IFERROR(__xludf.DUMMYFUNCTION("IF(OR($I1106=2, $I1106=3), 0, IFERROR(COUNTIFS($C$2:C1106, $C1106, $A$2:A1106, ""&gt;""&amp;IFERROR(MAX(FILTER($A$2:A1106, $C$2:C1106=$C1106, $I$2:I1106&lt;&gt;1)), 0), $I$2:I1106, 1),1))
"),"#DIV/0!")</f>
        <v>#DIV/0!</v>
      </c>
      <c r="K1106" s="7" t="e">
        <f t="shared" ca="1" si="22"/>
        <v>#DIV/0!</v>
      </c>
      <c r="L1106" s="20" t="e">
        <f t="shared" ca="1" si="23"/>
        <v>#DIV/0!</v>
      </c>
      <c r="M1106" s="21" t="e">
        <f t="shared" ca="1" si="24"/>
        <v>#DIV/0!</v>
      </c>
      <c r="N1106" s="20" t="str">
        <f ca="1">IFERROR(__xludf.DUMMYFUNCTION("IF(COUNTIFS($C$2:C1106, C1106, $A$2:A1106, ""&lt;="" &amp; A1106) &lt; 30, STDEV.P(FILTER($G$2:G1106, $C$2:C1106 = C1106)), STDEV.P(FILTER($G$2:G1106, $C$2:C1106 = C1106, $A$2:A1106 &gt;= A1106 - 30)))
"),"#DIV/0!")</f>
        <v>#DIV/0!</v>
      </c>
    </row>
    <row r="1107" spans="1:14" x14ac:dyDescent="0.2">
      <c r="A1107" s="41"/>
      <c r="B1107" s="40"/>
      <c r="C1107" s="40"/>
      <c r="D1107" s="31"/>
      <c r="E1107" s="31"/>
      <c r="F1107" s="31"/>
      <c r="G1107" s="19" t="e">
        <f t="shared" si="20"/>
        <v>#DIV/0!</v>
      </c>
      <c r="H1107" s="20" t="str">
        <f ca="1">IFERROR(__xludf.DUMMYFUNCTION("IF(COUNTIFS($C$2:C1107, C1107, $A$2:A1107, ""&lt;="" &amp; A1107) &lt; 30, AVERAGEIF($C$2:C1107, C1107, $G$2:G1107), AVERAGE(FILTER($G$2:G1107, $C$2:C1107 = C1107, $A$2:A1107 &gt;= A1107 - 30)))
"),"#DIV/0!")</f>
        <v>#DIV/0!</v>
      </c>
      <c r="I1107" s="20" t="e">
        <f t="shared" ca="1" si="21"/>
        <v>#DIV/0!</v>
      </c>
      <c r="J1107" s="20" t="str">
        <f ca="1">IFERROR(__xludf.DUMMYFUNCTION("IF(OR($I1107=2, $I1107=3), 0, IFERROR(COUNTIFS($C$2:C1107, $C1107, $A$2:A1107, ""&gt;""&amp;IFERROR(MAX(FILTER($A$2:A1107, $C$2:C1107=$C1107, $I$2:I1107&lt;&gt;1)), 0), $I$2:I1107, 1),1))
"),"#DIV/0!")</f>
        <v>#DIV/0!</v>
      </c>
      <c r="K1107" s="7" t="e">
        <f t="shared" ca="1" si="22"/>
        <v>#DIV/0!</v>
      </c>
      <c r="L1107" s="20" t="e">
        <f t="shared" ca="1" si="23"/>
        <v>#DIV/0!</v>
      </c>
      <c r="M1107" s="21" t="e">
        <f t="shared" ca="1" si="24"/>
        <v>#DIV/0!</v>
      </c>
      <c r="N1107" s="20" t="str">
        <f ca="1">IFERROR(__xludf.DUMMYFUNCTION("IF(COUNTIFS($C$2:C1107, C1107, $A$2:A1107, ""&lt;="" &amp; A1107) &lt; 30, STDEV.P(FILTER($G$2:G1107, $C$2:C1107 = C1107)), STDEV.P(FILTER($G$2:G1107, $C$2:C1107 = C1107, $A$2:A1107 &gt;= A1107 - 30)))
"),"#DIV/0!")</f>
        <v>#DIV/0!</v>
      </c>
    </row>
    <row r="1108" spans="1:14" x14ac:dyDescent="0.2">
      <c r="A1108" s="41"/>
      <c r="B1108" s="40"/>
      <c r="C1108" s="40"/>
      <c r="D1108" s="31"/>
      <c r="E1108" s="31"/>
      <c r="F1108" s="31"/>
      <c r="G1108" s="19" t="e">
        <f t="shared" si="20"/>
        <v>#DIV/0!</v>
      </c>
      <c r="H1108" s="20" t="str">
        <f ca="1">IFERROR(__xludf.DUMMYFUNCTION("IF(COUNTIFS($C$2:C1108, C1108, $A$2:A1108, ""&lt;="" &amp; A1108) &lt; 30, AVERAGEIF($C$2:C1108, C1108, $G$2:G1108), AVERAGE(FILTER($G$2:G1108, $C$2:C1108 = C1108, $A$2:A1108 &gt;= A1108 - 30)))
"),"#DIV/0!")</f>
        <v>#DIV/0!</v>
      </c>
      <c r="I1108" s="20" t="e">
        <f t="shared" ca="1" si="21"/>
        <v>#DIV/0!</v>
      </c>
      <c r="J1108" s="20" t="str">
        <f ca="1">IFERROR(__xludf.DUMMYFUNCTION("IF(OR($I1108=2, $I1108=3), 0, IFERROR(COUNTIFS($C$2:C1108, $C1108, $A$2:A1108, ""&gt;""&amp;IFERROR(MAX(FILTER($A$2:A1108, $C$2:C1108=$C1108, $I$2:I1108&lt;&gt;1)), 0), $I$2:I1108, 1),1))
"),"#DIV/0!")</f>
        <v>#DIV/0!</v>
      </c>
      <c r="K1108" s="7" t="e">
        <f t="shared" ca="1" si="22"/>
        <v>#DIV/0!</v>
      </c>
      <c r="L1108" s="20" t="e">
        <f t="shared" ca="1" si="23"/>
        <v>#DIV/0!</v>
      </c>
      <c r="M1108" s="21" t="e">
        <f t="shared" ca="1" si="24"/>
        <v>#DIV/0!</v>
      </c>
      <c r="N1108" s="20" t="str">
        <f ca="1">IFERROR(__xludf.DUMMYFUNCTION("IF(COUNTIFS($C$2:C1108, C1108, $A$2:A1108, ""&lt;="" &amp; A1108) &lt; 30, STDEV.P(FILTER($G$2:G1108, $C$2:C1108 = C1108)), STDEV.P(FILTER($G$2:G1108, $C$2:C1108 = C1108, $A$2:A1108 &gt;= A1108 - 30)))
"),"#DIV/0!")</f>
        <v>#DIV/0!</v>
      </c>
    </row>
    <row r="1109" spans="1:14" x14ac:dyDescent="0.2">
      <c r="A1109" s="41"/>
      <c r="B1109" s="40"/>
      <c r="C1109" s="40"/>
      <c r="D1109" s="31"/>
      <c r="E1109" s="31"/>
      <c r="F1109" s="31"/>
      <c r="G1109" s="19" t="e">
        <f t="shared" si="20"/>
        <v>#DIV/0!</v>
      </c>
      <c r="H1109" s="20" t="str">
        <f ca="1">IFERROR(__xludf.DUMMYFUNCTION("IF(COUNTIFS($C$2:C1109, C1109, $A$2:A1109, ""&lt;="" &amp; A1109) &lt; 30, AVERAGEIF($C$2:C1109, C1109, $G$2:G1109), AVERAGE(FILTER($G$2:G1109, $C$2:C1109 = C1109, $A$2:A1109 &gt;= A1109 - 30)))
"),"#DIV/0!")</f>
        <v>#DIV/0!</v>
      </c>
      <c r="I1109" s="20" t="e">
        <f t="shared" ca="1" si="21"/>
        <v>#DIV/0!</v>
      </c>
      <c r="J1109" s="20" t="str">
        <f ca="1">IFERROR(__xludf.DUMMYFUNCTION("IF(OR($I1109=2, $I1109=3), 0, IFERROR(COUNTIFS($C$2:C1109, $C1109, $A$2:A1109, ""&gt;""&amp;IFERROR(MAX(FILTER($A$2:A1109, $C$2:C1109=$C1109, $I$2:I1109&lt;&gt;1)), 0), $I$2:I1109, 1),1))
"),"#DIV/0!")</f>
        <v>#DIV/0!</v>
      </c>
      <c r="K1109" s="7" t="e">
        <f t="shared" ca="1" si="22"/>
        <v>#DIV/0!</v>
      </c>
      <c r="L1109" s="20" t="e">
        <f t="shared" ca="1" si="23"/>
        <v>#DIV/0!</v>
      </c>
      <c r="M1109" s="21" t="e">
        <f t="shared" ca="1" si="24"/>
        <v>#DIV/0!</v>
      </c>
      <c r="N1109" s="20" t="str">
        <f ca="1">IFERROR(__xludf.DUMMYFUNCTION("IF(COUNTIFS($C$2:C1109, C1109, $A$2:A1109, ""&lt;="" &amp; A1109) &lt; 30, STDEV.P(FILTER($G$2:G1109, $C$2:C1109 = C1109)), STDEV.P(FILTER($G$2:G1109, $C$2:C1109 = C1109, $A$2:A1109 &gt;= A1109 - 30)))
"),"#DIV/0!")</f>
        <v>#DIV/0!</v>
      </c>
    </row>
    <row r="1110" spans="1:14" x14ac:dyDescent="0.2">
      <c r="A1110" s="41"/>
      <c r="B1110" s="40"/>
      <c r="C1110" s="40"/>
      <c r="D1110" s="31"/>
      <c r="E1110" s="31"/>
      <c r="F1110" s="31"/>
      <c r="G1110" s="19" t="e">
        <f t="shared" si="20"/>
        <v>#DIV/0!</v>
      </c>
      <c r="H1110" s="20" t="str">
        <f ca="1">IFERROR(__xludf.DUMMYFUNCTION("IF(COUNTIFS($C$2:C1110, C1110, $A$2:A1110, ""&lt;="" &amp; A1110) &lt; 30, AVERAGEIF($C$2:C1110, C1110, $G$2:G1110), AVERAGE(FILTER($G$2:G1110, $C$2:C1110 = C1110, $A$2:A1110 &gt;= A1110 - 30)))
"),"#DIV/0!")</f>
        <v>#DIV/0!</v>
      </c>
      <c r="I1110" s="20" t="e">
        <f t="shared" ca="1" si="21"/>
        <v>#DIV/0!</v>
      </c>
      <c r="J1110" s="20" t="str">
        <f ca="1">IFERROR(__xludf.DUMMYFUNCTION("IF(OR($I1110=2, $I1110=3), 0, IFERROR(COUNTIFS($C$2:C1110, $C1110, $A$2:A1110, ""&gt;""&amp;IFERROR(MAX(FILTER($A$2:A1110, $C$2:C1110=$C1110, $I$2:I1110&lt;&gt;1)), 0), $I$2:I1110, 1),1))
"),"#DIV/0!")</f>
        <v>#DIV/0!</v>
      </c>
      <c r="K1110" s="7" t="e">
        <f t="shared" ca="1" si="22"/>
        <v>#DIV/0!</v>
      </c>
      <c r="L1110" s="20" t="e">
        <f t="shared" ca="1" si="23"/>
        <v>#DIV/0!</v>
      </c>
      <c r="M1110" s="21" t="e">
        <f t="shared" ca="1" si="24"/>
        <v>#DIV/0!</v>
      </c>
      <c r="N1110" s="20" t="str">
        <f ca="1">IFERROR(__xludf.DUMMYFUNCTION("IF(COUNTIFS($C$2:C1110, C1110, $A$2:A1110, ""&lt;="" &amp; A1110) &lt; 30, STDEV.P(FILTER($G$2:G1110, $C$2:C1110 = C1110)), STDEV.P(FILTER($G$2:G1110, $C$2:C1110 = C1110, $A$2:A1110 &gt;= A1110 - 30)))
"),"#DIV/0!")</f>
        <v>#DIV/0!</v>
      </c>
    </row>
    <row r="1111" spans="1:14" x14ac:dyDescent="0.2">
      <c r="A1111" s="41"/>
      <c r="B1111" s="40"/>
      <c r="C1111" s="40"/>
      <c r="D1111" s="31"/>
      <c r="E1111" s="31"/>
      <c r="F1111" s="31"/>
      <c r="G1111" s="19" t="e">
        <f t="shared" si="20"/>
        <v>#DIV/0!</v>
      </c>
      <c r="H1111" s="20" t="str">
        <f ca="1">IFERROR(__xludf.DUMMYFUNCTION("IF(COUNTIFS($C$2:C1111, C1111, $A$2:A1111, ""&lt;="" &amp; A1111) &lt; 30, AVERAGEIF($C$2:C1111, C1111, $G$2:G1111), AVERAGE(FILTER($G$2:G1111, $C$2:C1111 = C1111, $A$2:A1111 &gt;= A1111 - 30)))
"),"#DIV/0!")</f>
        <v>#DIV/0!</v>
      </c>
      <c r="I1111" s="20" t="e">
        <f t="shared" ca="1" si="21"/>
        <v>#DIV/0!</v>
      </c>
      <c r="J1111" s="20" t="str">
        <f ca="1">IFERROR(__xludf.DUMMYFUNCTION("IF(OR($I1111=2, $I1111=3), 0, IFERROR(COUNTIFS($C$2:C1111, $C1111, $A$2:A1111, ""&gt;""&amp;IFERROR(MAX(FILTER($A$2:A1111, $C$2:C1111=$C1111, $I$2:I1111&lt;&gt;1)), 0), $I$2:I1111, 1),1))
"),"#DIV/0!")</f>
        <v>#DIV/0!</v>
      </c>
      <c r="K1111" s="7" t="e">
        <f t="shared" ca="1" si="22"/>
        <v>#DIV/0!</v>
      </c>
      <c r="L1111" s="20" t="e">
        <f t="shared" ca="1" si="23"/>
        <v>#DIV/0!</v>
      </c>
      <c r="M1111" s="21" t="e">
        <f t="shared" ca="1" si="24"/>
        <v>#DIV/0!</v>
      </c>
      <c r="N1111" s="20" t="str">
        <f ca="1">IFERROR(__xludf.DUMMYFUNCTION("IF(COUNTIFS($C$2:C1111, C1111, $A$2:A1111, ""&lt;="" &amp; A1111) &lt; 30, STDEV.P(FILTER($G$2:G1111, $C$2:C1111 = C1111)), STDEV.P(FILTER($G$2:G1111, $C$2:C1111 = C1111, $A$2:A1111 &gt;= A1111 - 30)))
"),"#DIV/0!")</f>
        <v>#DIV/0!</v>
      </c>
    </row>
    <row r="1112" spans="1:14" x14ac:dyDescent="0.2">
      <c r="A1112" s="41"/>
      <c r="B1112" s="40"/>
      <c r="C1112" s="40"/>
      <c r="D1112" s="31"/>
      <c r="E1112" s="31"/>
      <c r="F1112" s="31"/>
      <c r="G1112" s="19" t="e">
        <f t="shared" si="20"/>
        <v>#DIV/0!</v>
      </c>
      <c r="H1112" s="20" t="str">
        <f ca="1">IFERROR(__xludf.DUMMYFUNCTION("IF(COUNTIFS($C$2:C1112, C1112, $A$2:A1112, ""&lt;="" &amp; A1112) &lt; 30, AVERAGEIF($C$2:C1112, C1112, $G$2:G1112), AVERAGE(FILTER($G$2:G1112, $C$2:C1112 = C1112, $A$2:A1112 &gt;= A1112 - 30)))
"),"#DIV/0!")</f>
        <v>#DIV/0!</v>
      </c>
      <c r="I1112" s="20" t="e">
        <f t="shared" ca="1" si="21"/>
        <v>#DIV/0!</v>
      </c>
      <c r="J1112" s="20" t="str">
        <f ca="1">IFERROR(__xludf.DUMMYFUNCTION("IF(OR($I1112=2, $I1112=3), 0, IFERROR(COUNTIFS($C$2:C1112, $C1112, $A$2:A1112, ""&gt;""&amp;IFERROR(MAX(FILTER($A$2:A1112, $C$2:C1112=$C1112, $I$2:I1112&lt;&gt;1)), 0), $I$2:I1112, 1),1))
"),"#DIV/0!")</f>
        <v>#DIV/0!</v>
      </c>
      <c r="K1112" s="7" t="e">
        <f t="shared" ca="1" si="22"/>
        <v>#DIV/0!</v>
      </c>
      <c r="L1112" s="20" t="e">
        <f t="shared" ca="1" si="23"/>
        <v>#DIV/0!</v>
      </c>
      <c r="M1112" s="21" t="e">
        <f t="shared" ca="1" si="24"/>
        <v>#DIV/0!</v>
      </c>
      <c r="N1112" s="20" t="str">
        <f ca="1">IFERROR(__xludf.DUMMYFUNCTION("IF(COUNTIFS($C$2:C1112, C1112, $A$2:A1112, ""&lt;="" &amp; A1112) &lt; 30, STDEV.P(FILTER($G$2:G1112, $C$2:C1112 = C1112)), STDEV.P(FILTER($G$2:G1112, $C$2:C1112 = C1112, $A$2:A1112 &gt;= A1112 - 30)))
"),"#DIV/0!")</f>
        <v>#DIV/0!</v>
      </c>
    </row>
    <row r="1113" spans="1:14" x14ac:dyDescent="0.2">
      <c r="A1113" s="41"/>
      <c r="B1113" s="40"/>
      <c r="C1113" s="40"/>
      <c r="D1113" s="31"/>
      <c r="E1113" s="31"/>
      <c r="F1113" s="31"/>
      <c r="G1113" s="19" t="e">
        <f t="shared" si="20"/>
        <v>#DIV/0!</v>
      </c>
      <c r="H1113" s="20" t="str">
        <f ca="1">IFERROR(__xludf.DUMMYFUNCTION("IF(COUNTIFS($C$2:C1113, C1113, $A$2:A1113, ""&lt;="" &amp; A1113) &lt; 30, AVERAGEIF($C$2:C1113, C1113, $G$2:G1113), AVERAGE(FILTER($G$2:G1113, $C$2:C1113 = C1113, $A$2:A1113 &gt;= A1113 - 30)))
"),"#DIV/0!")</f>
        <v>#DIV/0!</v>
      </c>
      <c r="I1113" s="20" t="e">
        <f t="shared" ca="1" si="21"/>
        <v>#DIV/0!</v>
      </c>
      <c r="J1113" s="20" t="str">
        <f ca="1">IFERROR(__xludf.DUMMYFUNCTION("IF(OR($I1113=2, $I1113=3), 0, IFERROR(COUNTIFS($C$2:C1113, $C1113, $A$2:A1113, ""&gt;""&amp;IFERROR(MAX(FILTER($A$2:A1113, $C$2:C1113=$C1113, $I$2:I1113&lt;&gt;1)), 0), $I$2:I1113, 1),1))
"),"#DIV/0!")</f>
        <v>#DIV/0!</v>
      </c>
      <c r="K1113" s="7" t="e">
        <f t="shared" ca="1" si="22"/>
        <v>#DIV/0!</v>
      </c>
      <c r="L1113" s="20" t="e">
        <f t="shared" ca="1" si="23"/>
        <v>#DIV/0!</v>
      </c>
      <c r="M1113" s="21" t="e">
        <f t="shared" ca="1" si="24"/>
        <v>#DIV/0!</v>
      </c>
      <c r="N1113" s="20" t="str">
        <f ca="1">IFERROR(__xludf.DUMMYFUNCTION("IF(COUNTIFS($C$2:C1113, C1113, $A$2:A1113, ""&lt;="" &amp; A1113) &lt; 30, STDEV.P(FILTER($G$2:G1113, $C$2:C1113 = C1113)), STDEV.P(FILTER($G$2:G1113, $C$2:C1113 = C1113, $A$2:A1113 &gt;= A1113 - 30)))
"),"#DIV/0!")</f>
        <v>#DIV/0!</v>
      </c>
    </row>
    <row r="1114" spans="1:14" x14ac:dyDescent="0.2">
      <c r="A1114" s="41"/>
      <c r="B1114" s="40"/>
      <c r="C1114" s="40"/>
      <c r="D1114" s="31"/>
      <c r="E1114" s="31"/>
      <c r="F1114" s="31"/>
      <c r="G1114" s="19" t="e">
        <f t="shared" si="20"/>
        <v>#DIV/0!</v>
      </c>
      <c r="H1114" s="20" t="str">
        <f ca="1">IFERROR(__xludf.DUMMYFUNCTION("IF(COUNTIFS($C$2:C1114, C1114, $A$2:A1114, ""&lt;="" &amp; A1114) &lt; 30, AVERAGEIF($C$2:C1114, C1114, $G$2:G1114), AVERAGE(FILTER($G$2:G1114, $C$2:C1114 = C1114, $A$2:A1114 &gt;= A1114 - 30)))
"),"#DIV/0!")</f>
        <v>#DIV/0!</v>
      </c>
      <c r="I1114" s="20" t="e">
        <f t="shared" ca="1" si="21"/>
        <v>#DIV/0!</v>
      </c>
      <c r="J1114" s="20" t="str">
        <f ca="1">IFERROR(__xludf.DUMMYFUNCTION("IF(OR($I1114=2, $I1114=3), 0, IFERROR(COUNTIFS($C$2:C1114, $C1114, $A$2:A1114, ""&gt;""&amp;IFERROR(MAX(FILTER($A$2:A1114, $C$2:C1114=$C1114, $I$2:I1114&lt;&gt;1)), 0), $I$2:I1114, 1),1))
"),"#DIV/0!")</f>
        <v>#DIV/0!</v>
      </c>
      <c r="K1114" s="7" t="e">
        <f t="shared" ca="1" si="22"/>
        <v>#DIV/0!</v>
      </c>
      <c r="L1114" s="20" t="e">
        <f t="shared" ca="1" si="23"/>
        <v>#DIV/0!</v>
      </c>
      <c r="M1114" s="21" t="e">
        <f t="shared" ca="1" si="24"/>
        <v>#DIV/0!</v>
      </c>
      <c r="N1114" s="20" t="str">
        <f ca="1">IFERROR(__xludf.DUMMYFUNCTION("IF(COUNTIFS($C$2:C1114, C1114, $A$2:A1114, ""&lt;="" &amp; A1114) &lt; 30, STDEV.P(FILTER($G$2:G1114, $C$2:C1114 = C1114)), STDEV.P(FILTER($G$2:G1114, $C$2:C1114 = C1114, $A$2:A1114 &gt;= A1114 - 30)))
"),"#DIV/0!")</f>
        <v>#DIV/0!</v>
      </c>
    </row>
    <row r="1115" spans="1:14" x14ac:dyDescent="0.2">
      <c r="A1115" s="41"/>
      <c r="B1115" s="40"/>
      <c r="C1115" s="40"/>
      <c r="D1115" s="31"/>
      <c r="E1115" s="31"/>
      <c r="F1115" s="31"/>
      <c r="G1115" s="19" t="e">
        <f t="shared" si="20"/>
        <v>#DIV/0!</v>
      </c>
      <c r="H1115" s="20" t="str">
        <f ca="1">IFERROR(__xludf.DUMMYFUNCTION("IF(COUNTIFS($C$2:C1115, C1115, $A$2:A1115, ""&lt;="" &amp; A1115) &lt; 30, AVERAGEIF($C$2:C1115, C1115, $G$2:G1115), AVERAGE(FILTER($G$2:G1115, $C$2:C1115 = C1115, $A$2:A1115 &gt;= A1115 - 30)))
"),"#DIV/0!")</f>
        <v>#DIV/0!</v>
      </c>
      <c r="I1115" s="20" t="e">
        <f t="shared" ca="1" si="21"/>
        <v>#DIV/0!</v>
      </c>
      <c r="J1115" s="20" t="str">
        <f ca="1">IFERROR(__xludf.DUMMYFUNCTION("IF(OR($I1115=2, $I1115=3), 0, IFERROR(COUNTIFS($C$2:C1115, $C1115, $A$2:A1115, ""&gt;""&amp;IFERROR(MAX(FILTER($A$2:A1115, $C$2:C1115=$C1115, $I$2:I1115&lt;&gt;1)), 0), $I$2:I1115, 1),1))
"),"#DIV/0!")</f>
        <v>#DIV/0!</v>
      </c>
      <c r="K1115" s="7" t="e">
        <f t="shared" ca="1" si="22"/>
        <v>#DIV/0!</v>
      </c>
      <c r="L1115" s="20" t="e">
        <f t="shared" ca="1" si="23"/>
        <v>#DIV/0!</v>
      </c>
      <c r="M1115" s="21" t="e">
        <f t="shared" ca="1" si="24"/>
        <v>#DIV/0!</v>
      </c>
      <c r="N1115" s="20" t="str">
        <f ca="1">IFERROR(__xludf.DUMMYFUNCTION("IF(COUNTIFS($C$2:C1115, C1115, $A$2:A1115, ""&lt;="" &amp; A1115) &lt; 30, STDEV.P(FILTER($G$2:G1115, $C$2:C1115 = C1115)), STDEV.P(FILTER($G$2:G1115, $C$2:C1115 = C1115, $A$2:A1115 &gt;= A1115 - 30)))
"),"#DIV/0!")</f>
        <v>#DIV/0!</v>
      </c>
    </row>
    <row r="1116" spans="1:14" x14ac:dyDescent="0.2">
      <c r="A1116" s="41"/>
      <c r="B1116" s="40"/>
      <c r="C1116" s="40"/>
      <c r="D1116" s="31"/>
      <c r="E1116" s="31"/>
      <c r="F1116" s="31"/>
      <c r="G1116" s="19" t="e">
        <f t="shared" si="20"/>
        <v>#DIV/0!</v>
      </c>
      <c r="H1116" s="20" t="str">
        <f ca="1">IFERROR(__xludf.DUMMYFUNCTION("IF(COUNTIFS($C$2:C1116, C1116, $A$2:A1116, ""&lt;="" &amp; A1116) &lt; 30, AVERAGEIF($C$2:C1116, C1116, $G$2:G1116), AVERAGE(FILTER($G$2:G1116, $C$2:C1116 = C1116, $A$2:A1116 &gt;= A1116 - 30)))
"),"#DIV/0!")</f>
        <v>#DIV/0!</v>
      </c>
      <c r="I1116" s="20" t="e">
        <f t="shared" ca="1" si="21"/>
        <v>#DIV/0!</v>
      </c>
      <c r="J1116" s="20" t="str">
        <f ca="1">IFERROR(__xludf.DUMMYFUNCTION("IF(OR($I1116=2, $I1116=3), 0, IFERROR(COUNTIFS($C$2:C1116, $C1116, $A$2:A1116, ""&gt;""&amp;IFERROR(MAX(FILTER($A$2:A1116, $C$2:C1116=$C1116, $I$2:I1116&lt;&gt;1)), 0), $I$2:I1116, 1),1))
"),"#DIV/0!")</f>
        <v>#DIV/0!</v>
      </c>
      <c r="K1116" s="7" t="e">
        <f t="shared" ca="1" si="22"/>
        <v>#DIV/0!</v>
      </c>
      <c r="L1116" s="20" t="e">
        <f t="shared" ca="1" si="23"/>
        <v>#DIV/0!</v>
      </c>
      <c r="M1116" s="21" t="e">
        <f t="shared" ca="1" si="24"/>
        <v>#DIV/0!</v>
      </c>
      <c r="N1116" s="20" t="str">
        <f ca="1">IFERROR(__xludf.DUMMYFUNCTION("IF(COUNTIFS($C$2:C1116, C1116, $A$2:A1116, ""&lt;="" &amp; A1116) &lt; 30, STDEV.P(FILTER($G$2:G1116, $C$2:C1116 = C1116)), STDEV.P(FILTER($G$2:G1116, $C$2:C1116 = C1116, $A$2:A1116 &gt;= A1116 - 30)))
"),"#DIV/0!")</f>
        <v>#DIV/0!</v>
      </c>
    </row>
    <row r="1117" spans="1:14" x14ac:dyDescent="0.2">
      <c r="A1117" s="41"/>
      <c r="B1117" s="40"/>
      <c r="C1117" s="40"/>
      <c r="D1117" s="31"/>
      <c r="E1117" s="31"/>
      <c r="F1117" s="31"/>
      <c r="G1117" s="19" t="e">
        <f t="shared" si="20"/>
        <v>#DIV/0!</v>
      </c>
      <c r="H1117" s="20" t="str">
        <f ca="1">IFERROR(__xludf.DUMMYFUNCTION("IF(COUNTIFS($C$2:C1117, C1117, $A$2:A1117, ""&lt;="" &amp; A1117) &lt; 30, AVERAGEIF($C$2:C1117, C1117, $G$2:G1117), AVERAGE(FILTER($G$2:G1117, $C$2:C1117 = C1117, $A$2:A1117 &gt;= A1117 - 30)))
"),"#DIV/0!")</f>
        <v>#DIV/0!</v>
      </c>
      <c r="I1117" s="20" t="e">
        <f t="shared" ca="1" si="21"/>
        <v>#DIV/0!</v>
      </c>
      <c r="J1117" s="20" t="str">
        <f ca="1">IFERROR(__xludf.DUMMYFUNCTION("IF(OR($I1117=2, $I1117=3), 0, IFERROR(COUNTIFS($C$2:C1117, $C1117, $A$2:A1117, ""&gt;""&amp;IFERROR(MAX(FILTER($A$2:A1117, $C$2:C1117=$C1117, $I$2:I1117&lt;&gt;1)), 0), $I$2:I1117, 1),1))
"),"#DIV/0!")</f>
        <v>#DIV/0!</v>
      </c>
      <c r="K1117" s="7" t="e">
        <f t="shared" ca="1" si="22"/>
        <v>#DIV/0!</v>
      </c>
      <c r="L1117" s="20" t="e">
        <f t="shared" ca="1" si="23"/>
        <v>#DIV/0!</v>
      </c>
      <c r="M1117" s="21" t="e">
        <f t="shared" ca="1" si="24"/>
        <v>#DIV/0!</v>
      </c>
      <c r="N1117" s="20" t="str">
        <f ca="1">IFERROR(__xludf.DUMMYFUNCTION("IF(COUNTIFS($C$2:C1117, C1117, $A$2:A1117, ""&lt;="" &amp; A1117) &lt; 30, STDEV.P(FILTER($G$2:G1117, $C$2:C1117 = C1117)), STDEV.P(FILTER($G$2:G1117, $C$2:C1117 = C1117, $A$2:A1117 &gt;= A1117 - 30)))
"),"#DIV/0!")</f>
        <v>#DIV/0!</v>
      </c>
    </row>
    <row r="1118" spans="1:14" x14ac:dyDescent="0.2">
      <c r="A1118" s="41"/>
      <c r="B1118" s="40"/>
      <c r="C1118" s="40"/>
      <c r="D1118" s="31"/>
      <c r="E1118" s="31"/>
      <c r="F1118" s="31"/>
      <c r="G1118" s="19" t="e">
        <f t="shared" si="20"/>
        <v>#DIV/0!</v>
      </c>
      <c r="H1118" s="20" t="str">
        <f ca="1">IFERROR(__xludf.DUMMYFUNCTION("IF(COUNTIFS($C$2:C1118, C1118, $A$2:A1118, ""&lt;="" &amp; A1118) &lt; 30, AVERAGEIF($C$2:C1118, C1118, $G$2:G1118), AVERAGE(FILTER($G$2:G1118, $C$2:C1118 = C1118, $A$2:A1118 &gt;= A1118 - 30)))
"),"#DIV/0!")</f>
        <v>#DIV/0!</v>
      </c>
      <c r="I1118" s="20" t="e">
        <f t="shared" ca="1" si="21"/>
        <v>#DIV/0!</v>
      </c>
      <c r="J1118" s="20" t="str">
        <f ca="1">IFERROR(__xludf.DUMMYFUNCTION("IF(OR($I1118=2, $I1118=3), 0, IFERROR(COUNTIFS($C$2:C1118, $C1118, $A$2:A1118, ""&gt;""&amp;IFERROR(MAX(FILTER($A$2:A1118, $C$2:C1118=$C1118, $I$2:I1118&lt;&gt;1)), 0), $I$2:I1118, 1),1))
"),"#DIV/0!")</f>
        <v>#DIV/0!</v>
      </c>
      <c r="K1118" s="7" t="e">
        <f t="shared" ca="1" si="22"/>
        <v>#DIV/0!</v>
      </c>
      <c r="L1118" s="20" t="e">
        <f t="shared" ca="1" si="23"/>
        <v>#DIV/0!</v>
      </c>
      <c r="M1118" s="21" t="e">
        <f t="shared" ca="1" si="24"/>
        <v>#DIV/0!</v>
      </c>
      <c r="N1118" s="20" t="str">
        <f ca="1">IFERROR(__xludf.DUMMYFUNCTION("IF(COUNTIFS($C$2:C1118, C1118, $A$2:A1118, ""&lt;="" &amp; A1118) &lt; 30, STDEV.P(FILTER($G$2:G1118, $C$2:C1118 = C1118)), STDEV.P(FILTER($G$2:G1118, $C$2:C1118 = C1118, $A$2:A1118 &gt;= A1118 - 30)))
"),"#DIV/0!")</f>
        <v>#DIV/0!</v>
      </c>
    </row>
    <row r="1119" spans="1:14" x14ac:dyDescent="0.2">
      <c r="A1119" s="41"/>
      <c r="B1119" s="40"/>
      <c r="C1119" s="40"/>
      <c r="D1119" s="31"/>
      <c r="E1119" s="31"/>
      <c r="F1119" s="31"/>
      <c r="G1119" s="19" t="e">
        <f t="shared" si="20"/>
        <v>#DIV/0!</v>
      </c>
      <c r="H1119" s="20" t="str">
        <f ca="1">IFERROR(__xludf.DUMMYFUNCTION("IF(COUNTIFS($C$2:C1119, C1119, $A$2:A1119, ""&lt;="" &amp; A1119) &lt; 30, AVERAGEIF($C$2:C1119, C1119, $G$2:G1119), AVERAGE(FILTER($G$2:G1119, $C$2:C1119 = C1119, $A$2:A1119 &gt;= A1119 - 30)))
"),"#DIV/0!")</f>
        <v>#DIV/0!</v>
      </c>
      <c r="I1119" s="20" t="e">
        <f t="shared" ca="1" si="21"/>
        <v>#DIV/0!</v>
      </c>
      <c r="J1119" s="20" t="str">
        <f ca="1">IFERROR(__xludf.DUMMYFUNCTION("IF(OR($I1119=2, $I1119=3), 0, IFERROR(COUNTIFS($C$2:C1119, $C1119, $A$2:A1119, ""&gt;""&amp;IFERROR(MAX(FILTER($A$2:A1119, $C$2:C1119=$C1119, $I$2:I1119&lt;&gt;1)), 0), $I$2:I1119, 1),1))
"),"#DIV/0!")</f>
        <v>#DIV/0!</v>
      </c>
      <c r="K1119" s="7" t="e">
        <f t="shared" ca="1" si="22"/>
        <v>#DIV/0!</v>
      </c>
      <c r="L1119" s="20" t="e">
        <f t="shared" ca="1" si="23"/>
        <v>#DIV/0!</v>
      </c>
      <c r="M1119" s="21" t="e">
        <f t="shared" ca="1" si="24"/>
        <v>#DIV/0!</v>
      </c>
      <c r="N1119" s="20" t="str">
        <f ca="1">IFERROR(__xludf.DUMMYFUNCTION("IF(COUNTIFS($C$2:C1119, C1119, $A$2:A1119, ""&lt;="" &amp; A1119) &lt; 30, STDEV.P(FILTER($G$2:G1119, $C$2:C1119 = C1119)), STDEV.P(FILTER($G$2:G1119, $C$2:C1119 = C1119, $A$2:A1119 &gt;= A1119 - 30)))
"),"#DIV/0!")</f>
        <v>#DIV/0!</v>
      </c>
    </row>
    <row r="1120" spans="1:14" x14ac:dyDescent="0.2">
      <c r="A1120" s="41"/>
      <c r="B1120" s="40"/>
      <c r="C1120" s="40"/>
      <c r="D1120" s="31"/>
      <c r="E1120" s="31"/>
      <c r="F1120" s="31"/>
      <c r="G1120" s="19" t="e">
        <f t="shared" si="20"/>
        <v>#DIV/0!</v>
      </c>
      <c r="H1120" s="20" t="str">
        <f ca="1">IFERROR(__xludf.DUMMYFUNCTION("IF(COUNTIFS($C$2:C1120, C1120, $A$2:A1120, ""&lt;="" &amp; A1120) &lt; 30, AVERAGEIF($C$2:C1120, C1120, $G$2:G1120), AVERAGE(FILTER($G$2:G1120, $C$2:C1120 = C1120, $A$2:A1120 &gt;= A1120 - 30)))
"),"#DIV/0!")</f>
        <v>#DIV/0!</v>
      </c>
      <c r="I1120" s="20" t="e">
        <f t="shared" ca="1" si="21"/>
        <v>#DIV/0!</v>
      </c>
      <c r="J1120" s="20" t="str">
        <f ca="1">IFERROR(__xludf.DUMMYFUNCTION("IF(OR($I1120=2, $I1120=3), 0, IFERROR(COUNTIFS($C$2:C1120, $C1120, $A$2:A1120, ""&gt;""&amp;IFERROR(MAX(FILTER($A$2:A1120, $C$2:C1120=$C1120, $I$2:I1120&lt;&gt;1)), 0), $I$2:I1120, 1),1))
"),"#DIV/0!")</f>
        <v>#DIV/0!</v>
      </c>
      <c r="K1120" s="7" t="e">
        <f t="shared" ca="1" si="22"/>
        <v>#DIV/0!</v>
      </c>
      <c r="L1120" s="20" t="e">
        <f t="shared" ca="1" si="23"/>
        <v>#DIV/0!</v>
      </c>
      <c r="M1120" s="21" t="e">
        <f t="shared" ca="1" si="24"/>
        <v>#DIV/0!</v>
      </c>
      <c r="N1120" s="20" t="str">
        <f ca="1">IFERROR(__xludf.DUMMYFUNCTION("IF(COUNTIFS($C$2:C1120, C1120, $A$2:A1120, ""&lt;="" &amp; A1120) &lt; 30, STDEV.P(FILTER($G$2:G1120, $C$2:C1120 = C1120)), STDEV.P(FILTER($G$2:G1120, $C$2:C1120 = C1120, $A$2:A1120 &gt;= A1120 - 30)))
"),"#DIV/0!")</f>
        <v>#DIV/0!</v>
      </c>
    </row>
    <row r="1121" spans="1:14" x14ac:dyDescent="0.2">
      <c r="A1121" s="41"/>
      <c r="B1121" s="40"/>
      <c r="C1121" s="40"/>
      <c r="D1121" s="31"/>
      <c r="E1121" s="31"/>
      <c r="F1121" s="31"/>
      <c r="G1121" s="19" t="e">
        <f t="shared" si="20"/>
        <v>#DIV/0!</v>
      </c>
      <c r="H1121" s="20" t="str">
        <f ca="1">IFERROR(__xludf.DUMMYFUNCTION("IF(COUNTIFS($C$2:C1121, C1121, $A$2:A1121, ""&lt;="" &amp; A1121) &lt; 30, AVERAGEIF($C$2:C1121, C1121, $G$2:G1121), AVERAGE(FILTER($G$2:G1121, $C$2:C1121 = C1121, $A$2:A1121 &gt;= A1121 - 30)))
"),"#DIV/0!")</f>
        <v>#DIV/0!</v>
      </c>
      <c r="I1121" s="20" t="e">
        <f t="shared" ca="1" si="21"/>
        <v>#DIV/0!</v>
      </c>
      <c r="J1121" s="20" t="str">
        <f ca="1">IFERROR(__xludf.DUMMYFUNCTION("IF(OR($I1121=2, $I1121=3), 0, IFERROR(COUNTIFS($C$2:C1121, $C1121, $A$2:A1121, ""&gt;""&amp;IFERROR(MAX(FILTER($A$2:A1121, $C$2:C1121=$C1121, $I$2:I1121&lt;&gt;1)), 0), $I$2:I1121, 1),1))
"),"#DIV/0!")</f>
        <v>#DIV/0!</v>
      </c>
      <c r="K1121" s="7" t="e">
        <f t="shared" ca="1" si="22"/>
        <v>#DIV/0!</v>
      </c>
      <c r="L1121" s="20" t="e">
        <f t="shared" ca="1" si="23"/>
        <v>#DIV/0!</v>
      </c>
      <c r="M1121" s="21" t="e">
        <f t="shared" ca="1" si="24"/>
        <v>#DIV/0!</v>
      </c>
      <c r="N1121" s="20" t="str">
        <f ca="1">IFERROR(__xludf.DUMMYFUNCTION("IF(COUNTIFS($C$2:C1121, C1121, $A$2:A1121, ""&lt;="" &amp; A1121) &lt; 30, STDEV.P(FILTER($G$2:G1121, $C$2:C1121 = C1121)), STDEV.P(FILTER($G$2:G1121, $C$2:C1121 = C1121, $A$2:A1121 &gt;= A1121 - 30)))
"),"#DIV/0!")</f>
        <v>#DIV/0!</v>
      </c>
    </row>
    <row r="1122" spans="1:14" x14ac:dyDescent="0.2">
      <c r="A1122" s="41"/>
      <c r="B1122" s="40"/>
      <c r="C1122" s="40"/>
      <c r="D1122" s="31"/>
      <c r="E1122" s="31"/>
      <c r="F1122" s="31"/>
      <c r="G1122" s="19" t="e">
        <f t="shared" si="20"/>
        <v>#DIV/0!</v>
      </c>
      <c r="H1122" s="20" t="str">
        <f ca="1">IFERROR(__xludf.DUMMYFUNCTION("IF(COUNTIFS($C$2:C1122, C1122, $A$2:A1122, ""&lt;="" &amp; A1122) &lt; 30, AVERAGEIF($C$2:C1122, C1122, $G$2:G1122), AVERAGE(FILTER($G$2:G1122, $C$2:C1122 = C1122, $A$2:A1122 &gt;= A1122 - 30)))
"),"#DIV/0!")</f>
        <v>#DIV/0!</v>
      </c>
      <c r="I1122" s="20" t="e">
        <f t="shared" ca="1" si="21"/>
        <v>#DIV/0!</v>
      </c>
      <c r="J1122" s="20" t="str">
        <f ca="1">IFERROR(__xludf.DUMMYFUNCTION("IF(OR($I1122=2, $I1122=3), 0, IFERROR(COUNTIFS($C$2:C1122, $C1122, $A$2:A1122, ""&gt;""&amp;IFERROR(MAX(FILTER($A$2:A1122, $C$2:C1122=$C1122, $I$2:I1122&lt;&gt;1)), 0), $I$2:I1122, 1),1))
"),"#DIV/0!")</f>
        <v>#DIV/0!</v>
      </c>
      <c r="K1122" s="7" t="e">
        <f t="shared" ca="1" si="22"/>
        <v>#DIV/0!</v>
      </c>
      <c r="L1122" s="20" t="e">
        <f t="shared" ca="1" si="23"/>
        <v>#DIV/0!</v>
      </c>
      <c r="M1122" s="21" t="e">
        <f t="shared" ca="1" si="24"/>
        <v>#DIV/0!</v>
      </c>
      <c r="N1122" s="20" t="str">
        <f ca="1">IFERROR(__xludf.DUMMYFUNCTION("IF(COUNTIFS($C$2:C1122, C1122, $A$2:A1122, ""&lt;="" &amp; A1122) &lt; 30, STDEV.P(FILTER($G$2:G1122, $C$2:C1122 = C1122)), STDEV.P(FILTER($G$2:G1122, $C$2:C1122 = C1122, $A$2:A1122 &gt;= A1122 - 30)))
"),"#DIV/0!")</f>
        <v>#DIV/0!</v>
      </c>
    </row>
    <row r="1123" spans="1:14" x14ac:dyDescent="0.2">
      <c r="A1123" s="41"/>
      <c r="B1123" s="40"/>
      <c r="C1123" s="40"/>
      <c r="D1123" s="31"/>
      <c r="E1123" s="31"/>
      <c r="F1123" s="31"/>
      <c r="G1123" s="19" t="e">
        <f t="shared" si="20"/>
        <v>#DIV/0!</v>
      </c>
      <c r="H1123" s="20" t="s">
        <v>99</v>
      </c>
      <c r="I1123" s="20" t="e">
        <f t="shared" ca="1" si="21"/>
        <v>#DIV/0!</v>
      </c>
      <c r="J1123" s="20" t="str">
        <f ca="1">IFERROR(__xludf.DUMMYFUNCTION("IF(OR($I1123=2, $I1123=3), 0, IFERROR(COUNTIFS($C$2:C1123, $C1123, $A$2:A1123, ""&gt;""&amp;IFERROR(MAX(FILTER($A$2:A1123, $C$2:C1123=$C1123, $I$2:I1123&lt;&gt;1)), 0), $I$2:I1123, 1),1))
"),"#DIV/0!")</f>
        <v>#DIV/0!</v>
      </c>
      <c r="K1123" s="7" t="e">
        <f t="shared" si="22"/>
        <v>#DIV/0!</v>
      </c>
      <c r="L1123" s="20" t="e">
        <f t="shared" ca="1" si="23"/>
        <v>#DIV/0!</v>
      </c>
      <c r="M1123" s="21" t="e">
        <f t="shared" si="24"/>
        <v>#DIV/0!</v>
      </c>
      <c r="N1123" s="20" t="str">
        <f ca="1">IFERROR(__xludf.DUMMYFUNCTION("IF(COUNTIFS($C$2:C1123, C1123, $A$2:A1123, ""&lt;="" &amp; A1123) &lt; 30, STDEV.P(FILTER($G$2:G1123, $C$2:C1123 = C1123)), STDEV.P(FILTER($G$2:G1123, $C$2:C1123 = C1123, $A$2:A1123 &gt;= A1123 - 30)))
"),"#DIV/0!")</f>
        <v>#DIV/0!</v>
      </c>
    </row>
    <row r="1124" spans="1:14" x14ac:dyDescent="0.2">
      <c r="A1124" s="41"/>
      <c r="B1124" s="40"/>
      <c r="C1124" s="40"/>
      <c r="D1124" s="31"/>
      <c r="E1124" s="31"/>
      <c r="F1124" s="31"/>
      <c r="G1124" s="19" t="e">
        <f t="shared" si="20"/>
        <v>#DIV/0!</v>
      </c>
      <c r="H1124" s="20" t="str">
        <f ca="1">IFERROR(__xludf.DUMMYFUNCTION("IF(COUNTIFS($C$2:C1124, C1124, $A$2:A1124, ""&lt;="" &amp; A1124) &lt; 30, AVERAGEIF($C$2:C1124, C1124, $G$2:G1124), AVERAGE(FILTER($G$2:G1124, $C$2:C1124 = C1124, $A$2:A1124 &gt;= A1124 - 30)))
"),"#DIV/0!")</f>
        <v>#DIV/0!</v>
      </c>
      <c r="I1124" s="20" t="e">
        <f t="shared" ca="1" si="21"/>
        <v>#DIV/0!</v>
      </c>
      <c r="J1124" s="20" t="str">
        <f ca="1">IFERROR(__xludf.DUMMYFUNCTION("IF(OR($I1124=2, $I1124=3), 0, IFERROR(COUNTIFS($C$2:C1124, $C1124, $A$2:A1124, ""&gt;""&amp;IFERROR(MAX(FILTER($A$2:A1124, $C$2:C1124=$C1124, $I$2:I1124&lt;&gt;1)), 0), $I$2:I1124, 1),1))
"),"#DIV/0!")</f>
        <v>#DIV/0!</v>
      </c>
      <c r="K1124" s="7" t="e">
        <f t="shared" ca="1" si="22"/>
        <v>#DIV/0!</v>
      </c>
      <c r="L1124" s="20" t="e">
        <f t="shared" ca="1" si="23"/>
        <v>#DIV/0!</v>
      </c>
      <c r="M1124" s="21" t="e">
        <f t="shared" ca="1" si="24"/>
        <v>#DIV/0!</v>
      </c>
      <c r="N1124" s="20" t="str">
        <f ca="1">IFERROR(__xludf.DUMMYFUNCTION("IF(COUNTIFS($C$2:C1124, C1124, $A$2:A1124, ""&lt;="" &amp; A1124) &lt; 30, STDEV.P(FILTER($G$2:G1124, $C$2:C1124 = C1124)), STDEV.P(FILTER($G$2:G1124, $C$2:C1124 = C1124, $A$2:A1124 &gt;= A1124 - 30)))
"),"#DIV/0!")</f>
        <v>#DIV/0!</v>
      </c>
    </row>
    <row r="1125" spans="1:14" x14ac:dyDescent="0.2">
      <c r="A1125" s="41"/>
      <c r="B1125" s="40"/>
      <c r="C1125" s="40"/>
      <c r="D1125" s="31"/>
      <c r="E1125" s="31"/>
      <c r="F1125" s="31"/>
      <c r="G1125" s="19" t="e">
        <f t="shared" si="20"/>
        <v>#DIV/0!</v>
      </c>
      <c r="H1125" s="20" t="str">
        <f ca="1">IFERROR(__xludf.DUMMYFUNCTION("IF(COUNTIFS($C$2:C1125, C1125, $A$2:A1125, ""&lt;="" &amp; A1125) &lt; 30, AVERAGEIF($C$2:C1125, C1125, $G$2:G1125), AVERAGE(FILTER($G$2:G1125, $C$2:C1125 = C1125, $A$2:A1125 &gt;= A1125 - 30)))
"),"#DIV/0!")</f>
        <v>#DIV/0!</v>
      </c>
      <c r="I1125" s="20" t="e">
        <f t="shared" ca="1" si="21"/>
        <v>#DIV/0!</v>
      </c>
      <c r="J1125" s="20" t="str">
        <f ca="1">IFERROR(__xludf.DUMMYFUNCTION("IF(OR($I1125=2, $I1125=3), 0, IFERROR(COUNTIFS($C$2:C1125, $C1125, $A$2:A1125, ""&gt;""&amp;IFERROR(MAX(FILTER($A$2:A1125, $C$2:C1125=$C1125, $I$2:I1125&lt;&gt;1)), 0), $I$2:I1125, 1),1))
"),"#DIV/0!")</f>
        <v>#DIV/0!</v>
      </c>
      <c r="K1125" s="7" t="e">
        <f t="shared" ca="1" si="22"/>
        <v>#DIV/0!</v>
      </c>
      <c r="L1125" s="20" t="e">
        <f t="shared" ca="1" si="23"/>
        <v>#DIV/0!</v>
      </c>
      <c r="M1125" s="21" t="e">
        <f t="shared" ca="1" si="24"/>
        <v>#DIV/0!</v>
      </c>
      <c r="N1125" s="20" t="str">
        <f ca="1">IFERROR(__xludf.DUMMYFUNCTION("IF(COUNTIFS($C$2:C1125, C1125, $A$2:A1125, ""&lt;="" &amp; A1125) &lt; 30, STDEV.P(FILTER($G$2:G1125, $C$2:C1125 = C1125)), STDEV.P(FILTER($G$2:G1125, $C$2:C1125 = C1125, $A$2:A1125 &gt;= A1125 - 30)))
"),"#DIV/0!")</f>
        <v>#DIV/0!</v>
      </c>
    </row>
    <row r="1126" spans="1:14" x14ac:dyDescent="0.2">
      <c r="A1126" s="41"/>
      <c r="B1126" s="40"/>
      <c r="C1126" s="40"/>
      <c r="D1126" s="31"/>
      <c r="E1126" s="31"/>
      <c r="F1126" s="31"/>
      <c r="G1126" s="19" t="e">
        <f t="shared" si="20"/>
        <v>#DIV/0!</v>
      </c>
      <c r="H1126" s="20" t="str">
        <f ca="1">IFERROR(__xludf.DUMMYFUNCTION("IF(COUNTIFS($C$2:C1126, C1126, $A$2:A1126, ""&lt;="" &amp; A1126) &lt; 30, AVERAGEIF($C$2:C1126, C1126, $G$2:G1126), AVERAGE(FILTER($G$2:G1126, $C$2:C1126 = C1126, $A$2:A1126 &gt;= A1126 - 30)))
"),"#DIV/0!")</f>
        <v>#DIV/0!</v>
      </c>
      <c r="I1126" s="20" t="e">
        <f t="shared" ca="1" si="21"/>
        <v>#DIV/0!</v>
      </c>
      <c r="J1126" s="20" t="str">
        <f ca="1">IFERROR(__xludf.DUMMYFUNCTION("IF(OR($I1126=2, $I1126=3), 0, IFERROR(COUNTIFS($C$2:C1126, $C1126, $A$2:A1126, ""&gt;""&amp;IFERROR(MAX(FILTER($A$2:A1126, $C$2:C1126=$C1126, $I$2:I1126&lt;&gt;1)), 0), $I$2:I1126, 1),1))
"),"#DIV/0!")</f>
        <v>#DIV/0!</v>
      </c>
      <c r="K1126" s="7" t="e">
        <f t="shared" ca="1" si="22"/>
        <v>#DIV/0!</v>
      </c>
      <c r="L1126" s="20" t="e">
        <f t="shared" ca="1" si="23"/>
        <v>#DIV/0!</v>
      </c>
      <c r="M1126" s="21" t="e">
        <f t="shared" ca="1" si="24"/>
        <v>#DIV/0!</v>
      </c>
      <c r="N1126" s="20" t="str">
        <f ca="1">IFERROR(__xludf.DUMMYFUNCTION("IF(COUNTIFS($C$2:C1126, C1126, $A$2:A1126, ""&lt;="" &amp; A1126) &lt; 30, STDEV.P(FILTER($G$2:G1126, $C$2:C1126 = C1126)), STDEV.P(FILTER($G$2:G1126, $C$2:C1126 = C1126, $A$2:A1126 &gt;= A1126 - 30)))
"),"#DIV/0!")</f>
        <v>#DIV/0!</v>
      </c>
    </row>
    <row r="1127" spans="1:14" x14ac:dyDescent="0.2">
      <c r="A1127" s="41"/>
      <c r="B1127" s="40"/>
      <c r="C1127" s="40"/>
      <c r="D1127" s="31"/>
      <c r="E1127" s="31"/>
      <c r="F1127" s="31"/>
      <c r="G1127" s="19" t="e">
        <f t="shared" si="20"/>
        <v>#DIV/0!</v>
      </c>
      <c r="H1127" s="20" t="str">
        <f ca="1">IFERROR(__xludf.DUMMYFUNCTION("IF(COUNTIFS($C$2:C1127, C1127, $A$2:A1127, ""&lt;="" &amp; A1127) &lt; 30, AVERAGEIF($C$2:C1127, C1127, $G$2:G1127), AVERAGE(FILTER($G$2:G1127, $C$2:C1127 = C1127, $A$2:A1127 &gt;= A1127 - 30)))
"),"#DIV/0!")</f>
        <v>#DIV/0!</v>
      </c>
      <c r="I1127" s="20" t="e">
        <f t="shared" ca="1" si="21"/>
        <v>#DIV/0!</v>
      </c>
      <c r="J1127" s="20" t="str">
        <f ca="1">IFERROR(__xludf.DUMMYFUNCTION("IF(OR($I1127=2, $I1127=3), 0, IFERROR(COUNTIFS($C$2:C1127, $C1127, $A$2:A1127, ""&gt;""&amp;IFERROR(MAX(FILTER($A$2:A1127, $C$2:C1127=$C1127, $I$2:I1127&lt;&gt;1)), 0), $I$2:I1127, 1),1))
"),"#DIV/0!")</f>
        <v>#DIV/0!</v>
      </c>
      <c r="K1127" s="7" t="e">
        <f t="shared" ca="1" si="22"/>
        <v>#DIV/0!</v>
      </c>
      <c r="L1127" s="20" t="e">
        <f t="shared" ca="1" si="23"/>
        <v>#DIV/0!</v>
      </c>
      <c r="M1127" s="21" t="e">
        <f t="shared" ca="1" si="24"/>
        <v>#DIV/0!</v>
      </c>
      <c r="N1127" s="20" t="str">
        <f ca="1">IFERROR(__xludf.DUMMYFUNCTION("IF(COUNTIFS($C$2:C1127, C1127, $A$2:A1127, ""&lt;="" &amp; A1127) &lt; 30, STDEV.P(FILTER($G$2:G1127, $C$2:C1127 = C1127)), STDEV.P(FILTER($G$2:G1127, $C$2:C1127 = C1127, $A$2:A1127 &gt;= A1127 - 30)))
"),"#DIV/0!")</f>
        <v>#DIV/0!</v>
      </c>
    </row>
    <row r="1128" spans="1:14" x14ac:dyDescent="0.2">
      <c r="A1128" s="41"/>
      <c r="B1128" s="40"/>
      <c r="C1128" s="40"/>
      <c r="D1128" s="31"/>
      <c r="E1128" s="31"/>
      <c r="F1128" s="31"/>
      <c r="G1128" s="19" t="e">
        <f t="shared" si="20"/>
        <v>#DIV/0!</v>
      </c>
      <c r="H1128" s="20" t="str">
        <f ca="1">IFERROR(__xludf.DUMMYFUNCTION("IF(COUNTIFS($C$2:C1128, C1128, $A$2:A1128, ""&lt;="" &amp; A1128) &lt; 30, AVERAGEIF($C$2:C1128, C1128, $G$2:G1128), AVERAGE(FILTER($G$2:G1128, $C$2:C1128 = C1128, $A$2:A1128 &gt;= A1128 - 30)))
"),"#DIV/0!")</f>
        <v>#DIV/0!</v>
      </c>
      <c r="I1128" s="20" t="e">
        <f t="shared" ca="1" si="21"/>
        <v>#DIV/0!</v>
      </c>
      <c r="J1128" s="20" t="str">
        <f ca="1">IFERROR(__xludf.DUMMYFUNCTION("IF(OR($I1128=2, $I1128=3), 0, IFERROR(COUNTIFS($C$2:C1128, $C1128, $A$2:A1128, ""&gt;""&amp;IFERROR(MAX(FILTER($A$2:A1128, $C$2:C1128=$C1128, $I$2:I1128&lt;&gt;1)), 0), $I$2:I1128, 1),1))
"),"#DIV/0!")</f>
        <v>#DIV/0!</v>
      </c>
      <c r="K1128" s="7" t="e">
        <f t="shared" ca="1" si="22"/>
        <v>#DIV/0!</v>
      </c>
      <c r="L1128" s="20" t="e">
        <f t="shared" ca="1" si="23"/>
        <v>#DIV/0!</v>
      </c>
      <c r="M1128" s="21" t="e">
        <f t="shared" ca="1" si="24"/>
        <v>#DIV/0!</v>
      </c>
      <c r="N1128" s="20" t="str">
        <f ca="1">IFERROR(__xludf.DUMMYFUNCTION("IF(COUNTIFS($C$2:C1128, C1128, $A$2:A1128, ""&lt;="" &amp; A1128) &lt; 30, STDEV.P(FILTER($G$2:G1128, $C$2:C1128 = C1128)), STDEV.P(FILTER($G$2:G1128, $C$2:C1128 = C1128, $A$2:A1128 &gt;= A1128 - 30)))
"),"#DIV/0!")</f>
        <v>#DIV/0!</v>
      </c>
    </row>
    <row r="1129" spans="1:14" x14ac:dyDescent="0.2">
      <c r="A1129" s="41"/>
      <c r="B1129" s="40"/>
      <c r="C1129" s="40"/>
      <c r="D1129" s="31"/>
      <c r="E1129" s="31"/>
      <c r="F1129" s="31"/>
      <c r="G1129" s="19" t="e">
        <f t="shared" si="20"/>
        <v>#DIV/0!</v>
      </c>
      <c r="H1129" s="20" t="str">
        <f ca="1">IFERROR(__xludf.DUMMYFUNCTION("IF(COUNTIFS($C$2:C1129, C1129, $A$2:A1129, ""&lt;="" &amp; A1129) &lt; 30, AVERAGEIF($C$2:C1129, C1129, $G$2:G1129), AVERAGE(FILTER($G$2:G1129, $C$2:C1129 = C1129, $A$2:A1129 &gt;= A1129 - 30)))
"),"#DIV/0!")</f>
        <v>#DIV/0!</v>
      </c>
      <c r="I1129" s="20" t="e">
        <f t="shared" ca="1" si="21"/>
        <v>#DIV/0!</v>
      </c>
      <c r="J1129" s="20" t="str">
        <f ca="1">IFERROR(__xludf.DUMMYFUNCTION("IF(OR($I1129=2, $I1129=3), 0, IFERROR(COUNTIFS($C$2:C1129, $C1129, $A$2:A1129, ""&gt;""&amp;IFERROR(MAX(FILTER($A$2:A1129, $C$2:C1129=$C1129, $I$2:I1129&lt;&gt;1)), 0), $I$2:I1129, 1),1))
"),"#DIV/0!")</f>
        <v>#DIV/0!</v>
      </c>
      <c r="K1129" s="7" t="e">
        <f t="shared" ca="1" si="22"/>
        <v>#DIV/0!</v>
      </c>
      <c r="L1129" s="20" t="e">
        <f t="shared" ca="1" si="23"/>
        <v>#DIV/0!</v>
      </c>
      <c r="M1129" s="21" t="e">
        <f t="shared" ca="1" si="24"/>
        <v>#DIV/0!</v>
      </c>
      <c r="N1129" s="20" t="str">
        <f ca="1">IFERROR(__xludf.DUMMYFUNCTION("IF(COUNTIFS($C$2:C1129, C1129, $A$2:A1129, ""&lt;="" &amp; A1129) &lt; 30, STDEV.P(FILTER($G$2:G1129, $C$2:C1129 = C1129)), STDEV.P(FILTER($G$2:G1129, $C$2:C1129 = C1129, $A$2:A1129 &gt;= A1129 - 30)))
"),"#DIV/0!")</f>
        <v>#DIV/0!</v>
      </c>
    </row>
    <row r="1130" spans="1:14" x14ac:dyDescent="0.2">
      <c r="A1130" s="41"/>
      <c r="B1130" s="40"/>
      <c r="C1130" s="40"/>
      <c r="D1130" s="31"/>
      <c r="E1130" s="31"/>
      <c r="F1130" s="31"/>
      <c r="G1130" s="19" t="e">
        <f t="shared" si="20"/>
        <v>#DIV/0!</v>
      </c>
      <c r="H1130" s="20" t="str">
        <f ca="1">IFERROR(__xludf.DUMMYFUNCTION("IF(COUNTIFS($C$2:C1130, C1130, $A$2:A1130, ""&lt;="" &amp; A1130) &lt; 30, AVERAGEIF($C$2:C1130, C1130, $G$2:G1130), AVERAGE(FILTER($G$2:G1130, $C$2:C1130 = C1130, $A$2:A1130 &gt;= A1130 - 30)))
"),"#DIV/0!")</f>
        <v>#DIV/0!</v>
      </c>
      <c r="I1130" s="20" t="e">
        <f t="shared" ca="1" si="21"/>
        <v>#DIV/0!</v>
      </c>
      <c r="J1130" s="20" t="str">
        <f ca="1">IFERROR(__xludf.DUMMYFUNCTION("IF(OR($I1130=2, $I1130=3), 0, IFERROR(COUNTIFS($C$2:C1130, $C1130, $A$2:A1130, ""&gt;""&amp;IFERROR(MAX(FILTER($A$2:A1130, $C$2:C1130=$C1130, $I$2:I1130&lt;&gt;1)), 0), $I$2:I1130, 1),1))
"),"#DIV/0!")</f>
        <v>#DIV/0!</v>
      </c>
      <c r="K1130" s="7" t="e">
        <f t="shared" ca="1" si="22"/>
        <v>#DIV/0!</v>
      </c>
      <c r="L1130" s="20" t="e">
        <f t="shared" ca="1" si="23"/>
        <v>#DIV/0!</v>
      </c>
      <c r="M1130" s="21" t="e">
        <f t="shared" ca="1" si="24"/>
        <v>#DIV/0!</v>
      </c>
      <c r="N1130" s="20" t="str">
        <f ca="1">IFERROR(__xludf.DUMMYFUNCTION("IF(COUNTIFS($C$2:C1130, C1130, $A$2:A1130, ""&lt;="" &amp; A1130) &lt; 30, STDEV.P(FILTER($G$2:G1130, $C$2:C1130 = C1130)), STDEV.P(FILTER($G$2:G1130, $C$2:C1130 = C1130, $A$2:A1130 &gt;= A1130 - 30)))
"),"#DIV/0!")</f>
        <v>#DIV/0!</v>
      </c>
    </row>
    <row r="1131" spans="1:14" x14ac:dyDescent="0.2">
      <c r="A1131" s="41"/>
      <c r="B1131" s="40"/>
      <c r="C1131" s="40"/>
      <c r="D1131" s="31"/>
      <c r="E1131" s="31"/>
      <c r="F1131" s="31"/>
      <c r="G1131" s="19" t="e">
        <f t="shared" si="20"/>
        <v>#DIV/0!</v>
      </c>
      <c r="H1131" s="20" t="str">
        <f ca="1">IFERROR(__xludf.DUMMYFUNCTION("IF(COUNTIFS($C$2:C1131, C1131, $A$2:A1131, ""&lt;="" &amp; A1131) &lt; 30, AVERAGEIF($C$2:C1131, C1131, $G$2:G1131), AVERAGE(FILTER($G$2:G1131, $C$2:C1131 = C1131, $A$2:A1131 &gt;= A1131 - 30)))
"),"#DIV/0!")</f>
        <v>#DIV/0!</v>
      </c>
      <c r="I1131" s="20" t="e">
        <f t="shared" ca="1" si="21"/>
        <v>#DIV/0!</v>
      </c>
      <c r="J1131" s="20" t="str">
        <f ca="1">IFERROR(__xludf.DUMMYFUNCTION("IF(OR($I1131=2, $I1131=3), 0, IFERROR(COUNTIFS($C$2:C1131, $C1131, $A$2:A1131, ""&gt;""&amp;IFERROR(MAX(FILTER($A$2:A1131, $C$2:C1131=$C1131, $I$2:I1131&lt;&gt;1)), 0), $I$2:I1131, 1),1))
"),"#DIV/0!")</f>
        <v>#DIV/0!</v>
      </c>
      <c r="K1131" s="7" t="e">
        <f t="shared" ca="1" si="22"/>
        <v>#DIV/0!</v>
      </c>
      <c r="L1131" s="20" t="e">
        <f t="shared" ca="1" si="23"/>
        <v>#DIV/0!</v>
      </c>
      <c r="M1131" s="21" t="e">
        <f t="shared" ca="1" si="24"/>
        <v>#DIV/0!</v>
      </c>
      <c r="N1131" s="20" t="str">
        <f ca="1">IFERROR(__xludf.DUMMYFUNCTION("IF(COUNTIFS($C$2:C1131, C1131, $A$2:A1131, ""&lt;="" &amp; A1131) &lt; 30, STDEV.P(FILTER($G$2:G1131, $C$2:C1131 = C1131)), STDEV.P(FILTER($G$2:G1131, $C$2:C1131 = C1131, $A$2:A1131 &gt;= A1131 - 30)))
"),"#DIV/0!")</f>
        <v>#DIV/0!</v>
      </c>
    </row>
    <row r="1132" spans="1:14" x14ac:dyDescent="0.2">
      <c r="A1132" s="41"/>
      <c r="B1132" s="40"/>
      <c r="C1132" s="40"/>
      <c r="D1132" s="31"/>
      <c r="E1132" s="31"/>
      <c r="F1132" s="31"/>
      <c r="G1132" s="19" t="e">
        <f t="shared" si="20"/>
        <v>#DIV/0!</v>
      </c>
      <c r="H1132" s="20" t="str">
        <f ca="1">IFERROR(__xludf.DUMMYFUNCTION("IF(COUNTIFS($C$2:C1132, C1132, $A$2:A1132, ""&lt;="" &amp; A1132) &lt; 30, AVERAGEIF($C$2:C1132, C1132, $G$2:G1132), AVERAGE(FILTER($G$2:G1132, $C$2:C1132 = C1132, $A$2:A1132 &gt;= A1132 - 30)))
"),"#DIV/0!")</f>
        <v>#DIV/0!</v>
      </c>
      <c r="I1132" s="20" t="e">
        <f t="shared" ca="1" si="21"/>
        <v>#DIV/0!</v>
      </c>
      <c r="J1132" s="20" t="str">
        <f ca="1">IFERROR(__xludf.DUMMYFUNCTION("IF(OR($I1132=2, $I1132=3), 0, IFERROR(COUNTIFS($C$2:C1132, $C1132, $A$2:A1132, ""&gt;""&amp;IFERROR(MAX(FILTER($A$2:A1132, $C$2:C1132=$C1132, $I$2:I1132&lt;&gt;1)), 0), $I$2:I1132, 1),1))
"),"#DIV/0!")</f>
        <v>#DIV/0!</v>
      </c>
      <c r="K1132" s="7" t="e">
        <f t="shared" ca="1" si="22"/>
        <v>#DIV/0!</v>
      </c>
      <c r="L1132" s="20" t="e">
        <f t="shared" ca="1" si="23"/>
        <v>#DIV/0!</v>
      </c>
      <c r="M1132" s="21" t="e">
        <f t="shared" ca="1" si="24"/>
        <v>#DIV/0!</v>
      </c>
      <c r="N1132" s="20" t="str">
        <f ca="1">IFERROR(__xludf.DUMMYFUNCTION("IF(COUNTIFS($C$2:C1132, C1132, $A$2:A1132, ""&lt;="" &amp; A1132) &lt; 30, STDEV.P(FILTER($G$2:G1132, $C$2:C1132 = C1132)), STDEV.P(FILTER($G$2:G1132, $C$2:C1132 = C1132, $A$2:A1132 &gt;= A1132 - 30)))
"),"#DIV/0!")</f>
        <v>#DIV/0!</v>
      </c>
    </row>
    <row r="1133" spans="1:14" x14ac:dyDescent="0.2">
      <c r="A1133" s="41"/>
      <c r="B1133" s="40"/>
      <c r="C1133" s="40"/>
      <c r="D1133" s="31"/>
      <c r="E1133" s="31"/>
      <c r="F1133" s="31"/>
      <c r="G1133" s="19" t="e">
        <f t="shared" si="20"/>
        <v>#DIV/0!</v>
      </c>
      <c r="H1133" s="20" t="str">
        <f ca="1">IFERROR(__xludf.DUMMYFUNCTION("IF(COUNTIFS($C$2:C1133, C1133, $A$2:A1133, ""&lt;="" &amp; A1133) &lt; 30, AVERAGEIF($C$2:C1133, C1133, $G$2:G1133), AVERAGE(FILTER($G$2:G1133, $C$2:C1133 = C1133, $A$2:A1133 &gt;= A1133 - 30)))
"),"#DIV/0!")</f>
        <v>#DIV/0!</v>
      </c>
      <c r="I1133" s="20" t="e">
        <f t="shared" ca="1" si="21"/>
        <v>#DIV/0!</v>
      </c>
      <c r="J1133" s="20" t="str">
        <f ca="1">IFERROR(__xludf.DUMMYFUNCTION("IF(OR($I1133=2, $I1133=3), 0, IFERROR(COUNTIFS($C$2:C1133, $C1133, $A$2:A1133, ""&gt;""&amp;IFERROR(MAX(FILTER($A$2:A1133, $C$2:C1133=$C1133, $I$2:I1133&lt;&gt;1)), 0), $I$2:I1133, 1),1))
"),"#DIV/0!")</f>
        <v>#DIV/0!</v>
      </c>
      <c r="K1133" s="7" t="e">
        <f t="shared" ca="1" si="22"/>
        <v>#DIV/0!</v>
      </c>
      <c r="L1133" s="20" t="e">
        <f t="shared" ca="1" si="23"/>
        <v>#DIV/0!</v>
      </c>
      <c r="M1133" s="21" t="e">
        <f t="shared" ca="1" si="24"/>
        <v>#DIV/0!</v>
      </c>
      <c r="N1133" s="20" t="str">
        <f ca="1">IFERROR(__xludf.DUMMYFUNCTION("IF(COUNTIFS($C$2:C1133, C1133, $A$2:A1133, ""&lt;="" &amp; A1133) &lt; 30, STDEV.P(FILTER($G$2:G1133, $C$2:C1133 = C1133)), STDEV.P(FILTER($G$2:G1133, $C$2:C1133 = C1133, $A$2:A1133 &gt;= A1133 - 30)))
"),"#DIV/0!")</f>
        <v>#DIV/0!</v>
      </c>
    </row>
    <row r="1134" spans="1:14" x14ac:dyDescent="0.2">
      <c r="A1134" s="41"/>
      <c r="B1134" s="40"/>
      <c r="C1134" s="40"/>
      <c r="D1134" s="31"/>
      <c r="E1134" s="31"/>
      <c r="F1134" s="31"/>
      <c r="G1134" s="19" t="e">
        <f t="shared" si="20"/>
        <v>#DIV/0!</v>
      </c>
      <c r="H1134" s="20" t="str">
        <f ca="1">IFERROR(__xludf.DUMMYFUNCTION("IF(COUNTIFS($C$2:C1134, C1134, $A$2:A1134, ""&lt;="" &amp; A1134) &lt; 30, AVERAGEIF($C$2:C1134, C1134, $G$2:G1134), AVERAGE(FILTER($G$2:G1134, $C$2:C1134 = C1134, $A$2:A1134 &gt;= A1134 - 30)))
"),"#DIV/0!")</f>
        <v>#DIV/0!</v>
      </c>
      <c r="I1134" s="20" t="e">
        <f t="shared" ca="1" si="21"/>
        <v>#DIV/0!</v>
      </c>
      <c r="J1134" s="20" t="str">
        <f ca="1">IFERROR(__xludf.DUMMYFUNCTION("IF(OR($I1134=2, $I1134=3), 0, IFERROR(COUNTIFS($C$2:C1134, $C1134, $A$2:A1134, ""&gt;""&amp;IFERROR(MAX(FILTER($A$2:A1134, $C$2:C1134=$C1134, $I$2:I1134&lt;&gt;1)), 0), $I$2:I1134, 1),1))
"),"#DIV/0!")</f>
        <v>#DIV/0!</v>
      </c>
      <c r="K1134" s="7" t="e">
        <f t="shared" ca="1" si="22"/>
        <v>#DIV/0!</v>
      </c>
      <c r="L1134" s="20" t="e">
        <f t="shared" ca="1" si="23"/>
        <v>#DIV/0!</v>
      </c>
      <c r="M1134" s="21" t="e">
        <f t="shared" ca="1" si="24"/>
        <v>#DIV/0!</v>
      </c>
      <c r="N1134" s="20" t="str">
        <f ca="1">IFERROR(__xludf.DUMMYFUNCTION("IF(COUNTIFS($C$2:C1134, C1134, $A$2:A1134, ""&lt;="" &amp; A1134) &lt; 30, STDEV.P(FILTER($G$2:G1134, $C$2:C1134 = C1134)), STDEV.P(FILTER($G$2:G1134, $C$2:C1134 = C1134, $A$2:A1134 &gt;= A1134 - 30)))
"),"#DIV/0!")</f>
        <v>#DIV/0!</v>
      </c>
    </row>
    <row r="1135" spans="1:14" x14ac:dyDescent="0.2">
      <c r="A1135" s="41"/>
      <c r="B1135" s="40"/>
      <c r="C1135" s="40"/>
      <c r="D1135" s="31"/>
      <c r="E1135" s="31"/>
      <c r="F1135" s="31"/>
      <c r="G1135" s="19" t="e">
        <f t="shared" si="20"/>
        <v>#DIV/0!</v>
      </c>
      <c r="H1135" s="20" t="str">
        <f ca="1">IFERROR(__xludf.DUMMYFUNCTION("IF(COUNTIFS($C$2:C1135, C1135, $A$2:A1135, ""&lt;="" &amp; A1135) &lt; 30, AVERAGEIF($C$2:C1135, C1135, $G$2:G1135), AVERAGE(FILTER($G$2:G1135, $C$2:C1135 = C1135, $A$2:A1135 &gt;= A1135 - 30)))
"),"#DIV/0!")</f>
        <v>#DIV/0!</v>
      </c>
      <c r="I1135" s="20" t="e">
        <f t="shared" ca="1" si="21"/>
        <v>#DIV/0!</v>
      </c>
      <c r="J1135" s="20" t="str">
        <f ca="1">IFERROR(__xludf.DUMMYFUNCTION("IF(OR($I1135=2, $I1135=3), 0, IFERROR(COUNTIFS($C$2:C1135, $C1135, $A$2:A1135, ""&gt;""&amp;IFERROR(MAX(FILTER($A$2:A1135, $C$2:C1135=$C1135, $I$2:I1135&lt;&gt;1)), 0), $I$2:I1135, 1),1))
"),"#DIV/0!")</f>
        <v>#DIV/0!</v>
      </c>
      <c r="K1135" s="7" t="e">
        <f t="shared" ca="1" si="22"/>
        <v>#DIV/0!</v>
      </c>
      <c r="L1135" s="20" t="e">
        <f t="shared" ca="1" si="23"/>
        <v>#DIV/0!</v>
      </c>
      <c r="M1135" s="21" t="e">
        <f t="shared" ca="1" si="24"/>
        <v>#DIV/0!</v>
      </c>
      <c r="N1135" s="20" t="str">
        <f ca="1">IFERROR(__xludf.DUMMYFUNCTION("IF(COUNTIFS($C$2:C1135, C1135, $A$2:A1135, ""&lt;="" &amp; A1135) &lt; 30, STDEV.P(FILTER($G$2:G1135, $C$2:C1135 = C1135)), STDEV.P(FILTER($G$2:G1135, $C$2:C1135 = C1135, $A$2:A1135 &gt;= A1135 - 30)))
"),"#DIV/0!")</f>
        <v>#DIV/0!</v>
      </c>
    </row>
    <row r="1136" spans="1:14" x14ac:dyDescent="0.2">
      <c r="A1136" s="41"/>
      <c r="B1136" s="40"/>
      <c r="C1136" s="40"/>
      <c r="D1136" s="31"/>
      <c r="E1136" s="31"/>
      <c r="F1136" s="31"/>
      <c r="G1136" s="19" t="e">
        <f t="shared" si="20"/>
        <v>#DIV/0!</v>
      </c>
      <c r="H1136" s="20" t="str">
        <f ca="1">IFERROR(__xludf.DUMMYFUNCTION("IF(COUNTIFS($C$2:C1136, C1136, $A$2:A1136, ""&lt;="" &amp; A1136) &lt; 30, AVERAGEIF($C$2:C1136, C1136, $G$2:G1136), AVERAGE(FILTER($G$2:G1136, $C$2:C1136 = C1136, $A$2:A1136 &gt;= A1136 - 30)))
"),"#DIV/0!")</f>
        <v>#DIV/0!</v>
      </c>
      <c r="I1136" s="20" t="e">
        <f t="shared" ca="1" si="21"/>
        <v>#DIV/0!</v>
      </c>
      <c r="J1136" s="20" t="str">
        <f ca="1">IFERROR(__xludf.DUMMYFUNCTION("IF(OR($I1136=2, $I1136=3), 0, IFERROR(COUNTIFS($C$2:C1136, $C1136, $A$2:A1136, ""&gt;""&amp;IFERROR(MAX(FILTER($A$2:A1136, $C$2:C1136=$C1136, $I$2:I1136&lt;&gt;1)), 0), $I$2:I1136, 1),1))
"),"#DIV/0!")</f>
        <v>#DIV/0!</v>
      </c>
      <c r="K1136" s="7" t="e">
        <f t="shared" ca="1" si="22"/>
        <v>#DIV/0!</v>
      </c>
      <c r="L1136" s="20" t="e">
        <f t="shared" ca="1" si="23"/>
        <v>#DIV/0!</v>
      </c>
      <c r="M1136" s="21" t="e">
        <f t="shared" ca="1" si="24"/>
        <v>#DIV/0!</v>
      </c>
      <c r="N1136" s="20" t="str">
        <f ca="1">IFERROR(__xludf.DUMMYFUNCTION("IF(COUNTIFS($C$2:C1136, C1136, $A$2:A1136, ""&lt;="" &amp; A1136) &lt; 30, STDEV.P(FILTER($G$2:G1136, $C$2:C1136 = C1136)), STDEV.P(FILTER($G$2:G1136, $C$2:C1136 = C1136, $A$2:A1136 &gt;= A1136 - 30)))
"),"#DIV/0!")</f>
        <v>#DIV/0!</v>
      </c>
    </row>
    <row r="1137" spans="1:14" x14ac:dyDescent="0.2">
      <c r="A1137" s="41"/>
      <c r="B1137" s="40"/>
      <c r="C1137" s="40"/>
      <c r="D1137" s="31"/>
      <c r="E1137" s="31"/>
      <c r="F1137" s="31"/>
      <c r="G1137" s="19" t="e">
        <f t="shared" si="20"/>
        <v>#DIV/0!</v>
      </c>
      <c r="H1137" s="20" t="str">
        <f ca="1">IFERROR(__xludf.DUMMYFUNCTION("IF(COUNTIFS($C$2:C1137, C1137, $A$2:A1137, ""&lt;="" &amp; A1137) &lt; 30, AVERAGEIF($C$2:C1137, C1137, $G$2:G1137), AVERAGE(FILTER($G$2:G1137, $C$2:C1137 = C1137, $A$2:A1137 &gt;= A1137 - 30)))
"),"#DIV/0!")</f>
        <v>#DIV/0!</v>
      </c>
      <c r="I1137" s="20" t="e">
        <f t="shared" ca="1" si="21"/>
        <v>#DIV/0!</v>
      </c>
      <c r="J1137" s="20" t="str">
        <f ca="1">IFERROR(__xludf.DUMMYFUNCTION("IF(OR($I1137=2, $I1137=3), 0, IFERROR(COUNTIFS($C$2:C1137, $C1137, $A$2:A1137, ""&gt;""&amp;IFERROR(MAX(FILTER($A$2:A1137, $C$2:C1137=$C1137, $I$2:I1137&lt;&gt;1)), 0), $I$2:I1137, 1),1))
"),"#DIV/0!")</f>
        <v>#DIV/0!</v>
      </c>
      <c r="K1137" s="7" t="e">
        <f t="shared" ca="1" si="22"/>
        <v>#DIV/0!</v>
      </c>
      <c r="L1137" s="20" t="e">
        <f t="shared" ca="1" si="23"/>
        <v>#DIV/0!</v>
      </c>
      <c r="M1137" s="21" t="e">
        <f t="shared" ca="1" si="24"/>
        <v>#DIV/0!</v>
      </c>
      <c r="N1137" s="20" t="str">
        <f ca="1">IFERROR(__xludf.DUMMYFUNCTION("IF(COUNTIFS($C$2:C1137, C1137, $A$2:A1137, ""&lt;="" &amp; A1137) &lt; 30, STDEV.P(FILTER($G$2:G1137, $C$2:C1137 = C1137)), STDEV.P(FILTER($G$2:G1137, $C$2:C1137 = C1137, $A$2:A1137 &gt;= A1137 - 30)))
"),"#DIV/0!")</f>
        <v>#DIV/0!</v>
      </c>
    </row>
    <row r="1138" spans="1:14" x14ac:dyDescent="0.2">
      <c r="A1138" s="41"/>
      <c r="B1138" s="40"/>
      <c r="C1138" s="40"/>
      <c r="D1138" s="31"/>
      <c r="E1138" s="31"/>
      <c r="F1138" s="31"/>
      <c r="G1138" s="19" t="e">
        <f t="shared" si="20"/>
        <v>#DIV/0!</v>
      </c>
      <c r="H1138" s="20" t="str">
        <f ca="1">IFERROR(__xludf.DUMMYFUNCTION("IF(COUNTIFS($C$2:C1138, C1138, $A$2:A1138, ""&lt;="" &amp; A1138) &lt; 30, AVERAGEIF($C$2:C1138, C1138, $G$2:G1138), AVERAGE(FILTER($G$2:G1138, $C$2:C1138 = C1138, $A$2:A1138 &gt;= A1138 - 30)))
"),"#DIV/0!")</f>
        <v>#DIV/0!</v>
      </c>
      <c r="I1138" s="20" t="e">
        <f t="shared" ca="1" si="21"/>
        <v>#DIV/0!</v>
      </c>
      <c r="J1138" s="20" t="str">
        <f ca="1">IFERROR(__xludf.DUMMYFUNCTION("IF(OR($I1138=2, $I1138=3), 0, IFERROR(COUNTIFS($C$2:C1138, $C1138, $A$2:A1138, ""&gt;""&amp;IFERROR(MAX(FILTER($A$2:A1138, $C$2:C1138=$C1138, $I$2:I1138&lt;&gt;1)), 0), $I$2:I1138, 1),1))
"),"#DIV/0!")</f>
        <v>#DIV/0!</v>
      </c>
      <c r="K1138" s="7" t="e">
        <f t="shared" ca="1" si="22"/>
        <v>#DIV/0!</v>
      </c>
      <c r="L1138" s="20" t="e">
        <f t="shared" ca="1" si="23"/>
        <v>#DIV/0!</v>
      </c>
      <c r="M1138" s="21" t="e">
        <f t="shared" ca="1" si="24"/>
        <v>#DIV/0!</v>
      </c>
      <c r="N1138" s="20" t="str">
        <f ca="1">IFERROR(__xludf.DUMMYFUNCTION("IF(COUNTIFS($C$2:C1138, C1138, $A$2:A1138, ""&lt;="" &amp; A1138) &lt; 30, STDEV.P(FILTER($G$2:G1138, $C$2:C1138 = C1138)), STDEV.P(FILTER($G$2:G1138, $C$2:C1138 = C1138, $A$2:A1138 &gt;= A1138 - 30)))
"),"#DIV/0!")</f>
        <v>#DIV/0!</v>
      </c>
    </row>
    <row r="1139" spans="1:14" x14ac:dyDescent="0.2">
      <c r="A1139" s="41"/>
      <c r="B1139" s="40"/>
      <c r="C1139" s="40"/>
      <c r="D1139" s="31"/>
      <c r="E1139" s="31"/>
      <c r="F1139" s="31"/>
      <c r="G1139" s="19" t="e">
        <f t="shared" si="20"/>
        <v>#DIV/0!</v>
      </c>
      <c r="H1139" s="20" t="str">
        <f ca="1">IFERROR(__xludf.DUMMYFUNCTION("IF(COUNTIFS($C$2:C1139, C1139, $A$2:A1139, ""&lt;="" &amp; A1139) &lt; 30, AVERAGEIF($C$2:C1139, C1139, $G$2:G1139), AVERAGE(FILTER($G$2:G1139, $C$2:C1139 = C1139, $A$2:A1139 &gt;= A1139 - 30)))
"),"#DIV/0!")</f>
        <v>#DIV/0!</v>
      </c>
      <c r="I1139" s="20" t="e">
        <f t="shared" ca="1" si="21"/>
        <v>#DIV/0!</v>
      </c>
      <c r="J1139" s="20" t="str">
        <f ca="1">IFERROR(__xludf.DUMMYFUNCTION("IF(OR($I1139=2, $I1139=3), 0, IFERROR(COUNTIFS($C$2:C1139, $C1139, $A$2:A1139, ""&gt;""&amp;IFERROR(MAX(FILTER($A$2:A1139, $C$2:C1139=$C1139, $I$2:I1139&lt;&gt;1)), 0), $I$2:I1139, 1),1))
"),"#DIV/0!")</f>
        <v>#DIV/0!</v>
      </c>
      <c r="K1139" s="7" t="e">
        <f t="shared" ca="1" si="22"/>
        <v>#DIV/0!</v>
      </c>
      <c r="L1139" s="20" t="e">
        <f t="shared" ca="1" si="23"/>
        <v>#DIV/0!</v>
      </c>
      <c r="M1139" s="21" t="e">
        <f t="shared" ca="1" si="24"/>
        <v>#DIV/0!</v>
      </c>
      <c r="N1139" s="20" t="str">
        <f ca="1">IFERROR(__xludf.DUMMYFUNCTION("IF(COUNTIFS($C$2:C1139, C1139, $A$2:A1139, ""&lt;="" &amp; A1139) &lt; 30, STDEV.P(FILTER($G$2:G1139, $C$2:C1139 = C1139)), STDEV.P(FILTER($G$2:G1139, $C$2:C1139 = C1139, $A$2:A1139 &gt;= A1139 - 30)))
"),"#DIV/0!")</f>
        <v>#DIV/0!</v>
      </c>
    </row>
    <row r="1140" spans="1:14" x14ac:dyDescent="0.2">
      <c r="A1140" s="41"/>
      <c r="B1140" s="40"/>
      <c r="C1140" s="40"/>
      <c r="D1140" s="31"/>
      <c r="E1140" s="31"/>
      <c r="F1140" s="31"/>
      <c r="G1140" s="19" t="e">
        <f t="shared" si="20"/>
        <v>#DIV/0!</v>
      </c>
      <c r="H1140" s="20" t="str">
        <f ca="1">IFERROR(__xludf.DUMMYFUNCTION("IF(COUNTIFS($C$2:C1140, C1140, $A$2:A1140, ""&lt;="" &amp; A1140) &lt; 30, AVERAGEIF($C$2:C1140, C1140, $G$2:G1140), AVERAGE(FILTER($G$2:G1140, $C$2:C1140 = C1140, $A$2:A1140 &gt;= A1140 - 30)))
"),"#DIV/0!")</f>
        <v>#DIV/0!</v>
      </c>
      <c r="I1140" s="20" t="e">
        <f t="shared" ca="1" si="21"/>
        <v>#DIV/0!</v>
      </c>
      <c r="J1140" s="20" t="str">
        <f ca="1">IFERROR(__xludf.DUMMYFUNCTION("IF(OR($I1140=2, $I1140=3), 0, IFERROR(COUNTIFS($C$2:C1140, $C1140, $A$2:A1140, ""&gt;""&amp;IFERROR(MAX(FILTER($A$2:A1140, $C$2:C1140=$C1140, $I$2:I1140&lt;&gt;1)), 0), $I$2:I1140, 1),1))
"),"#DIV/0!")</f>
        <v>#DIV/0!</v>
      </c>
      <c r="K1140" s="7" t="e">
        <f t="shared" ca="1" si="22"/>
        <v>#DIV/0!</v>
      </c>
      <c r="L1140" s="20" t="e">
        <f t="shared" ca="1" si="23"/>
        <v>#DIV/0!</v>
      </c>
      <c r="M1140" s="21" t="e">
        <f t="shared" ca="1" si="24"/>
        <v>#DIV/0!</v>
      </c>
      <c r="N1140" s="20" t="str">
        <f ca="1">IFERROR(__xludf.DUMMYFUNCTION("IF(COUNTIFS($C$2:C1140, C1140, $A$2:A1140, ""&lt;="" &amp; A1140) &lt; 30, STDEV.P(FILTER($G$2:G1140, $C$2:C1140 = C1140)), STDEV.P(FILTER($G$2:G1140, $C$2:C1140 = C1140, $A$2:A1140 &gt;= A1140 - 30)))
"),"#DIV/0!")</f>
        <v>#DIV/0!</v>
      </c>
    </row>
    <row r="1141" spans="1:14" x14ac:dyDescent="0.2">
      <c r="A1141" s="41"/>
      <c r="B1141" s="40"/>
      <c r="C1141" s="40"/>
      <c r="D1141" s="31"/>
      <c r="E1141" s="31"/>
      <c r="F1141" s="31"/>
      <c r="G1141" s="19" t="e">
        <f t="shared" si="20"/>
        <v>#DIV/0!</v>
      </c>
      <c r="H1141" s="20" t="str">
        <f ca="1">IFERROR(__xludf.DUMMYFUNCTION("IF(COUNTIFS($C$2:C1141, C1141, $A$2:A1141, ""&lt;="" &amp; A1141) &lt; 30, AVERAGEIF($C$2:C1141, C1141, $G$2:G1141), AVERAGE(FILTER($G$2:G1141, $C$2:C1141 = C1141, $A$2:A1141 &gt;= A1141 - 30)))
"),"#DIV/0!")</f>
        <v>#DIV/0!</v>
      </c>
      <c r="I1141" s="20" t="e">
        <f t="shared" ca="1" si="21"/>
        <v>#DIV/0!</v>
      </c>
      <c r="J1141" s="20" t="str">
        <f ca="1">IFERROR(__xludf.DUMMYFUNCTION("IF(OR($I1141=2, $I1141=3), 0, IFERROR(COUNTIFS($C$2:C1141, $C1141, $A$2:A1141, ""&gt;""&amp;IFERROR(MAX(FILTER($A$2:A1141, $C$2:C1141=$C1141, $I$2:I1141&lt;&gt;1)), 0), $I$2:I1141, 1),1))
"),"#DIV/0!")</f>
        <v>#DIV/0!</v>
      </c>
      <c r="K1141" s="7" t="e">
        <f t="shared" ca="1" si="22"/>
        <v>#DIV/0!</v>
      </c>
      <c r="L1141" s="20" t="e">
        <f t="shared" ca="1" si="23"/>
        <v>#DIV/0!</v>
      </c>
      <c r="M1141" s="21" t="e">
        <f t="shared" ca="1" si="24"/>
        <v>#DIV/0!</v>
      </c>
      <c r="N1141" s="20" t="str">
        <f ca="1">IFERROR(__xludf.DUMMYFUNCTION("IF(COUNTIFS($C$2:C1141, C1141, $A$2:A1141, ""&lt;="" &amp; A1141) &lt; 30, STDEV.P(FILTER($G$2:G1141, $C$2:C1141 = C1141)), STDEV.P(FILTER($G$2:G1141, $C$2:C1141 = C1141, $A$2:A1141 &gt;= A1141 - 30)))
"),"#DIV/0!")</f>
        <v>#DIV/0!</v>
      </c>
    </row>
    <row r="1142" spans="1:14" x14ac:dyDescent="0.2">
      <c r="A1142" s="41"/>
      <c r="B1142" s="40"/>
      <c r="C1142" s="40"/>
      <c r="D1142" s="31"/>
      <c r="E1142" s="31"/>
      <c r="F1142" s="31"/>
      <c r="G1142" s="19" t="e">
        <f t="shared" si="20"/>
        <v>#DIV/0!</v>
      </c>
      <c r="H1142" s="20" t="str">
        <f ca="1">IFERROR(__xludf.DUMMYFUNCTION("IF(COUNTIFS($C$2:C1142, C1142, $A$2:A1142, ""&lt;="" &amp; A1142) &lt; 30, AVERAGEIF($C$2:C1142, C1142, $G$2:G1142), AVERAGE(FILTER($G$2:G1142, $C$2:C1142 = C1142, $A$2:A1142 &gt;= A1142 - 30)))
"),"#DIV/0!")</f>
        <v>#DIV/0!</v>
      </c>
      <c r="I1142" s="20" t="e">
        <f t="shared" ca="1" si="21"/>
        <v>#DIV/0!</v>
      </c>
      <c r="J1142" s="20" t="str">
        <f ca="1">IFERROR(__xludf.DUMMYFUNCTION("IF(OR($I1142=2, $I1142=3), 0, IFERROR(COUNTIFS($C$2:C1142, $C1142, $A$2:A1142, ""&gt;""&amp;IFERROR(MAX(FILTER($A$2:A1142, $C$2:C1142=$C1142, $I$2:I1142&lt;&gt;1)), 0), $I$2:I1142, 1),1))
"),"#DIV/0!")</f>
        <v>#DIV/0!</v>
      </c>
      <c r="K1142" s="7" t="e">
        <f t="shared" ca="1" si="22"/>
        <v>#DIV/0!</v>
      </c>
      <c r="L1142" s="20" t="e">
        <f t="shared" ca="1" si="23"/>
        <v>#DIV/0!</v>
      </c>
      <c r="M1142" s="21" t="e">
        <f t="shared" ca="1" si="24"/>
        <v>#DIV/0!</v>
      </c>
      <c r="N1142" s="20" t="str">
        <f ca="1">IFERROR(__xludf.DUMMYFUNCTION("IF(COUNTIFS($C$2:C1142, C1142, $A$2:A1142, ""&lt;="" &amp; A1142) &lt; 30, STDEV.P(FILTER($G$2:G1142, $C$2:C1142 = C1142)), STDEV.P(FILTER($G$2:G1142, $C$2:C1142 = C1142, $A$2:A1142 &gt;= A1142 - 30)))
"),"#DIV/0!")</f>
        <v>#DIV/0!</v>
      </c>
    </row>
    <row r="1143" spans="1:14" x14ac:dyDescent="0.2">
      <c r="A1143" s="41"/>
      <c r="B1143" s="40"/>
      <c r="C1143" s="40"/>
      <c r="D1143" s="31"/>
      <c r="E1143" s="31"/>
      <c r="F1143" s="31"/>
      <c r="G1143" s="19" t="e">
        <f t="shared" si="20"/>
        <v>#DIV/0!</v>
      </c>
      <c r="H1143" s="20" t="str">
        <f ca="1">IFERROR(__xludf.DUMMYFUNCTION("IF(COUNTIFS($C$2:C1143, C1143, $A$2:A1143, ""&lt;="" &amp; A1143) &lt; 30, AVERAGEIF($C$2:C1143, C1143, $G$2:G1143), AVERAGE(FILTER($G$2:G1143, $C$2:C1143 = C1143, $A$2:A1143 &gt;= A1143 - 30)))
"),"#DIV/0!")</f>
        <v>#DIV/0!</v>
      </c>
      <c r="I1143" s="20" t="e">
        <f t="shared" ca="1" si="21"/>
        <v>#DIV/0!</v>
      </c>
      <c r="J1143" s="20" t="str">
        <f ca="1">IFERROR(__xludf.DUMMYFUNCTION("IF(OR($I1143=2, $I1143=3), 0, IFERROR(COUNTIFS($C$2:C1143, $C1143, $A$2:A1143, ""&gt;""&amp;IFERROR(MAX(FILTER($A$2:A1143, $C$2:C1143=$C1143, $I$2:I1143&lt;&gt;1)), 0), $I$2:I1143, 1),1))
"),"#DIV/0!")</f>
        <v>#DIV/0!</v>
      </c>
      <c r="K1143" s="7" t="e">
        <f t="shared" ca="1" si="22"/>
        <v>#DIV/0!</v>
      </c>
      <c r="L1143" s="20" t="e">
        <f t="shared" ca="1" si="23"/>
        <v>#DIV/0!</v>
      </c>
      <c r="M1143" s="21" t="e">
        <f t="shared" ca="1" si="24"/>
        <v>#DIV/0!</v>
      </c>
      <c r="N1143" s="20" t="str">
        <f ca="1">IFERROR(__xludf.DUMMYFUNCTION("IF(COUNTIFS($C$2:C1143, C1143, $A$2:A1143, ""&lt;="" &amp; A1143) &lt; 30, STDEV.P(FILTER($G$2:G1143, $C$2:C1143 = C1143)), STDEV.P(FILTER($G$2:G1143, $C$2:C1143 = C1143, $A$2:A1143 &gt;= A1143 - 30)))
"),"#DIV/0!")</f>
        <v>#DIV/0!</v>
      </c>
    </row>
    <row r="1144" spans="1:14" x14ac:dyDescent="0.2">
      <c r="A1144" s="41"/>
      <c r="B1144" s="40"/>
      <c r="C1144" s="40"/>
      <c r="D1144" s="31"/>
      <c r="E1144" s="31"/>
      <c r="F1144" s="31"/>
      <c r="G1144" s="19" t="e">
        <f t="shared" si="20"/>
        <v>#DIV/0!</v>
      </c>
      <c r="H1144" s="20" t="str">
        <f ca="1">IFERROR(__xludf.DUMMYFUNCTION("IF(COUNTIFS($C$2:C1144, C1144, $A$2:A1144, ""&lt;="" &amp; A1144) &lt; 30, AVERAGEIF($C$2:C1144, C1144, $G$2:G1144), AVERAGE(FILTER($G$2:G1144, $C$2:C1144 = C1144, $A$2:A1144 &gt;= A1144 - 30)))
"),"#DIV/0!")</f>
        <v>#DIV/0!</v>
      </c>
      <c r="I1144" s="20" t="e">
        <f t="shared" ca="1" si="21"/>
        <v>#DIV/0!</v>
      </c>
      <c r="J1144" s="20" t="str">
        <f ca="1">IFERROR(__xludf.DUMMYFUNCTION("IF(OR($I1144=2, $I1144=3), 0, IFERROR(COUNTIFS($C$2:C1144, $C1144, $A$2:A1144, ""&gt;""&amp;IFERROR(MAX(FILTER($A$2:A1144, $C$2:C1144=$C1144, $I$2:I1144&lt;&gt;1)), 0), $I$2:I1144, 1),1))
"),"#DIV/0!")</f>
        <v>#DIV/0!</v>
      </c>
      <c r="K1144" s="7" t="e">
        <f t="shared" ca="1" si="22"/>
        <v>#DIV/0!</v>
      </c>
      <c r="L1144" s="20" t="e">
        <f t="shared" ca="1" si="23"/>
        <v>#DIV/0!</v>
      </c>
      <c r="M1144" s="21" t="e">
        <f t="shared" ca="1" si="24"/>
        <v>#DIV/0!</v>
      </c>
      <c r="N1144" s="20" t="str">
        <f ca="1">IFERROR(__xludf.DUMMYFUNCTION("IF(COUNTIFS($C$2:C1144, C1144, $A$2:A1144, ""&lt;="" &amp; A1144) &lt; 30, STDEV.P(FILTER($G$2:G1144, $C$2:C1144 = C1144)), STDEV.P(FILTER($G$2:G1144, $C$2:C1144 = C1144, $A$2:A1144 &gt;= A1144 - 30)))
"),"#DIV/0!")</f>
        <v>#DIV/0!</v>
      </c>
    </row>
    <row r="1145" spans="1:14" x14ac:dyDescent="0.2">
      <c r="A1145" s="41"/>
      <c r="B1145" s="40"/>
      <c r="C1145" s="40"/>
      <c r="D1145" s="31"/>
      <c r="E1145" s="31"/>
      <c r="F1145" s="31"/>
      <c r="G1145" s="19" t="e">
        <f t="shared" si="20"/>
        <v>#DIV/0!</v>
      </c>
      <c r="H1145" s="20" t="str">
        <f ca="1">IFERROR(__xludf.DUMMYFUNCTION("IF(COUNTIFS($C$2:C1145, C1145, $A$2:A1145, ""&lt;="" &amp; A1145) &lt; 30, AVERAGEIF($C$2:C1145, C1145, $G$2:G1145), AVERAGE(FILTER($G$2:G1145, $C$2:C1145 = C1145, $A$2:A1145 &gt;= A1145 - 30)))
"),"#DIV/0!")</f>
        <v>#DIV/0!</v>
      </c>
      <c r="I1145" s="20" t="e">
        <f t="shared" ca="1" si="21"/>
        <v>#DIV/0!</v>
      </c>
      <c r="J1145" s="20" t="str">
        <f ca="1">IFERROR(__xludf.DUMMYFUNCTION("IF(OR($I1145=2, $I1145=3), 0, IFERROR(COUNTIFS($C$2:C1145, $C1145, $A$2:A1145, ""&gt;""&amp;IFERROR(MAX(FILTER($A$2:A1145, $C$2:C1145=$C1145, $I$2:I1145&lt;&gt;1)), 0), $I$2:I1145, 1),1))
"),"#DIV/0!")</f>
        <v>#DIV/0!</v>
      </c>
      <c r="K1145" s="7" t="e">
        <f t="shared" ca="1" si="22"/>
        <v>#DIV/0!</v>
      </c>
      <c r="L1145" s="20" t="e">
        <f t="shared" ca="1" si="23"/>
        <v>#DIV/0!</v>
      </c>
      <c r="M1145" s="21" t="e">
        <f t="shared" ca="1" si="24"/>
        <v>#DIV/0!</v>
      </c>
      <c r="N1145" s="20" t="str">
        <f ca="1">IFERROR(__xludf.DUMMYFUNCTION("IF(COUNTIFS($C$2:C1145, C1145, $A$2:A1145, ""&lt;="" &amp; A1145) &lt; 30, STDEV.P(FILTER($G$2:G1145, $C$2:C1145 = C1145)), STDEV.P(FILTER($G$2:G1145, $C$2:C1145 = C1145, $A$2:A1145 &gt;= A1145 - 30)))
"),"#DIV/0!")</f>
        <v>#DIV/0!</v>
      </c>
    </row>
    <row r="1146" spans="1:14" x14ac:dyDescent="0.2">
      <c r="A1146" s="41"/>
      <c r="B1146" s="40"/>
      <c r="C1146" s="40"/>
      <c r="D1146" s="31"/>
      <c r="E1146" s="31"/>
      <c r="F1146" s="31"/>
      <c r="G1146" s="19" t="e">
        <f t="shared" si="20"/>
        <v>#DIV/0!</v>
      </c>
      <c r="H1146" s="20" t="str">
        <f ca="1">IFERROR(__xludf.DUMMYFUNCTION("IF(COUNTIFS($C$2:C1146, C1146, $A$2:A1146, ""&lt;="" &amp; A1146) &lt; 30, AVERAGEIF($C$2:C1146, C1146, $G$2:G1146), AVERAGE(FILTER($G$2:G1146, $C$2:C1146 = C1146, $A$2:A1146 &gt;= A1146 - 30)))
"),"#DIV/0!")</f>
        <v>#DIV/0!</v>
      </c>
      <c r="I1146" s="20" t="e">
        <f t="shared" ca="1" si="21"/>
        <v>#DIV/0!</v>
      </c>
      <c r="J1146" s="20" t="str">
        <f ca="1">IFERROR(__xludf.DUMMYFUNCTION("IF(OR($I1146=2, $I1146=3), 0, IFERROR(COUNTIFS($C$2:C1146, $C1146, $A$2:A1146, ""&gt;""&amp;IFERROR(MAX(FILTER($A$2:A1146, $C$2:C1146=$C1146, $I$2:I1146&lt;&gt;1)), 0), $I$2:I1146, 1),1))
"),"#DIV/0!")</f>
        <v>#DIV/0!</v>
      </c>
      <c r="K1146" s="7" t="e">
        <f t="shared" ca="1" si="22"/>
        <v>#DIV/0!</v>
      </c>
      <c r="L1146" s="20" t="e">
        <f t="shared" ca="1" si="23"/>
        <v>#DIV/0!</v>
      </c>
      <c r="M1146" s="21" t="e">
        <f t="shared" ca="1" si="24"/>
        <v>#DIV/0!</v>
      </c>
      <c r="N1146" s="20" t="str">
        <f ca="1">IFERROR(__xludf.DUMMYFUNCTION("IF(COUNTIFS($C$2:C1146, C1146, $A$2:A1146, ""&lt;="" &amp; A1146) &lt; 30, STDEV.P(FILTER($G$2:G1146, $C$2:C1146 = C1146)), STDEV.P(FILTER($G$2:G1146, $C$2:C1146 = C1146, $A$2:A1146 &gt;= A1146 - 30)))
"),"#DIV/0!")</f>
        <v>#DIV/0!</v>
      </c>
    </row>
    <row r="1147" spans="1:14" x14ac:dyDescent="0.2">
      <c r="A1147" s="41"/>
      <c r="B1147" s="40"/>
      <c r="C1147" s="40"/>
      <c r="D1147" s="31"/>
      <c r="E1147" s="31"/>
      <c r="F1147" s="31"/>
      <c r="G1147" s="19" t="e">
        <f t="shared" si="20"/>
        <v>#DIV/0!</v>
      </c>
      <c r="H1147" s="20" t="str">
        <f ca="1">IFERROR(__xludf.DUMMYFUNCTION("IF(COUNTIFS($C$2:C1147, C1147, $A$2:A1147, ""&lt;="" &amp; A1147) &lt; 30, AVERAGEIF($C$2:C1147, C1147, $G$2:G1147), AVERAGE(FILTER($G$2:G1147, $C$2:C1147 = C1147, $A$2:A1147 &gt;= A1147 - 30)))
"),"#DIV/0!")</f>
        <v>#DIV/0!</v>
      </c>
      <c r="I1147" s="20" t="e">
        <f t="shared" ca="1" si="21"/>
        <v>#DIV/0!</v>
      </c>
      <c r="J1147" s="20" t="str">
        <f ca="1">IFERROR(__xludf.DUMMYFUNCTION("IF(OR($I1147=2, $I1147=3), 0, IFERROR(COUNTIFS($C$2:C1147, $C1147, $A$2:A1147, ""&gt;""&amp;IFERROR(MAX(FILTER($A$2:A1147, $C$2:C1147=$C1147, $I$2:I1147&lt;&gt;1)), 0), $I$2:I1147, 1),1))
"),"#DIV/0!")</f>
        <v>#DIV/0!</v>
      </c>
      <c r="K1147" s="7" t="e">
        <f t="shared" ca="1" si="22"/>
        <v>#DIV/0!</v>
      </c>
      <c r="L1147" s="20" t="e">
        <f t="shared" ca="1" si="23"/>
        <v>#DIV/0!</v>
      </c>
      <c r="M1147" s="21" t="e">
        <f t="shared" ca="1" si="24"/>
        <v>#DIV/0!</v>
      </c>
      <c r="N1147" s="20" t="str">
        <f ca="1">IFERROR(__xludf.DUMMYFUNCTION("IF(COUNTIFS($C$2:C1147, C1147, $A$2:A1147, ""&lt;="" &amp; A1147) &lt; 30, STDEV.P(FILTER($G$2:G1147, $C$2:C1147 = C1147)), STDEV.P(FILTER($G$2:G1147, $C$2:C1147 = C1147, $A$2:A1147 &gt;= A1147 - 30)))
"),"#DIV/0!")</f>
        <v>#DIV/0!</v>
      </c>
    </row>
    <row r="1148" spans="1:14" x14ac:dyDescent="0.2">
      <c r="A1148" s="41"/>
      <c r="B1148" s="40"/>
      <c r="C1148" s="40"/>
      <c r="D1148" s="31"/>
      <c r="E1148" s="31"/>
      <c r="F1148" s="31"/>
      <c r="G1148" s="19" t="e">
        <f t="shared" si="20"/>
        <v>#DIV/0!</v>
      </c>
      <c r="H1148" s="20" t="str">
        <f ca="1">IFERROR(__xludf.DUMMYFUNCTION("IF(COUNTIFS($C$2:C1148, C1148, $A$2:A1148, ""&lt;="" &amp; A1148) &lt; 30, AVERAGEIF($C$2:C1148, C1148, $G$2:G1148), AVERAGE(FILTER($G$2:G1148, $C$2:C1148 = C1148, $A$2:A1148 &gt;= A1148 - 30)))
"),"#DIV/0!")</f>
        <v>#DIV/0!</v>
      </c>
      <c r="I1148" s="20" t="e">
        <f t="shared" ca="1" si="21"/>
        <v>#DIV/0!</v>
      </c>
      <c r="J1148" s="20" t="str">
        <f ca="1">IFERROR(__xludf.DUMMYFUNCTION("IF(OR($I1148=2, $I1148=3), 0, IFERROR(COUNTIFS($C$2:C1148, $C1148, $A$2:A1148, ""&gt;""&amp;IFERROR(MAX(FILTER($A$2:A1148, $C$2:C1148=$C1148, $I$2:I1148&lt;&gt;1)), 0), $I$2:I1148, 1),1))
"),"#DIV/0!")</f>
        <v>#DIV/0!</v>
      </c>
      <c r="K1148" s="7" t="e">
        <f t="shared" ca="1" si="22"/>
        <v>#DIV/0!</v>
      </c>
      <c r="L1148" s="20" t="e">
        <f t="shared" ca="1" si="23"/>
        <v>#DIV/0!</v>
      </c>
      <c r="M1148" s="21" t="e">
        <f t="shared" ca="1" si="24"/>
        <v>#DIV/0!</v>
      </c>
      <c r="N1148" s="20" t="str">
        <f ca="1">IFERROR(__xludf.DUMMYFUNCTION("IF(COUNTIFS($C$2:C1148, C1148, $A$2:A1148, ""&lt;="" &amp; A1148) &lt; 30, STDEV.P(FILTER($G$2:G1148, $C$2:C1148 = C1148)), STDEV.P(FILTER($G$2:G1148, $C$2:C1148 = C1148, $A$2:A1148 &gt;= A1148 - 30)))
"),"#DIV/0!")</f>
        <v>#DIV/0!</v>
      </c>
    </row>
    <row r="1149" spans="1:14" x14ac:dyDescent="0.2">
      <c r="A1149" s="41"/>
      <c r="B1149" s="40"/>
      <c r="C1149" s="40"/>
      <c r="D1149" s="31"/>
      <c r="E1149" s="31"/>
      <c r="F1149" s="31"/>
      <c r="G1149" s="19" t="e">
        <f t="shared" si="20"/>
        <v>#DIV/0!</v>
      </c>
      <c r="H1149" s="20" t="str">
        <f ca="1">IFERROR(__xludf.DUMMYFUNCTION("IF(COUNTIFS($C$2:C1149, C1149, $A$2:A1149, ""&lt;="" &amp; A1149) &lt; 30, AVERAGEIF($C$2:C1149, C1149, $G$2:G1149), AVERAGE(FILTER($G$2:G1149, $C$2:C1149 = C1149, $A$2:A1149 &gt;= A1149 - 30)))
"),"#DIV/0!")</f>
        <v>#DIV/0!</v>
      </c>
      <c r="I1149" s="20" t="e">
        <f t="shared" ca="1" si="21"/>
        <v>#DIV/0!</v>
      </c>
      <c r="J1149" s="20" t="str">
        <f ca="1">IFERROR(__xludf.DUMMYFUNCTION("IF(OR($I1149=2, $I1149=3), 0, IFERROR(COUNTIFS($C$2:C1149, $C1149, $A$2:A1149, ""&gt;""&amp;IFERROR(MAX(FILTER($A$2:A1149, $C$2:C1149=$C1149, $I$2:I1149&lt;&gt;1)), 0), $I$2:I1149, 1),1))
"),"#DIV/0!")</f>
        <v>#DIV/0!</v>
      </c>
      <c r="K1149" s="7" t="e">
        <f t="shared" ca="1" si="22"/>
        <v>#DIV/0!</v>
      </c>
      <c r="L1149" s="20" t="e">
        <f t="shared" ca="1" si="23"/>
        <v>#DIV/0!</v>
      </c>
      <c r="M1149" s="21" t="e">
        <f t="shared" ca="1" si="24"/>
        <v>#DIV/0!</v>
      </c>
      <c r="N1149" s="20" t="str">
        <f ca="1">IFERROR(__xludf.DUMMYFUNCTION("IF(COUNTIFS($C$2:C1149, C1149, $A$2:A1149, ""&lt;="" &amp; A1149) &lt; 30, STDEV.P(FILTER($G$2:G1149, $C$2:C1149 = C1149)), STDEV.P(FILTER($G$2:G1149, $C$2:C1149 = C1149, $A$2:A1149 &gt;= A1149 - 30)))
"),"#DIV/0!")</f>
        <v>#DIV/0!</v>
      </c>
    </row>
    <row r="1150" spans="1:14" x14ac:dyDescent="0.2">
      <c r="A1150" s="41"/>
      <c r="B1150" s="40"/>
      <c r="C1150" s="40"/>
      <c r="D1150" s="31"/>
      <c r="E1150" s="31"/>
      <c r="F1150" s="31"/>
      <c r="G1150" s="19" t="e">
        <f t="shared" si="20"/>
        <v>#DIV/0!</v>
      </c>
      <c r="H1150" s="20" t="str">
        <f ca="1">IFERROR(__xludf.DUMMYFUNCTION("IF(COUNTIFS($C$2:C1150, C1150, $A$2:A1150, ""&lt;="" &amp; A1150) &lt; 30, AVERAGEIF($C$2:C1150, C1150, $G$2:G1150), AVERAGE(FILTER($G$2:G1150, $C$2:C1150 = C1150, $A$2:A1150 &gt;= A1150 - 30)))
"),"#DIV/0!")</f>
        <v>#DIV/0!</v>
      </c>
      <c r="I1150" s="20" t="e">
        <f t="shared" ca="1" si="21"/>
        <v>#DIV/0!</v>
      </c>
      <c r="J1150" s="20" t="str">
        <f ca="1">IFERROR(__xludf.DUMMYFUNCTION("IF(OR($I1150=2, $I1150=3), 0, IFERROR(COUNTIFS($C$2:C1150, $C1150, $A$2:A1150, ""&gt;""&amp;IFERROR(MAX(FILTER($A$2:A1150, $C$2:C1150=$C1150, $I$2:I1150&lt;&gt;1)), 0), $I$2:I1150, 1),1))
"),"#DIV/0!")</f>
        <v>#DIV/0!</v>
      </c>
      <c r="K1150" s="7" t="e">
        <f t="shared" ca="1" si="22"/>
        <v>#DIV/0!</v>
      </c>
      <c r="L1150" s="20" t="e">
        <f t="shared" ca="1" si="23"/>
        <v>#DIV/0!</v>
      </c>
      <c r="M1150" s="21" t="e">
        <f t="shared" ca="1" si="24"/>
        <v>#DIV/0!</v>
      </c>
      <c r="N1150" s="20" t="str">
        <f ca="1">IFERROR(__xludf.DUMMYFUNCTION("IF(COUNTIFS($C$2:C1150, C1150, $A$2:A1150, ""&lt;="" &amp; A1150) &lt; 30, STDEV.P(FILTER($G$2:G1150, $C$2:C1150 = C1150)), STDEV.P(FILTER($G$2:G1150, $C$2:C1150 = C1150, $A$2:A1150 &gt;= A1150 - 30)))
"),"#DIV/0!")</f>
        <v>#DIV/0!</v>
      </c>
    </row>
    <row r="1151" spans="1:14" x14ac:dyDescent="0.2">
      <c r="A1151" s="41"/>
      <c r="B1151" s="40"/>
      <c r="C1151" s="40"/>
      <c r="D1151" s="31"/>
      <c r="E1151" s="31"/>
      <c r="F1151" s="31"/>
      <c r="G1151" s="19" t="e">
        <f t="shared" si="20"/>
        <v>#DIV/0!</v>
      </c>
      <c r="H1151" s="20" t="str">
        <f ca="1">IFERROR(__xludf.DUMMYFUNCTION("IF(COUNTIFS($C$2:C1151, C1151, $A$2:A1151, ""&lt;="" &amp; A1151) &lt; 30, AVERAGEIF($C$2:C1151, C1151, $G$2:G1151), AVERAGE(FILTER($G$2:G1151, $C$2:C1151 = C1151, $A$2:A1151 &gt;= A1151 - 30)))
"),"#DIV/0!")</f>
        <v>#DIV/0!</v>
      </c>
      <c r="I1151" s="20" t="e">
        <f t="shared" ca="1" si="21"/>
        <v>#DIV/0!</v>
      </c>
      <c r="J1151" s="20" t="str">
        <f ca="1">IFERROR(__xludf.DUMMYFUNCTION("IF(OR($I1151=2, $I1151=3), 0, IFERROR(COUNTIFS($C$2:C1151, $C1151, $A$2:A1151, ""&gt;""&amp;IFERROR(MAX(FILTER($A$2:A1151, $C$2:C1151=$C1151, $I$2:I1151&lt;&gt;1)), 0), $I$2:I1151, 1),1))
"),"#DIV/0!")</f>
        <v>#DIV/0!</v>
      </c>
      <c r="K1151" s="7" t="e">
        <f t="shared" ca="1" si="22"/>
        <v>#DIV/0!</v>
      </c>
      <c r="L1151" s="20" t="e">
        <f t="shared" ca="1" si="23"/>
        <v>#DIV/0!</v>
      </c>
      <c r="M1151" s="21" t="e">
        <f t="shared" ca="1" si="24"/>
        <v>#DIV/0!</v>
      </c>
      <c r="N1151" s="20" t="str">
        <f ca="1">IFERROR(__xludf.DUMMYFUNCTION("IF(COUNTIFS($C$2:C1151, C1151, $A$2:A1151, ""&lt;="" &amp; A1151) &lt; 30, STDEV.P(FILTER($G$2:G1151, $C$2:C1151 = C1151)), STDEV.P(FILTER($G$2:G1151, $C$2:C1151 = C1151, $A$2:A1151 &gt;= A1151 - 30)))
"),"#DIV/0!")</f>
        <v>#DIV/0!</v>
      </c>
    </row>
    <row r="1152" spans="1:14" x14ac:dyDescent="0.2">
      <c r="A1152" s="41"/>
      <c r="B1152" s="40"/>
      <c r="C1152" s="40"/>
      <c r="D1152" s="31"/>
      <c r="E1152" s="31"/>
      <c r="F1152" s="31"/>
      <c r="G1152" s="19" t="e">
        <f t="shared" si="20"/>
        <v>#DIV/0!</v>
      </c>
      <c r="H1152" s="20" t="str">
        <f ca="1">IFERROR(__xludf.DUMMYFUNCTION("IF(COUNTIFS($C$2:C1152, C1152, $A$2:A1152, ""&lt;="" &amp; A1152) &lt; 30, AVERAGEIF($C$2:C1152, C1152, $G$2:G1152), AVERAGE(FILTER($G$2:G1152, $C$2:C1152 = C1152, $A$2:A1152 &gt;= A1152 - 30)))
"),"#DIV/0!")</f>
        <v>#DIV/0!</v>
      </c>
      <c r="I1152" s="20" t="e">
        <f t="shared" ca="1" si="21"/>
        <v>#DIV/0!</v>
      </c>
      <c r="J1152" s="20" t="str">
        <f ca="1">IFERROR(__xludf.DUMMYFUNCTION("IF(OR($I1152=2, $I1152=3), 0, IFERROR(COUNTIFS($C$2:C1152, $C1152, $A$2:A1152, ""&gt;""&amp;IFERROR(MAX(FILTER($A$2:A1152, $C$2:C1152=$C1152, $I$2:I1152&lt;&gt;1)), 0), $I$2:I1152, 1),1))
"),"#DIV/0!")</f>
        <v>#DIV/0!</v>
      </c>
      <c r="K1152" s="7" t="e">
        <f t="shared" ca="1" si="22"/>
        <v>#DIV/0!</v>
      </c>
      <c r="L1152" s="20" t="e">
        <f t="shared" ca="1" si="23"/>
        <v>#DIV/0!</v>
      </c>
      <c r="M1152" s="21" t="e">
        <f t="shared" ca="1" si="24"/>
        <v>#DIV/0!</v>
      </c>
      <c r="N1152" s="20" t="str">
        <f ca="1">IFERROR(__xludf.DUMMYFUNCTION("IF(COUNTIFS($C$2:C1152, C1152, $A$2:A1152, ""&lt;="" &amp; A1152) &lt; 30, STDEV.P(FILTER($G$2:G1152, $C$2:C1152 = C1152)), STDEV.P(FILTER($G$2:G1152, $C$2:C1152 = C1152, $A$2:A1152 &gt;= A1152 - 30)))
"),"#DIV/0!")</f>
        <v>#DIV/0!</v>
      </c>
    </row>
    <row r="1153" spans="1:14" x14ac:dyDescent="0.2">
      <c r="A1153" s="41"/>
      <c r="B1153" s="40"/>
      <c r="C1153" s="40"/>
      <c r="D1153" s="31"/>
      <c r="E1153" s="31"/>
      <c r="F1153" s="31"/>
      <c r="G1153" s="19" t="e">
        <f t="shared" si="20"/>
        <v>#DIV/0!</v>
      </c>
      <c r="H1153" s="20" t="str">
        <f ca="1">IFERROR(__xludf.DUMMYFUNCTION("IF(COUNTIFS($C$2:C1153, C1153, $A$2:A1153, ""&lt;="" &amp; A1153) &lt; 30, AVERAGEIF($C$2:C1153, C1153, $G$2:G1153), AVERAGE(FILTER($G$2:G1153, $C$2:C1153 = C1153, $A$2:A1153 &gt;= A1153 - 30)))
"),"#DIV/0!")</f>
        <v>#DIV/0!</v>
      </c>
      <c r="I1153" s="20" t="e">
        <f t="shared" ca="1" si="21"/>
        <v>#DIV/0!</v>
      </c>
      <c r="J1153" s="20" t="str">
        <f ca="1">IFERROR(__xludf.DUMMYFUNCTION("IF(OR($I1153=2, $I1153=3), 0, IFERROR(COUNTIFS($C$2:C1153, $C1153, $A$2:A1153, ""&gt;""&amp;IFERROR(MAX(FILTER($A$2:A1153, $C$2:C1153=$C1153, $I$2:I1153&lt;&gt;1)), 0), $I$2:I1153, 1),1))
"),"#DIV/0!")</f>
        <v>#DIV/0!</v>
      </c>
      <c r="K1153" s="7" t="e">
        <f t="shared" ca="1" si="22"/>
        <v>#DIV/0!</v>
      </c>
      <c r="L1153" s="20" t="e">
        <f t="shared" ca="1" si="23"/>
        <v>#DIV/0!</v>
      </c>
      <c r="M1153" s="21" t="e">
        <f t="shared" ca="1" si="24"/>
        <v>#DIV/0!</v>
      </c>
      <c r="N1153" s="20" t="str">
        <f ca="1">IFERROR(__xludf.DUMMYFUNCTION("IF(COUNTIFS($C$2:C1153, C1153, $A$2:A1153, ""&lt;="" &amp; A1153) &lt; 30, STDEV.P(FILTER($G$2:G1153, $C$2:C1153 = C1153)), STDEV.P(FILTER($G$2:G1153, $C$2:C1153 = C1153, $A$2:A1153 &gt;= A1153 - 30)))
"),"#DIV/0!")</f>
        <v>#DIV/0!</v>
      </c>
    </row>
    <row r="1154" spans="1:14" x14ac:dyDescent="0.2">
      <c r="A1154" s="41"/>
      <c r="B1154" s="40"/>
      <c r="C1154" s="40"/>
      <c r="D1154" s="31"/>
      <c r="E1154" s="31"/>
      <c r="F1154" s="31"/>
      <c r="G1154" s="19" t="e">
        <f t="shared" si="20"/>
        <v>#DIV/0!</v>
      </c>
      <c r="H1154" s="20" t="str">
        <f ca="1">IFERROR(__xludf.DUMMYFUNCTION("IF(COUNTIFS($C$2:C1154, C1154, $A$2:A1154, ""&lt;="" &amp; A1154) &lt; 30, AVERAGEIF($C$2:C1154, C1154, $G$2:G1154), AVERAGE(FILTER($G$2:G1154, $C$2:C1154 = C1154, $A$2:A1154 &gt;= A1154 - 30)))
"),"#DIV/0!")</f>
        <v>#DIV/0!</v>
      </c>
      <c r="I1154" s="20" t="e">
        <f t="shared" ca="1" si="21"/>
        <v>#DIV/0!</v>
      </c>
      <c r="J1154" s="20" t="str">
        <f ca="1">IFERROR(__xludf.DUMMYFUNCTION("IF(OR($I1154=2, $I1154=3), 0, IFERROR(COUNTIFS($C$2:C1154, $C1154, $A$2:A1154, ""&gt;""&amp;IFERROR(MAX(FILTER($A$2:A1154, $C$2:C1154=$C1154, $I$2:I1154&lt;&gt;1)), 0), $I$2:I1154, 1),1))
"),"#DIV/0!")</f>
        <v>#DIV/0!</v>
      </c>
      <c r="K1154" s="7" t="e">
        <f t="shared" ca="1" si="22"/>
        <v>#DIV/0!</v>
      </c>
      <c r="L1154" s="20" t="e">
        <f t="shared" ca="1" si="23"/>
        <v>#DIV/0!</v>
      </c>
      <c r="M1154" s="21" t="e">
        <f t="shared" ca="1" si="24"/>
        <v>#DIV/0!</v>
      </c>
      <c r="N1154" s="20" t="str">
        <f ca="1">IFERROR(__xludf.DUMMYFUNCTION("IF(COUNTIFS($C$2:C1154, C1154, $A$2:A1154, ""&lt;="" &amp; A1154) &lt; 30, STDEV.P(FILTER($G$2:G1154, $C$2:C1154 = C1154)), STDEV.P(FILTER($G$2:G1154, $C$2:C1154 = C1154, $A$2:A1154 &gt;= A1154 - 30)))
"),"#DIV/0!")</f>
        <v>#DIV/0!</v>
      </c>
    </row>
    <row r="1155" spans="1:14" x14ac:dyDescent="0.2">
      <c r="A1155" s="41"/>
      <c r="B1155" s="40"/>
      <c r="C1155" s="40"/>
      <c r="D1155" s="31"/>
      <c r="E1155" s="31"/>
      <c r="F1155" s="31"/>
      <c r="G1155" s="19" t="e">
        <f t="shared" si="20"/>
        <v>#DIV/0!</v>
      </c>
      <c r="H1155" s="20" t="str">
        <f ca="1">IFERROR(__xludf.DUMMYFUNCTION("IF(COUNTIFS($C$2:C1155, C1155, $A$2:A1155, ""&lt;="" &amp; A1155) &lt; 30, AVERAGEIF($C$2:C1155, C1155, $G$2:G1155), AVERAGE(FILTER($G$2:G1155, $C$2:C1155 = C1155, $A$2:A1155 &gt;= A1155 - 30)))
"),"#DIV/0!")</f>
        <v>#DIV/0!</v>
      </c>
      <c r="I1155" s="20" t="e">
        <f t="shared" ca="1" si="21"/>
        <v>#DIV/0!</v>
      </c>
      <c r="J1155" s="20" t="str">
        <f ca="1">IFERROR(__xludf.DUMMYFUNCTION("IF(OR($I1155=2, $I1155=3), 0, IFERROR(COUNTIFS($C$2:C1155, $C1155, $A$2:A1155, ""&gt;""&amp;IFERROR(MAX(FILTER($A$2:A1155, $C$2:C1155=$C1155, $I$2:I1155&lt;&gt;1)), 0), $I$2:I1155, 1),1))
"),"#DIV/0!")</f>
        <v>#DIV/0!</v>
      </c>
      <c r="K1155" s="7" t="e">
        <f t="shared" ca="1" si="22"/>
        <v>#DIV/0!</v>
      </c>
      <c r="L1155" s="20" t="e">
        <f t="shared" ca="1" si="23"/>
        <v>#DIV/0!</v>
      </c>
      <c r="M1155" s="21" t="e">
        <f t="shared" ca="1" si="24"/>
        <v>#DIV/0!</v>
      </c>
      <c r="N1155" s="20" t="str">
        <f ca="1">IFERROR(__xludf.DUMMYFUNCTION("IF(COUNTIFS($C$2:C1155, C1155, $A$2:A1155, ""&lt;="" &amp; A1155) &lt; 30, STDEV.P(FILTER($G$2:G1155, $C$2:C1155 = C1155)), STDEV.P(FILTER($G$2:G1155, $C$2:C1155 = C1155, $A$2:A1155 &gt;= A1155 - 30)))
"),"#DIV/0!")</f>
        <v>#DIV/0!</v>
      </c>
    </row>
    <row r="1156" spans="1:14" x14ac:dyDescent="0.2">
      <c r="A1156" s="41"/>
      <c r="B1156" s="40"/>
      <c r="C1156" s="40"/>
      <c r="D1156" s="31"/>
      <c r="E1156" s="31"/>
      <c r="F1156" s="31"/>
      <c r="G1156" s="19" t="e">
        <f t="shared" si="20"/>
        <v>#DIV/0!</v>
      </c>
      <c r="H1156" s="20" t="str">
        <f ca="1">IFERROR(__xludf.DUMMYFUNCTION("IF(COUNTIFS($C$2:C1156, C1156, $A$2:A1156, ""&lt;="" &amp; A1156) &lt; 30, AVERAGEIF($C$2:C1156, C1156, $G$2:G1156), AVERAGE(FILTER($G$2:G1156, $C$2:C1156 = C1156, $A$2:A1156 &gt;= A1156 - 30)))
"),"#DIV/0!")</f>
        <v>#DIV/0!</v>
      </c>
      <c r="I1156" s="20" t="e">
        <f t="shared" ca="1" si="21"/>
        <v>#DIV/0!</v>
      </c>
      <c r="J1156" s="20" t="str">
        <f ca="1">IFERROR(__xludf.DUMMYFUNCTION("IF(OR($I1156=2, $I1156=3), 0, IFERROR(COUNTIFS($C$2:C1156, $C1156, $A$2:A1156, ""&gt;""&amp;IFERROR(MAX(FILTER($A$2:A1156, $C$2:C1156=$C1156, $I$2:I1156&lt;&gt;1)), 0), $I$2:I1156, 1),1))
"),"#DIV/0!")</f>
        <v>#DIV/0!</v>
      </c>
      <c r="K1156" s="7" t="e">
        <f t="shared" ca="1" si="22"/>
        <v>#DIV/0!</v>
      </c>
      <c r="L1156" s="20" t="e">
        <f t="shared" ca="1" si="23"/>
        <v>#DIV/0!</v>
      </c>
      <c r="M1156" s="21" t="e">
        <f t="shared" ca="1" si="24"/>
        <v>#DIV/0!</v>
      </c>
      <c r="N1156" s="20" t="str">
        <f ca="1">IFERROR(__xludf.DUMMYFUNCTION("IF(COUNTIFS($C$2:C1156, C1156, $A$2:A1156, ""&lt;="" &amp; A1156) &lt; 30, STDEV.P(FILTER($G$2:G1156, $C$2:C1156 = C1156)), STDEV.P(FILTER($G$2:G1156, $C$2:C1156 = C1156, $A$2:A1156 &gt;= A1156 - 30)))
"),"#DIV/0!")</f>
        <v>#DIV/0!</v>
      </c>
    </row>
    <row r="1157" spans="1:14" x14ac:dyDescent="0.2">
      <c r="A1157" s="41"/>
      <c r="B1157" s="40"/>
      <c r="C1157" s="40"/>
      <c r="D1157" s="31"/>
      <c r="E1157" s="31"/>
      <c r="F1157" s="31"/>
      <c r="G1157" s="19" t="e">
        <f t="shared" si="20"/>
        <v>#DIV/0!</v>
      </c>
      <c r="H1157" s="20" t="str">
        <f ca="1">IFERROR(__xludf.DUMMYFUNCTION("IF(COUNTIFS($C$2:C1157, C1157, $A$2:A1157, ""&lt;="" &amp; A1157) &lt; 30, AVERAGEIF($C$2:C1157, C1157, $G$2:G1157), AVERAGE(FILTER($G$2:G1157, $C$2:C1157 = C1157, $A$2:A1157 &gt;= A1157 - 30)))
"),"#DIV/0!")</f>
        <v>#DIV/0!</v>
      </c>
      <c r="I1157" s="20" t="e">
        <f t="shared" ca="1" si="21"/>
        <v>#DIV/0!</v>
      </c>
      <c r="J1157" s="20" t="str">
        <f ca="1">IFERROR(__xludf.DUMMYFUNCTION("IF(OR($I1157=2, $I1157=3), 0, IFERROR(COUNTIFS($C$2:C1157, $C1157, $A$2:A1157, ""&gt;""&amp;IFERROR(MAX(FILTER($A$2:A1157, $C$2:C1157=$C1157, $I$2:I1157&lt;&gt;1)), 0), $I$2:I1157, 1),1))
"),"#DIV/0!")</f>
        <v>#DIV/0!</v>
      </c>
      <c r="K1157" s="7" t="e">
        <f t="shared" ca="1" si="22"/>
        <v>#DIV/0!</v>
      </c>
      <c r="L1157" s="20" t="e">
        <f t="shared" ca="1" si="23"/>
        <v>#DIV/0!</v>
      </c>
      <c r="M1157" s="21" t="e">
        <f t="shared" ca="1" si="24"/>
        <v>#DIV/0!</v>
      </c>
      <c r="N1157" s="20" t="str">
        <f ca="1">IFERROR(__xludf.DUMMYFUNCTION("IF(COUNTIFS($C$2:C1157, C1157, $A$2:A1157, ""&lt;="" &amp; A1157) &lt; 30, STDEV.P(FILTER($G$2:G1157, $C$2:C1157 = C1157)), STDEV.P(FILTER($G$2:G1157, $C$2:C1157 = C1157, $A$2:A1157 &gt;= A1157 - 30)))
"),"#DIV/0!")</f>
        <v>#DIV/0!</v>
      </c>
    </row>
    <row r="1158" spans="1:14" x14ac:dyDescent="0.2">
      <c r="A1158" s="41"/>
      <c r="B1158" s="40"/>
      <c r="C1158" s="40"/>
      <c r="D1158" s="31"/>
      <c r="E1158" s="31"/>
      <c r="F1158" s="31"/>
      <c r="G1158" s="19" t="e">
        <f t="shared" si="20"/>
        <v>#DIV/0!</v>
      </c>
      <c r="H1158" s="20" t="str">
        <f ca="1">IFERROR(__xludf.DUMMYFUNCTION("IF(COUNTIFS($C$2:C1158, C1158, $A$2:A1158, ""&lt;="" &amp; A1158) &lt; 30, AVERAGEIF($C$2:C1158, C1158, $G$2:G1158), AVERAGE(FILTER($G$2:G1158, $C$2:C1158 = C1158, $A$2:A1158 &gt;= A1158 - 30)))
"),"#DIV/0!")</f>
        <v>#DIV/0!</v>
      </c>
      <c r="I1158" s="20" t="e">
        <f t="shared" ca="1" si="21"/>
        <v>#DIV/0!</v>
      </c>
      <c r="J1158" s="20" t="str">
        <f ca="1">IFERROR(__xludf.DUMMYFUNCTION("IF(OR($I1158=2, $I1158=3), 0, IFERROR(COUNTIFS($C$2:C1158, $C1158, $A$2:A1158, ""&gt;""&amp;IFERROR(MAX(FILTER($A$2:A1158, $C$2:C1158=$C1158, $I$2:I1158&lt;&gt;1)), 0), $I$2:I1158, 1),1))
"),"#DIV/0!")</f>
        <v>#DIV/0!</v>
      </c>
      <c r="K1158" s="7" t="e">
        <f t="shared" ca="1" si="22"/>
        <v>#DIV/0!</v>
      </c>
      <c r="L1158" s="20" t="e">
        <f t="shared" ca="1" si="23"/>
        <v>#DIV/0!</v>
      </c>
      <c r="M1158" s="21" t="e">
        <f t="shared" ca="1" si="24"/>
        <v>#DIV/0!</v>
      </c>
      <c r="N1158" s="20" t="str">
        <f ca="1">IFERROR(__xludf.DUMMYFUNCTION("IF(COUNTIFS($C$2:C1158, C1158, $A$2:A1158, ""&lt;="" &amp; A1158) &lt; 30, STDEV.P(FILTER($G$2:G1158, $C$2:C1158 = C1158)), STDEV.P(FILTER($G$2:G1158, $C$2:C1158 = C1158, $A$2:A1158 &gt;= A1158 - 30)))
"),"#DIV/0!")</f>
        <v>#DIV/0!</v>
      </c>
    </row>
    <row r="1159" spans="1:14" x14ac:dyDescent="0.2">
      <c r="A1159" s="41"/>
      <c r="B1159" s="40"/>
      <c r="C1159" s="40"/>
      <c r="D1159" s="31"/>
      <c r="E1159" s="31"/>
      <c r="F1159" s="31"/>
      <c r="G1159" s="19" t="e">
        <f t="shared" si="20"/>
        <v>#DIV/0!</v>
      </c>
      <c r="H1159" s="20" t="str">
        <f ca="1">IFERROR(__xludf.DUMMYFUNCTION("IF(COUNTIFS($C$2:C1159, C1159, $A$2:A1159, ""&lt;="" &amp; A1159) &lt; 30, AVERAGEIF($C$2:C1159, C1159, $G$2:G1159), AVERAGE(FILTER($G$2:G1159, $C$2:C1159 = C1159, $A$2:A1159 &gt;= A1159 - 30)))
"),"#DIV/0!")</f>
        <v>#DIV/0!</v>
      </c>
      <c r="I1159" s="20" t="e">
        <f t="shared" ca="1" si="21"/>
        <v>#DIV/0!</v>
      </c>
      <c r="J1159" s="20" t="str">
        <f ca="1">IFERROR(__xludf.DUMMYFUNCTION("IF(OR($I1159=2, $I1159=3), 0, IFERROR(COUNTIFS($C$2:C1159, $C1159, $A$2:A1159, ""&gt;""&amp;IFERROR(MAX(FILTER($A$2:A1159, $C$2:C1159=$C1159, $I$2:I1159&lt;&gt;1)), 0), $I$2:I1159, 1),1))
"),"#DIV/0!")</f>
        <v>#DIV/0!</v>
      </c>
      <c r="K1159" s="7" t="e">
        <f t="shared" ca="1" si="22"/>
        <v>#DIV/0!</v>
      </c>
      <c r="L1159" s="20" t="e">
        <f t="shared" ca="1" si="23"/>
        <v>#DIV/0!</v>
      </c>
      <c r="M1159" s="21" t="e">
        <f t="shared" ca="1" si="24"/>
        <v>#DIV/0!</v>
      </c>
      <c r="N1159" s="20" t="str">
        <f ca="1">IFERROR(__xludf.DUMMYFUNCTION("IF(COUNTIFS($C$2:C1159, C1159, $A$2:A1159, ""&lt;="" &amp; A1159) &lt; 30, STDEV.P(FILTER($G$2:G1159, $C$2:C1159 = C1159)), STDEV.P(FILTER($G$2:G1159, $C$2:C1159 = C1159, $A$2:A1159 &gt;= A1159 - 30)))
"),"#DIV/0!")</f>
        <v>#DIV/0!</v>
      </c>
    </row>
    <row r="1160" spans="1:14" x14ac:dyDescent="0.2">
      <c r="A1160" s="41"/>
      <c r="B1160" s="40"/>
      <c r="C1160" s="40"/>
      <c r="D1160" s="31"/>
      <c r="E1160" s="31"/>
      <c r="F1160" s="31"/>
      <c r="G1160" s="19" t="e">
        <f t="shared" si="20"/>
        <v>#DIV/0!</v>
      </c>
      <c r="H1160" s="20" t="str">
        <f ca="1">IFERROR(__xludf.DUMMYFUNCTION("IF(COUNTIFS($C$2:C1160, C1160, $A$2:A1160, ""&lt;="" &amp; A1160) &lt; 30, AVERAGEIF($C$2:C1160, C1160, $G$2:G1160), AVERAGE(FILTER($G$2:G1160, $C$2:C1160 = C1160, $A$2:A1160 &gt;= A1160 - 30)))
"),"#DIV/0!")</f>
        <v>#DIV/0!</v>
      </c>
      <c r="I1160" s="20" t="e">
        <f t="shared" ca="1" si="21"/>
        <v>#DIV/0!</v>
      </c>
      <c r="J1160" s="20" t="str">
        <f ca="1">IFERROR(__xludf.DUMMYFUNCTION("IF(OR($I1160=2, $I1160=3), 0, IFERROR(COUNTIFS($C$2:C1160, $C1160, $A$2:A1160, ""&gt;""&amp;IFERROR(MAX(FILTER($A$2:A1160, $C$2:C1160=$C1160, $I$2:I1160&lt;&gt;1)), 0), $I$2:I1160, 1),1))
"),"#DIV/0!")</f>
        <v>#DIV/0!</v>
      </c>
      <c r="K1160" s="7" t="e">
        <f t="shared" ca="1" si="22"/>
        <v>#DIV/0!</v>
      </c>
      <c r="L1160" s="20" t="e">
        <f t="shared" ca="1" si="23"/>
        <v>#DIV/0!</v>
      </c>
      <c r="M1160" s="21" t="e">
        <f t="shared" ca="1" si="24"/>
        <v>#DIV/0!</v>
      </c>
      <c r="N1160" s="20" t="str">
        <f ca="1">IFERROR(__xludf.DUMMYFUNCTION("IF(COUNTIFS($C$2:C1160, C1160, $A$2:A1160, ""&lt;="" &amp; A1160) &lt; 30, STDEV.P(FILTER($G$2:G1160, $C$2:C1160 = C1160)), STDEV.P(FILTER($G$2:G1160, $C$2:C1160 = C1160, $A$2:A1160 &gt;= A1160 - 30)))
"),"#DIV/0!")</f>
        <v>#DIV/0!</v>
      </c>
    </row>
    <row r="1161" spans="1:14" x14ac:dyDescent="0.2">
      <c r="A1161" s="41"/>
      <c r="B1161" s="40"/>
      <c r="C1161" s="40"/>
      <c r="D1161" s="31"/>
      <c r="E1161" s="31"/>
      <c r="F1161" s="31"/>
      <c r="G1161" s="19" t="e">
        <f t="shared" si="20"/>
        <v>#DIV/0!</v>
      </c>
      <c r="H1161" s="20" t="str">
        <f ca="1">IFERROR(__xludf.DUMMYFUNCTION("IF(COUNTIFS($C$2:C1161, C1161, $A$2:A1161, ""&lt;="" &amp; A1161) &lt; 30, AVERAGEIF($C$2:C1161, C1161, $G$2:G1161), AVERAGE(FILTER($G$2:G1161, $C$2:C1161 = C1161, $A$2:A1161 &gt;= A1161 - 30)))
"),"#DIV/0!")</f>
        <v>#DIV/0!</v>
      </c>
      <c r="I1161" s="20" t="e">
        <f t="shared" ca="1" si="21"/>
        <v>#DIV/0!</v>
      </c>
      <c r="J1161" s="20" t="str">
        <f ca="1">IFERROR(__xludf.DUMMYFUNCTION("IF(OR($I1161=2, $I1161=3), 0, IFERROR(COUNTIFS($C$2:C1161, $C1161, $A$2:A1161, ""&gt;""&amp;IFERROR(MAX(FILTER($A$2:A1161, $C$2:C1161=$C1161, $I$2:I1161&lt;&gt;1)), 0), $I$2:I1161, 1),1))
"),"#DIV/0!")</f>
        <v>#DIV/0!</v>
      </c>
      <c r="K1161" s="7" t="e">
        <f t="shared" ca="1" si="22"/>
        <v>#DIV/0!</v>
      </c>
      <c r="L1161" s="20" t="e">
        <f t="shared" ca="1" si="23"/>
        <v>#DIV/0!</v>
      </c>
      <c r="M1161" s="21" t="e">
        <f t="shared" ca="1" si="24"/>
        <v>#DIV/0!</v>
      </c>
      <c r="N1161" s="20" t="str">
        <f ca="1">IFERROR(__xludf.DUMMYFUNCTION("IF(COUNTIFS($C$2:C1161, C1161, $A$2:A1161, ""&lt;="" &amp; A1161) &lt; 30, STDEV.P(FILTER($G$2:G1161, $C$2:C1161 = C1161)), STDEV.P(FILTER($G$2:G1161, $C$2:C1161 = C1161, $A$2:A1161 &gt;= A1161 - 30)))
"),"#DIV/0!")</f>
        <v>#DIV/0!</v>
      </c>
    </row>
    <row r="1162" spans="1:14" x14ac:dyDescent="0.2">
      <c r="A1162" s="41"/>
      <c r="B1162" s="40"/>
      <c r="C1162" s="40"/>
      <c r="D1162" s="31"/>
      <c r="E1162" s="31"/>
      <c r="F1162" s="31"/>
      <c r="G1162" s="19" t="e">
        <f t="shared" si="20"/>
        <v>#DIV/0!</v>
      </c>
      <c r="H1162" s="20" t="str">
        <f ca="1">IFERROR(__xludf.DUMMYFUNCTION("IF(COUNTIFS($C$2:C1162, C1162, $A$2:A1162, ""&lt;="" &amp; A1162) &lt; 30, AVERAGEIF($C$2:C1162, C1162, $G$2:G1162), AVERAGE(FILTER($G$2:G1162, $C$2:C1162 = C1162, $A$2:A1162 &gt;= A1162 - 30)))
"),"#DIV/0!")</f>
        <v>#DIV/0!</v>
      </c>
      <c r="I1162" s="20" t="e">
        <f t="shared" ca="1" si="21"/>
        <v>#DIV/0!</v>
      </c>
      <c r="J1162" s="20" t="str">
        <f ca="1">IFERROR(__xludf.DUMMYFUNCTION("IF(OR($I1162=2, $I1162=3), 0, IFERROR(COUNTIFS($C$2:C1162, $C1162, $A$2:A1162, ""&gt;""&amp;IFERROR(MAX(FILTER($A$2:A1162, $C$2:C1162=$C1162, $I$2:I1162&lt;&gt;1)), 0), $I$2:I1162, 1),1))
"),"#DIV/0!")</f>
        <v>#DIV/0!</v>
      </c>
      <c r="K1162" s="7" t="e">
        <f t="shared" ca="1" si="22"/>
        <v>#DIV/0!</v>
      </c>
      <c r="L1162" s="20" t="e">
        <f t="shared" ca="1" si="23"/>
        <v>#DIV/0!</v>
      </c>
      <c r="M1162" s="21" t="e">
        <f t="shared" ca="1" si="24"/>
        <v>#DIV/0!</v>
      </c>
      <c r="N1162" s="20" t="str">
        <f ca="1">IFERROR(__xludf.DUMMYFUNCTION("IF(COUNTIFS($C$2:C1162, C1162, $A$2:A1162, ""&lt;="" &amp; A1162) &lt; 30, STDEV.P(FILTER($G$2:G1162, $C$2:C1162 = C1162)), STDEV.P(FILTER($G$2:G1162, $C$2:C1162 = C1162, $A$2:A1162 &gt;= A1162 - 30)))
"),"#DIV/0!")</f>
        <v>#DIV/0!</v>
      </c>
    </row>
    <row r="1163" spans="1:14" x14ac:dyDescent="0.2">
      <c r="A1163" s="41"/>
      <c r="B1163" s="40"/>
      <c r="C1163" s="40"/>
      <c r="D1163" s="31"/>
      <c r="E1163" s="31"/>
      <c r="F1163" s="31"/>
      <c r="G1163" s="19" t="e">
        <f t="shared" si="20"/>
        <v>#DIV/0!</v>
      </c>
      <c r="H1163" s="20" t="str">
        <f ca="1">IFERROR(__xludf.DUMMYFUNCTION("IF(COUNTIFS($C$2:C1163, C1163, $A$2:A1163, ""&lt;="" &amp; A1163) &lt; 30, AVERAGEIF($C$2:C1163, C1163, $G$2:G1163), AVERAGE(FILTER($G$2:G1163, $C$2:C1163 = C1163, $A$2:A1163 &gt;= A1163 - 30)))
"),"#DIV/0!")</f>
        <v>#DIV/0!</v>
      </c>
      <c r="I1163" s="20" t="e">
        <f t="shared" ca="1" si="21"/>
        <v>#DIV/0!</v>
      </c>
      <c r="J1163" s="20" t="str">
        <f ca="1">IFERROR(__xludf.DUMMYFUNCTION("IF(OR($I1163=2, $I1163=3), 0, IFERROR(COUNTIFS($C$2:C1163, $C1163, $A$2:A1163, ""&gt;""&amp;IFERROR(MAX(FILTER($A$2:A1163, $C$2:C1163=$C1163, $I$2:I1163&lt;&gt;1)), 0), $I$2:I1163, 1),1))
"),"#DIV/0!")</f>
        <v>#DIV/0!</v>
      </c>
      <c r="K1163" s="7" t="e">
        <f t="shared" ca="1" si="22"/>
        <v>#DIV/0!</v>
      </c>
      <c r="L1163" s="20" t="e">
        <f t="shared" ca="1" si="23"/>
        <v>#DIV/0!</v>
      </c>
      <c r="M1163" s="21" t="e">
        <f t="shared" ca="1" si="24"/>
        <v>#DIV/0!</v>
      </c>
      <c r="N1163" s="20" t="str">
        <f ca="1">IFERROR(__xludf.DUMMYFUNCTION("IF(COUNTIFS($C$2:C1163, C1163, $A$2:A1163, ""&lt;="" &amp; A1163) &lt; 30, STDEV.P(FILTER($G$2:G1163, $C$2:C1163 = C1163)), STDEV.P(FILTER($G$2:G1163, $C$2:C1163 = C1163, $A$2:A1163 &gt;= A1163 - 30)))
"),"#DIV/0!")</f>
        <v>#DIV/0!</v>
      </c>
    </row>
    <row r="1164" spans="1:14" x14ac:dyDescent="0.2">
      <c r="A1164" s="41"/>
      <c r="B1164" s="40"/>
      <c r="C1164" s="40"/>
      <c r="D1164" s="31"/>
      <c r="E1164" s="31"/>
      <c r="F1164" s="31"/>
      <c r="G1164" s="19" t="e">
        <f t="shared" si="20"/>
        <v>#DIV/0!</v>
      </c>
      <c r="H1164" s="20" t="str">
        <f ca="1">IFERROR(__xludf.DUMMYFUNCTION("IF(COUNTIFS($C$2:C1164, C1164, $A$2:A1164, ""&lt;="" &amp; A1164) &lt; 30, AVERAGEIF($C$2:C1164, C1164, $G$2:G1164), AVERAGE(FILTER($G$2:G1164, $C$2:C1164 = C1164, $A$2:A1164 &gt;= A1164 - 30)))
"),"#DIV/0!")</f>
        <v>#DIV/0!</v>
      </c>
      <c r="I1164" s="20" t="e">
        <f t="shared" ca="1" si="21"/>
        <v>#DIV/0!</v>
      </c>
      <c r="J1164" s="20" t="str">
        <f ca="1">IFERROR(__xludf.DUMMYFUNCTION("IF(OR($I1164=2, $I1164=3), 0, IFERROR(COUNTIFS($C$2:C1164, $C1164, $A$2:A1164, ""&gt;""&amp;IFERROR(MAX(FILTER($A$2:A1164, $C$2:C1164=$C1164, $I$2:I1164&lt;&gt;1)), 0), $I$2:I1164, 1),1))
"),"#DIV/0!")</f>
        <v>#DIV/0!</v>
      </c>
      <c r="K1164" s="7" t="e">
        <f t="shared" ca="1" si="22"/>
        <v>#DIV/0!</v>
      </c>
      <c r="L1164" s="20" t="e">
        <f t="shared" ca="1" si="23"/>
        <v>#DIV/0!</v>
      </c>
      <c r="M1164" s="21" t="e">
        <f t="shared" ca="1" si="24"/>
        <v>#DIV/0!</v>
      </c>
      <c r="N1164" s="20" t="str">
        <f ca="1">IFERROR(__xludf.DUMMYFUNCTION("IF(COUNTIFS($C$2:C1164, C1164, $A$2:A1164, ""&lt;="" &amp; A1164) &lt; 30, STDEV.P(FILTER($G$2:G1164, $C$2:C1164 = C1164)), STDEV.P(FILTER($G$2:G1164, $C$2:C1164 = C1164, $A$2:A1164 &gt;= A1164 - 30)))
"),"#DIV/0!")</f>
        <v>#DIV/0!</v>
      </c>
    </row>
    <row r="1165" spans="1:14" x14ac:dyDescent="0.2">
      <c r="A1165" s="41"/>
      <c r="B1165" s="40"/>
      <c r="C1165" s="40"/>
      <c r="D1165" s="31"/>
      <c r="E1165" s="31"/>
      <c r="F1165" s="31"/>
      <c r="G1165" s="19" t="e">
        <f t="shared" si="20"/>
        <v>#DIV/0!</v>
      </c>
      <c r="H1165" s="20" t="str">
        <f ca="1">IFERROR(__xludf.DUMMYFUNCTION("IF(COUNTIFS($C$2:C1165, C1165, $A$2:A1165, ""&lt;="" &amp; A1165) &lt; 30, AVERAGEIF($C$2:C1165, C1165, $G$2:G1165), AVERAGE(FILTER($G$2:G1165, $C$2:C1165 = C1165, $A$2:A1165 &gt;= A1165 - 30)))
"),"#DIV/0!")</f>
        <v>#DIV/0!</v>
      </c>
      <c r="I1165" s="20" t="e">
        <f t="shared" ca="1" si="21"/>
        <v>#DIV/0!</v>
      </c>
      <c r="J1165" s="20" t="str">
        <f ca="1">IFERROR(__xludf.DUMMYFUNCTION("IF(OR($I1165=2, $I1165=3), 0, IFERROR(COUNTIFS($C$2:C1165, $C1165, $A$2:A1165, ""&gt;""&amp;IFERROR(MAX(FILTER($A$2:A1165, $C$2:C1165=$C1165, $I$2:I1165&lt;&gt;1)), 0), $I$2:I1165, 1),1))
"),"#DIV/0!")</f>
        <v>#DIV/0!</v>
      </c>
      <c r="K1165" s="7" t="e">
        <f t="shared" ca="1" si="22"/>
        <v>#DIV/0!</v>
      </c>
      <c r="L1165" s="20" t="e">
        <f t="shared" ca="1" si="23"/>
        <v>#DIV/0!</v>
      </c>
      <c r="M1165" s="21" t="e">
        <f t="shared" ca="1" si="24"/>
        <v>#DIV/0!</v>
      </c>
      <c r="N1165" s="20" t="str">
        <f ca="1">IFERROR(__xludf.DUMMYFUNCTION("IF(COUNTIFS($C$2:C1165, C1165, $A$2:A1165, ""&lt;="" &amp; A1165) &lt; 30, STDEV.P(FILTER($G$2:G1165, $C$2:C1165 = C1165)), STDEV.P(FILTER($G$2:G1165, $C$2:C1165 = C1165, $A$2:A1165 &gt;= A1165 - 30)))
"),"#DIV/0!")</f>
        <v>#DIV/0!</v>
      </c>
    </row>
    <row r="1166" spans="1:14" x14ac:dyDescent="0.2">
      <c r="A1166" s="41"/>
      <c r="B1166" s="40"/>
      <c r="C1166" s="40"/>
      <c r="D1166" s="31"/>
      <c r="E1166" s="31"/>
      <c r="F1166" s="31"/>
      <c r="G1166" s="19" t="e">
        <f t="shared" si="20"/>
        <v>#DIV/0!</v>
      </c>
      <c r="H1166" s="20" t="str">
        <f ca="1">IFERROR(__xludf.DUMMYFUNCTION("IF(COUNTIFS($C$2:C1166, C1166, $A$2:A1166, ""&lt;="" &amp; A1166) &lt; 30, AVERAGEIF($C$2:C1166, C1166, $G$2:G1166), AVERAGE(FILTER($G$2:G1166, $C$2:C1166 = C1166, $A$2:A1166 &gt;= A1166 - 30)))
"),"#DIV/0!")</f>
        <v>#DIV/0!</v>
      </c>
      <c r="I1166" s="20" t="e">
        <f t="shared" ca="1" si="21"/>
        <v>#DIV/0!</v>
      </c>
      <c r="J1166" s="20" t="str">
        <f ca="1">IFERROR(__xludf.DUMMYFUNCTION("IF(OR($I1166=2, $I1166=3), 0, IFERROR(COUNTIFS($C$2:C1166, $C1166, $A$2:A1166, ""&gt;""&amp;IFERROR(MAX(FILTER($A$2:A1166, $C$2:C1166=$C1166, $I$2:I1166&lt;&gt;1)), 0), $I$2:I1166, 1),1))
"),"#DIV/0!")</f>
        <v>#DIV/0!</v>
      </c>
      <c r="K1166" s="7" t="e">
        <f t="shared" ca="1" si="22"/>
        <v>#DIV/0!</v>
      </c>
      <c r="L1166" s="20" t="e">
        <f t="shared" ca="1" si="23"/>
        <v>#DIV/0!</v>
      </c>
      <c r="M1166" s="21" t="e">
        <f t="shared" ca="1" si="24"/>
        <v>#DIV/0!</v>
      </c>
      <c r="N1166" s="20" t="str">
        <f ca="1">IFERROR(__xludf.DUMMYFUNCTION("IF(COUNTIFS($C$2:C1166, C1166, $A$2:A1166, ""&lt;="" &amp; A1166) &lt; 30, STDEV.P(FILTER($G$2:G1166, $C$2:C1166 = C1166)), STDEV.P(FILTER($G$2:G1166, $C$2:C1166 = C1166, $A$2:A1166 &gt;= A1166 - 30)))
"),"#DIV/0!")</f>
        <v>#DIV/0!</v>
      </c>
    </row>
    <row r="1167" spans="1:14" x14ac:dyDescent="0.2">
      <c r="A1167" s="41"/>
      <c r="B1167" s="40"/>
      <c r="C1167" s="40"/>
      <c r="D1167" s="31"/>
      <c r="E1167" s="31"/>
      <c r="F1167" s="31"/>
      <c r="G1167" s="19" t="e">
        <f t="shared" si="20"/>
        <v>#DIV/0!</v>
      </c>
      <c r="H1167" s="20" t="str">
        <f ca="1">IFERROR(__xludf.DUMMYFUNCTION("IF(COUNTIFS($C$2:C1167, C1167, $A$2:A1167, ""&lt;="" &amp; A1167) &lt; 30, AVERAGEIF($C$2:C1167, C1167, $G$2:G1167), AVERAGE(FILTER($G$2:G1167, $C$2:C1167 = C1167, $A$2:A1167 &gt;= A1167 - 30)))
"),"#DIV/0!")</f>
        <v>#DIV/0!</v>
      </c>
      <c r="I1167" s="20" t="e">
        <f t="shared" ca="1" si="21"/>
        <v>#DIV/0!</v>
      </c>
      <c r="J1167" s="20" t="str">
        <f ca="1">IFERROR(__xludf.DUMMYFUNCTION("IF(OR($I1167=2, $I1167=3), 0, IFERROR(COUNTIFS($C$2:C1167, $C1167, $A$2:A1167, ""&gt;""&amp;IFERROR(MAX(FILTER($A$2:A1167, $C$2:C1167=$C1167, $I$2:I1167&lt;&gt;1)), 0), $I$2:I1167, 1),1))
"),"#DIV/0!")</f>
        <v>#DIV/0!</v>
      </c>
      <c r="K1167" s="7" t="e">
        <f t="shared" ca="1" si="22"/>
        <v>#DIV/0!</v>
      </c>
      <c r="L1167" s="20" t="e">
        <f t="shared" ca="1" si="23"/>
        <v>#DIV/0!</v>
      </c>
      <c r="M1167" s="21" t="e">
        <f t="shared" ca="1" si="24"/>
        <v>#DIV/0!</v>
      </c>
      <c r="N1167" s="20" t="str">
        <f ca="1">IFERROR(__xludf.DUMMYFUNCTION("IF(COUNTIFS($C$2:C1167, C1167, $A$2:A1167, ""&lt;="" &amp; A1167) &lt; 30, STDEV.P(FILTER($G$2:G1167, $C$2:C1167 = C1167)), STDEV.P(FILTER($G$2:G1167, $C$2:C1167 = C1167, $A$2:A1167 &gt;= A1167 - 30)))
"),"#DIV/0!")</f>
        <v>#DIV/0!</v>
      </c>
    </row>
    <row r="1168" spans="1:14" x14ac:dyDescent="0.2">
      <c r="A1168" s="41"/>
      <c r="B1168" s="40"/>
      <c r="C1168" s="40"/>
      <c r="D1168" s="31"/>
      <c r="E1168" s="31"/>
      <c r="F1168" s="31"/>
      <c r="G1168" s="19" t="e">
        <f t="shared" si="20"/>
        <v>#DIV/0!</v>
      </c>
      <c r="H1168" s="20" t="str">
        <f ca="1">IFERROR(__xludf.DUMMYFUNCTION("IF(COUNTIFS($C$2:C1168, C1168, $A$2:A1168, ""&lt;="" &amp; A1168) &lt; 30, AVERAGEIF($C$2:C1168, C1168, $G$2:G1168), AVERAGE(FILTER($G$2:G1168, $C$2:C1168 = C1168, $A$2:A1168 &gt;= A1168 - 30)))
"),"#DIV/0!")</f>
        <v>#DIV/0!</v>
      </c>
      <c r="I1168" s="20" t="e">
        <f t="shared" ca="1" si="21"/>
        <v>#DIV/0!</v>
      </c>
      <c r="J1168" s="20" t="str">
        <f ca="1">IFERROR(__xludf.DUMMYFUNCTION("IF(OR($I1168=2, $I1168=3), 0, IFERROR(COUNTIFS($C$2:C1168, $C1168, $A$2:A1168, ""&gt;""&amp;IFERROR(MAX(FILTER($A$2:A1168, $C$2:C1168=$C1168, $I$2:I1168&lt;&gt;1)), 0), $I$2:I1168, 1),1))
"),"#DIV/0!")</f>
        <v>#DIV/0!</v>
      </c>
      <c r="K1168" s="7" t="e">
        <f t="shared" ca="1" si="22"/>
        <v>#DIV/0!</v>
      </c>
      <c r="L1168" s="20" t="e">
        <f t="shared" ca="1" si="23"/>
        <v>#DIV/0!</v>
      </c>
      <c r="M1168" s="21" t="e">
        <f t="shared" ca="1" si="24"/>
        <v>#DIV/0!</v>
      </c>
      <c r="N1168" s="20" t="str">
        <f ca="1">IFERROR(__xludf.DUMMYFUNCTION("IF(COUNTIFS($C$2:C1168, C1168, $A$2:A1168, ""&lt;="" &amp; A1168) &lt; 30, STDEV.P(FILTER($G$2:G1168, $C$2:C1168 = C1168)), STDEV.P(FILTER($G$2:G1168, $C$2:C1168 = C1168, $A$2:A1168 &gt;= A1168 - 30)))
"),"#DIV/0!")</f>
        <v>#DIV/0!</v>
      </c>
    </row>
    <row r="1169" spans="1:14" x14ac:dyDescent="0.2">
      <c r="A1169" s="41"/>
      <c r="B1169" s="40"/>
      <c r="C1169" s="40"/>
      <c r="D1169" s="31"/>
      <c r="E1169" s="31"/>
      <c r="F1169" s="31"/>
      <c r="G1169" s="19" t="e">
        <f t="shared" si="20"/>
        <v>#DIV/0!</v>
      </c>
      <c r="H1169" s="20" t="str">
        <f ca="1">IFERROR(__xludf.DUMMYFUNCTION("IF(COUNTIFS($C$2:C1169, C1169, $A$2:A1169, ""&lt;="" &amp; A1169) &lt; 30, AVERAGEIF($C$2:C1169, C1169, $G$2:G1169), AVERAGE(FILTER($G$2:G1169, $C$2:C1169 = C1169, $A$2:A1169 &gt;= A1169 - 30)))
"),"#DIV/0!")</f>
        <v>#DIV/0!</v>
      </c>
      <c r="I1169" s="20" t="e">
        <f t="shared" ca="1" si="21"/>
        <v>#DIV/0!</v>
      </c>
      <c r="J1169" s="20" t="str">
        <f ca="1">IFERROR(__xludf.DUMMYFUNCTION("IF(OR($I1169=2, $I1169=3), 0, IFERROR(COUNTIFS($C$2:C1169, $C1169, $A$2:A1169, ""&gt;""&amp;IFERROR(MAX(FILTER($A$2:A1169, $C$2:C1169=$C1169, $I$2:I1169&lt;&gt;1)), 0), $I$2:I1169, 1),1))
"),"#DIV/0!")</f>
        <v>#DIV/0!</v>
      </c>
      <c r="K1169" s="7" t="e">
        <f t="shared" ca="1" si="22"/>
        <v>#DIV/0!</v>
      </c>
      <c r="L1169" s="20" t="e">
        <f t="shared" ca="1" si="23"/>
        <v>#DIV/0!</v>
      </c>
      <c r="M1169" s="21" t="e">
        <f t="shared" ca="1" si="24"/>
        <v>#DIV/0!</v>
      </c>
      <c r="N1169" s="20" t="str">
        <f ca="1">IFERROR(__xludf.DUMMYFUNCTION("IF(COUNTIFS($C$2:C1169, C1169, $A$2:A1169, ""&lt;="" &amp; A1169) &lt; 30, STDEV.P(FILTER($G$2:G1169, $C$2:C1169 = C1169)), STDEV.P(FILTER($G$2:G1169, $C$2:C1169 = C1169, $A$2:A1169 &gt;= A1169 - 30)))
"),"#DIV/0!")</f>
        <v>#DIV/0!</v>
      </c>
    </row>
    <row r="1170" spans="1:14" x14ac:dyDescent="0.2">
      <c r="A1170" s="41"/>
      <c r="B1170" s="40"/>
      <c r="C1170" s="40"/>
      <c r="D1170" s="31"/>
      <c r="E1170" s="31"/>
      <c r="F1170" s="31"/>
      <c r="G1170" s="19" t="e">
        <f t="shared" si="20"/>
        <v>#DIV/0!</v>
      </c>
      <c r="H1170" s="20" t="str">
        <f ca="1">IFERROR(__xludf.DUMMYFUNCTION("IF(COUNTIFS($C$2:C1170, C1170, $A$2:A1170, ""&lt;="" &amp; A1170) &lt; 30, AVERAGEIF($C$2:C1170, C1170, $G$2:G1170), AVERAGE(FILTER($G$2:G1170, $C$2:C1170 = C1170, $A$2:A1170 &gt;= A1170 - 30)))
"),"#DIV/0!")</f>
        <v>#DIV/0!</v>
      </c>
      <c r="I1170" s="20" t="e">
        <f t="shared" ca="1" si="21"/>
        <v>#DIV/0!</v>
      </c>
      <c r="J1170" s="20" t="str">
        <f ca="1">IFERROR(__xludf.DUMMYFUNCTION("IF(OR($I1170=2, $I1170=3), 0, IFERROR(COUNTIFS($C$2:C1170, $C1170, $A$2:A1170, ""&gt;""&amp;IFERROR(MAX(FILTER($A$2:A1170, $C$2:C1170=$C1170, $I$2:I1170&lt;&gt;1)), 0), $I$2:I1170, 1),1))
"),"#DIV/0!")</f>
        <v>#DIV/0!</v>
      </c>
      <c r="K1170" s="7" t="e">
        <f t="shared" ca="1" si="22"/>
        <v>#DIV/0!</v>
      </c>
      <c r="L1170" s="20" t="e">
        <f t="shared" ca="1" si="23"/>
        <v>#DIV/0!</v>
      </c>
      <c r="M1170" s="21" t="e">
        <f t="shared" ca="1" si="24"/>
        <v>#DIV/0!</v>
      </c>
      <c r="N1170" s="20" t="str">
        <f ca="1">IFERROR(__xludf.DUMMYFUNCTION("IF(COUNTIFS($C$2:C1170, C1170, $A$2:A1170, ""&lt;="" &amp; A1170) &lt; 30, STDEV.P(FILTER($G$2:G1170, $C$2:C1170 = C1170)), STDEV.P(FILTER($G$2:G1170, $C$2:C1170 = C1170, $A$2:A1170 &gt;= A1170 - 30)))
"),"#DIV/0!")</f>
        <v>#DIV/0!</v>
      </c>
    </row>
    <row r="1171" spans="1:14" x14ac:dyDescent="0.2">
      <c r="A1171" s="41"/>
      <c r="B1171" s="40"/>
      <c r="C1171" s="40"/>
      <c r="D1171" s="31"/>
      <c r="E1171" s="31"/>
      <c r="F1171" s="31"/>
      <c r="G1171" s="19" t="e">
        <f t="shared" si="20"/>
        <v>#DIV/0!</v>
      </c>
      <c r="H1171" s="20" t="str">
        <f ca="1">IFERROR(__xludf.DUMMYFUNCTION("IF(COUNTIFS($C$2:C1171, C1171, $A$2:A1171, ""&lt;="" &amp; A1171) &lt; 30, AVERAGEIF($C$2:C1171, C1171, $G$2:G1171), AVERAGE(FILTER($G$2:G1171, $C$2:C1171 = C1171, $A$2:A1171 &gt;= A1171 - 30)))
"),"#DIV/0!")</f>
        <v>#DIV/0!</v>
      </c>
      <c r="I1171" s="20" t="e">
        <f t="shared" ca="1" si="21"/>
        <v>#DIV/0!</v>
      </c>
      <c r="J1171" s="20" t="str">
        <f ca="1">IFERROR(__xludf.DUMMYFUNCTION("IF(OR($I1171=2, $I1171=3), 0, IFERROR(COUNTIFS($C$2:C1171, $C1171, $A$2:A1171, ""&gt;""&amp;IFERROR(MAX(FILTER($A$2:A1171, $C$2:C1171=$C1171, $I$2:I1171&lt;&gt;1)), 0), $I$2:I1171, 1),1))
"),"#DIV/0!")</f>
        <v>#DIV/0!</v>
      </c>
      <c r="K1171" s="7" t="e">
        <f t="shared" ca="1" si="22"/>
        <v>#DIV/0!</v>
      </c>
      <c r="L1171" s="20" t="e">
        <f t="shared" ca="1" si="23"/>
        <v>#DIV/0!</v>
      </c>
      <c r="M1171" s="21" t="e">
        <f t="shared" ca="1" si="24"/>
        <v>#DIV/0!</v>
      </c>
      <c r="N1171" s="20" t="str">
        <f ca="1">IFERROR(__xludf.DUMMYFUNCTION("IF(COUNTIFS($C$2:C1171, C1171, $A$2:A1171, ""&lt;="" &amp; A1171) &lt; 30, STDEV.P(FILTER($G$2:G1171, $C$2:C1171 = C1171)), STDEV.P(FILTER($G$2:G1171, $C$2:C1171 = C1171, $A$2:A1171 &gt;= A1171 - 30)))
"),"#DIV/0!")</f>
        <v>#DIV/0!</v>
      </c>
    </row>
    <row r="1172" spans="1:14" x14ac:dyDescent="0.2">
      <c r="A1172" s="41"/>
      <c r="B1172" s="40"/>
      <c r="C1172" s="40"/>
      <c r="D1172" s="31"/>
      <c r="E1172" s="31"/>
      <c r="F1172" s="31"/>
      <c r="G1172" s="19" t="e">
        <f t="shared" si="20"/>
        <v>#DIV/0!</v>
      </c>
      <c r="H1172" s="20" t="str">
        <f ca="1">IFERROR(__xludf.DUMMYFUNCTION("IF(COUNTIFS($C$2:C1172, C1172, $A$2:A1172, ""&lt;="" &amp; A1172) &lt; 30, AVERAGEIF($C$2:C1172, C1172, $G$2:G1172), AVERAGE(FILTER($G$2:G1172, $C$2:C1172 = C1172, $A$2:A1172 &gt;= A1172 - 30)))
"),"#DIV/0!")</f>
        <v>#DIV/0!</v>
      </c>
      <c r="I1172" s="20" t="e">
        <f t="shared" ca="1" si="21"/>
        <v>#DIV/0!</v>
      </c>
      <c r="J1172" s="20" t="str">
        <f ca="1">IFERROR(__xludf.DUMMYFUNCTION("IF(OR($I1172=2, $I1172=3), 0, IFERROR(COUNTIFS($C$2:C1172, $C1172, $A$2:A1172, ""&gt;""&amp;IFERROR(MAX(FILTER($A$2:A1172, $C$2:C1172=$C1172, $I$2:I1172&lt;&gt;1)), 0), $I$2:I1172, 1),1))
"),"#DIV/0!")</f>
        <v>#DIV/0!</v>
      </c>
      <c r="K1172" s="7" t="e">
        <f t="shared" ca="1" si="22"/>
        <v>#DIV/0!</v>
      </c>
      <c r="L1172" s="20" t="e">
        <f t="shared" ca="1" si="23"/>
        <v>#DIV/0!</v>
      </c>
      <c r="M1172" s="21" t="e">
        <f t="shared" ca="1" si="24"/>
        <v>#DIV/0!</v>
      </c>
      <c r="N1172" s="20" t="str">
        <f ca="1">IFERROR(__xludf.DUMMYFUNCTION("IF(COUNTIFS($C$2:C1172, C1172, $A$2:A1172, ""&lt;="" &amp; A1172) &lt; 30, STDEV.P(FILTER($G$2:G1172, $C$2:C1172 = C1172)), STDEV.P(FILTER($G$2:G1172, $C$2:C1172 = C1172, $A$2:A1172 &gt;= A1172 - 30)))
"),"#DIV/0!")</f>
        <v>#DIV/0!</v>
      </c>
    </row>
    <row r="1173" spans="1:14" x14ac:dyDescent="0.2">
      <c r="A1173" s="41"/>
      <c r="B1173" s="40"/>
      <c r="C1173" s="40"/>
      <c r="D1173" s="31"/>
      <c r="E1173" s="31"/>
      <c r="F1173" s="31"/>
      <c r="G1173" s="19" t="e">
        <f t="shared" si="20"/>
        <v>#DIV/0!</v>
      </c>
      <c r="H1173" s="20" t="str">
        <f ca="1">IFERROR(__xludf.DUMMYFUNCTION("IF(COUNTIFS($C$2:C1173, C1173, $A$2:A1173, ""&lt;="" &amp; A1173) &lt; 30, AVERAGEIF($C$2:C1173, C1173, $G$2:G1173), AVERAGE(FILTER($G$2:G1173, $C$2:C1173 = C1173, $A$2:A1173 &gt;= A1173 - 30)))
"),"#DIV/0!")</f>
        <v>#DIV/0!</v>
      </c>
      <c r="I1173" s="20" t="e">
        <f t="shared" ca="1" si="21"/>
        <v>#DIV/0!</v>
      </c>
      <c r="J1173" s="20" t="str">
        <f ca="1">IFERROR(__xludf.DUMMYFUNCTION("IF(OR($I1173=2, $I1173=3), 0, IFERROR(COUNTIFS($C$2:C1173, $C1173, $A$2:A1173, ""&gt;""&amp;IFERROR(MAX(FILTER($A$2:A1173, $C$2:C1173=$C1173, $I$2:I1173&lt;&gt;1)), 0), $I$2:I1173, 1),1))
"),"#DIV/0!")</f>
        <v>#DIV/0!</v>
      </c>
      <c r="K1173" s="7" t="e">
        <f t="shared" ca="1" si="22"/>
        <v>#DIV/0!</v>
      </c>
      <c r="L1173" s="20" t="e">
        <f t="shared" ca="1" si="23"/>
        <v>#DIV/0!</v>
      </c>
      <c r="M1173" s="21" t="e">
        <f t="shared" ca="1" si="24"/>
        <v>#DIV/0!</v>
      </c>
      <c r="N1173" s="20" t="str">
        <f ca="1">IFERROR(__xludf.DUMMYFUNCTION("IF(COUNTIFS($C$2:C1173, C1173, $A$2:A1173, ""&lt;="" &amp; A1173) &lt; 30, STDEV.P(FILTER($G$2:G1173, $C$2:C1173 = C1173)), STDEV.P(FILTER($G$2:G1173, $C$2:C1173 = C1173, $A$2:A1173 &gt;= A1173 - 30)))
"),"#DIV/0!")</f>
        <v>#DIV/0!</v>
      </c>
    </row>
    <row r="1174" spans="1:14" x14ac:dyDescent="0.2">
      <c r="A1174" s="41"/>
      <c r="B1174" s="40"/>
      <c r="C1174" s="40"/>
      <c r="D1174" s="31"/>
      <c r="E1174" s="31"/>
      <c r="F1174" s="31"/>
      <c r="G1174" s="19" t="e">
        <f t="shared" si="20"/>
        <v>#DIV/0!</v>
      </c>
      <c r="H1174" s="20" t="str">
        <f ca="1">IFERROR(__xludf.DUMMYFUNCTION("IF(COUNTIFS($C$2:C1174, C1174, $A$2:A1174, ""&lt;="" &amp; A1174) &lt; 30, AVERAGEIF($C$2:C1174, C1174, $G$2:G1174), AVERAGE(FILTER($G$2:G1174, $C$2:C1174 = C1174, $A$2:A1174 &gt;= A1174 - 30)))
"),"#DIV/0!")</f>
        <v>#DIV/0!</v>
      </c>
      <c r="I1174" s="20" t="e">
        <f t="shared" ca="1" si="21"/>
        <v>#DIV/0!</v>
      </c>
      <c r="J1174" s="20" t="str">
        <f ca="1">IFERROR(__xludf.DUMMYFUNCTION("IF(OR($I1174=2, $I1174=3), 0, IFERROR(COUNTIFS($C$2:C1174, $C1174, $A$2:A1174, ""&gt;""&amp;IFERROR(MAX(FILTER($A$2:A1174, $C$2:C1174=$C1174, $I$2:I1174&lt;&gt;1)), 0), $I$2:I1174, 1),1))
"),"#DIV/0!")</f>
        <v>#DIV/0!</v>
      </c>
      <c r="K1174" s="7" t="e">
        <f t="shared" ca="1" si="22"/>
        <v>#DIV/0!</v>
      </c>
      <c r="L1174" s="20" t="e">
        <f t="shared" ca="1" si="23"/>
        <v>#DIV/0!</v>
      </c>
      <c r="M1174" s="21" t="e">
        <f t="shared" ca="1" si="24"/>
        <v>#DIV/0!</v>
      </c>
      <c r="N1174" s="20" t="str">
        <f ca="1">IFERROR(__xludf.DUMMYFUNCTION("IF(COUNTIFS($C$2:C1174, C1174, $A$2:A1174, ""&lt;="" &amp; A1174) &lt; 30, STDEV.P(FILTER($G$2:G1174, $C$2:C1174 = C1174)), STDEV.P(FILTER($G$2:G1174, $C$2:C1174 = C1174, $A$2:A1174 &gt;= A1174 - 30)))
"),"#DIV/0!")</f>
        <v>#DIV/0!</v>
      </c>
    </row>
    <row r="1175" spans="1:14" x14ac:dyDescent="0.2">
      <c r="A1175" s="41"/>
      <c r="B1175" s="40"/>
      <c r="C1175" s="40"/>
      <c r="D1175" s="31"/>
      <c r="E1175" s="31"/>
      <c r="F1175" s="31"/>
      <c r="G1175" s="19" t="e">
        <f t="shared" si="20"/>
        <v>#DIV/0!</v>
      </c>
      <c r="H1175" s="20" t="str">
        <f ca="1">IFERROR(__xludf.DUMMYFUNCTION("IF(COUNTIFS($C$2:C1175, C1175, $A$2:A1175, ""&lt;="" &amp; A1175) &lt; 30, AVERAGEIF($C$2:C1175, C1175, $G$2:G1175), AVERAGE(FILTER($G$2:G1175, $C$2:C1175 = C1175, $A$2:A1175 &gt;= A1175 - 30)))
"),"#DIV/0!")</f>
        <v>#DIV/0!</v>
      </c>
      <c r="I1175" s="20" t="e">
        <f t="shared" ca="1" si="21"/>
        <v>#DIV/0!</v>
      </c>
      <c r="J1175" s="20" t="str">
        <f ca="1">IFERROR(__xludf.DUMMYFUNCTION("IF(OR($I1175=2, $I1175=3), 0, IFERROR(COUNTIFS($C$2:C1175, $C1175, $A$2:A1175, ""&gt;""&amp;IFERROR(MAX(FILTER($A$2:A1175, $C$2:C1175=$C1175, $I$2:I1175&lt;&gt;1)), 0), $I$2:I1175, 1),1))
"),"#DIV/0!")</f>
        <v>#DIV/0!</v>
      </c>
      <c r="K1175" s="7" t="e">
        <f t="shared" ca="1" si="22"/>
        <v>#DIV/0!</v>
      </c>
      <c r="L1175" s="20" t="e">
        <f t="shared" ca="1" si="23"/>
        <v>#DIV/0!</v>
      </c>
      <c r="M1175" s="21" t="e">
        <f t="shared" ca="1" si="24"/>
        <v>#DIV/0!</v>
      </c>
      <c r="N1175" s="20" t="str">
        <f ca="1">IFERROR(__xludf.DUMMYFUNCTION("IF(COUNTIFS($C$2:C1175, C1175, $A$2:A1175, ""&lt;="" &amp; A1175) &lt; 30, STDEV.P(FILTER($G$2:G1175, $C$2:C1175 = C1175)), STDEV.P(FILTER($G$2:G1175, $C$2:C1175 = C1175, $A$2:A1175 &gt;= A1175 - 30)))
"),"#DIV/0!")</f>
        <v>#DIV/0!</v>
      </c>
    </row>
    <row r="1176" spans="1:14" x14ac:dyDescent="0.2">
      <c r="A1176" s="41"/>
      <c r="B1176" s="40"/>
      <c r="C1176" s="40"/>
      <c r="D1176" s="31"/>
      <c r="E1176" s="31"/>
      <c r="F1176" s="31"/>
      <c r="G1176" s="19" t="e">
        <f t="shared" si="20"/>
        <v>#DIV/0!</v>
      </c>
      <c r="H1176" s="20" t="str">
        <f ca="1">IFERROR(__xludf.DUMMYFUNCTION("IF(COUNTIFS($C$2:C1176, C1176, $A$2:A1176, ""&lt;="" &amp; A1176) &lt; 30, AVERAGEIF($C$2:C1176, C1176, $G$2:G1176), AVERAGE(FILTER($G$2:G1176, $C$2:C1176 = C1176, $A$2:A1176 &gt;= A1176 - 30)))
"),"#DIV/0!")</f>
        <v>#DIV/0!</v>
      </c>
      <c r="I1176" s="20" t="e">
        <f t="shared" ca="1" si="21"/>
        <v>#DIV/0!</v>
      </c>
      <c r="J1176" s="20" t="str">
        <f ca="1">IFERROR(__xludf.DUMMYFUNCTION("IF(OR($I1176=2, $I1176=3), 0, IFERROR(COUNTIFS($C$2:C1176, $C1176, $A$2:A1176, ""&gt;""&amp;IFERROR(MAX(FILTER($A$2:A1176, $C$2:C1176=$C1176, $I$2:I1176&lt;&gt;1)), 0), $I$2:I1176, 1),1))
"),"#DIV/0!")</f>
        <v>#DIV/0!</v>
      </c>
      <c r="K1176" s="7" t="e">
        <f t="shared" ca="1" si="22"/>
        <v>#DIV/0!</v>
      </c>
      <c r="L1176" s="20" t="e">
        <f t="shared" ca="1" si="23"/>
        <v>#DIV/0!</v>
      </c>
      <c r="M1176" s="21" t="e">
        <f t="shared" ca="1" si="24"/>
        <v>#DIV/0!</v>
      </c>
      <c r="N1176" s="20" t="str">
        <f ca="1">IFERROR(__xludf.DUMMYFUNCTION("IF(COUNTIFS($C$2:C1176, C1176, $A$2:A1176, ""&lt;="" &amp; A1176) &lt; 30, STDEV.P(FILTER($G$2:G1176, $C$2:C1176 = C1176)), STDEV.P(FILTER($G$2:G1176, $C$2:C1176 = C1176, $A$2:A1176 &gt;= A1176 - 30)))
"),"#DIV/0!")</f>
        <v>#DIV/0!</v>
      </c>
    </row>
    <row r="1177" spans="1:14" x14ac:dyDescent="0.2">
      <c r="A1177" s="41"/>
      <c r="B1177" s="40"/>
      <c r="C1177" s="40"/>
      <c r="D1177" s="31"/>
      <c r="E1177" s="31"/>
      <c r="F1177" s="31"/>
      <c r="G1177" s="19" t="e">
        <f t="shared" si="20"/>
        <v>#DIV/0!</v>
      </c>
      <c r="H1177" s="20" t="str">
        <f ca="1">IFERROR(__xludf.DUMMYFUNCTION("IF(COUNTIFS($C$2:C1177, C1177, $A$2:A1177, ""&lt;="" &amp; A1177) &lt; 30, AVERAGEIF($C$2:C1177, C1177, $G$2:G1177), AVERAGE(FILTER($G$2:G1177, $C$2:C1177 = C1177, $A$2:A1177 &gt;= A1177 - 30)))
"),"#DIV/0!")</f>
        <v>#DIV/0!</v>
      </c>
      <c r="I1177" s="20" t="e">
        <f t="shared" ca="1" si="21"/>
        <v>#DIV/0!</v>
      </c>
      <c r="J1177" s="20" t="str">
        <f ca="1">IFERROR(__xludf.DUMMYFUNCTION("IF(OR($I1177=2, $I1177=3), 0, IFERROR(COUNTIFS($C$2:C1177, $C1177, $A$2:A1177, ""&gt;""&amp;IFERROR(MAX(FILTER($A$2:A1177, $C$2:C1177=$C1177, $I$2:I1177&lt;&gt;1)), 0), $I$2:I1177, 1),1))
"),"#DIV/0!")</f>
        <v>#DIV/0!</v>
      </c>
      <c r="K1177" s="7" t="e">
        <f t="shared" ca="1" si="22"/>
        <v>#DIV/0!</v>
      </c>
      <c r="L1177" s="20" t="e">
        <f t="shared" ca="1" si="23"/>
        <v>#DIV/0!</v>
      </c>
      <c r="M1177" s="21" t="e">
        <f t="shared" ca="1" si="24"/>
        <v>#DIV/0!</v>
      </c>
      <c r="N1177" s="20" t="str">
        <f ca="1">IFERROR(__xludf.DUMMYFUNCTION("IF(COUNTIFS($C$2:C1177, C1177, $A$2:A1177, ""&lt;="" &amp; A1177) &lt; 30, STDEV.P(FILTER($G$2:G1177, $C$2:C1177 = C1177)), STDEV.P(FILTER($G$2:G1177, $C$2:C1177 = C1177, $A$2:A1177 &gt;= A1177 - 30)))
"),"#DIV/0!")</f>
        <v>#DIV/0!</v>
      </c>
    </row>
    <row r="1178" spans="1:14" x14ac:dyDescent="0.2">
      <c r="A1178" s="41"/>
      <c r="B1178" s="40"/>
      <c r="C1178" s="40"/>
      <c r="D1178" s="31"/>
      <c r="E1178" s="31"/>
      <c r="F1178" s="31"/>
      <c r="G1178" s="19" t="e">
        <f t="shared" si="20"/>
        <v>#DIV/0!</v>
      </c>
      <c r="H1178" s="20" t="str">
        <f ca="1">IFERROR(__xludf.DUMMYFUNCTION("IF(COUNTIFS($C$2:C1178, C1178, $A$2:A1178, ""&lt;="" &amp; A1178) &lt; 30, AVERAGEIF($C$2:C1178, C1178, $G$2:G1178), AVERAGE(FILTER($G$2:G1178, $C$2:C1178 = C1178, $A$2:A1178 &gt;= A1178 - 30)))
"),"#DIV/0!")</f>
        <v>#DIV/0!</v>
      </c>
      <c r="I1178" s="20" t="e">
        <f t="shared" ca="1" si="21"/>
        <v>#DIV/0!</v>
      </c>
      <c r="J1178" s="20" t="str">
        <f ca="1">IFERROR(__xludf.DUMMYFUNCTION("IF(OR($I1178=2, $I1178=3), 0, IFERROR(COUNTIFS($C$2:C1178, $C1178, $A$2:A1178, ""&gt;""&amp;IFERROR(MAX(FILTER($A$2:A1178, $C$2:C1178=$C1178, $I$2:I1178&lt;&gt;1)), 0), $I$2:I1178, 1),1))
"),"#DIV/0!")</f>
        <v>#DIV/0!</v>
      </c>
      <c r="K1178" s="7" t="e">
        <f t="shared" ca="1" si="22"/>
        <v>#DIV/0!</v>
      </c>
      <c r="L1178" s="20" t="e">
        <f t="shared" ca="1" si="23"/>
        <v>#DIV/0!</v>
      </c>
      <c r="M1178" s="21" t="e">
        <f t="shared" ca="1" si="24"/>
        <v>#DIV/0!</v>
      </c>
      <c r="N1178" s="20" t="str">
        <f ca="1">IFERROR(__xludf.DUMMYFUNCTION("IF(COUNTIFS($C$2:C1178, C1178, $A$2:A1178, ""&lt;="" &amp; A1178) &lt; 30, STDEV.P(FILTER($G$2:G1178, $C$2:C1178 = C1178)), STDEV.P(FILTER($G$2:G1178, $C$2:C1178 = C1178, $A$2:A1178 &gt;= A1178 - 30)))
"),"#DIV/0!")</f>
        <v>#DIV/0!</v>
      </c>
    </row>
    <row r="1179" spans="1:14" x14ac:dyDescent="0.2">
      <c r="A1179" s="41"/>
      <c r="B1179" s="40"/>
      <c r="C1179" s="40"/>
      <c r="D1179" s="31"/>
      <c r="E1179" s="31"/>
      <c r="F1179" s="31"/>
      <c r="G1179" s="19" t="e">
        <f t="shared" si="20"/>
        <v>#DIV/0!</v>
      </c>
      <c r="H1179" s="20" t="str">
        <f ca="1">IFERROR(__xludf.DUMMYFUNCTION("IF(COUNTIFS($C$2:C1179, C1179, $A$2:A1179, ""&lt;="" &amp; A1179) &lt; 30, AVERAGEIF($C$2:C1179, C1179, $G$2:G1179), AVERAGE(FILTER($G$2:G1179, $C$2:C1179 = C1179, $A$2:A1179 &gt;= A1179 - 30)))
"),"#DIV/0!")</f>
        <v>#DIV/0!</v>
      </c>
      <c r="I1179" s="20" t="e">
        <f t="shared" ca="1" si="21"/>
        <v>#DIV/0!</v>
      </c>
      <c r="J1179" s="20" t="str">
        <f ca="1">IFERROR(__xludf.DUMMYFUNCTION("IF(OR($I1179=2, $I1179=3), 0, IFERROR(COUNTIFS($C$2:C1179, $C1179, $A$2:A1179, ""&gt;""&amp;IFERROR(MAX(FILTER($A$2:A1179, $C$2:C1179=$C1179, $I$2:I1179&lt;&gt;1)), 0), $I$2:I1179, 1),1))
"),"#DIV/0!")</f>
        <v>#DIV/0!</v>
      </c>
      <c r="K1179" s="7" t="e">
        <f t="shared" ca="1" si="22"/>
        <v>#DIV/0!</v>
      </c>
      <c r="L1179" s="20" t="e">
        <f t="shared" ca="1" si="23"/>
        <v>#DIV/0!</v>
      </c>
      <c r="M1179" s="21" t="e">
        <f t="shared" ca="1" si="24"/>
        <v>#DIV/0!</v>
      </c>
      <c r="N1179" s="20" t="str">
        <f ca="1">IFERROR(__xludf.DUMMYFUNCTION("IF(COUNTIFS($C$2:C1179, C1179, $A$2:A1179, ""&lt;="" &amp; A1179) &lt; 30, STDEV.P(FILTER($G$2:G1179, $C$2:C1179 = C1179)), STDEV.P(FILTER($G$2:G1179, $C$2:C1179 = C1179, $A$2:A1179 &gt;= A1179 - 30)))
"),"#DIV/0!")</f>
        <v>#DIV/0!</v>
      </c>
    </row>
    <row r="1180" spans="1:14" x14ac:dyDescent="0.2">
      <c r="A1180" s="41"/>
      <c r="B1180" s="40"/>
      <c r="C1180" s="40"/>
      <c r="D1180" s="31"/>
      <c r="E1180" s="31"/>
      <c r="F1180" s="31"/>
      <c r="G1180" s="19" t="e">
        <f t="shared" si="20"/>
        <v>#DIV/0!</v>
      </c>
      <c r="H1180" s="20" t="str">
        <f ca="1">IFERROR(__xludf.DUMMYFUNCTION("IF(COUNTIFS($C$2:C1180, C1180, $A$2:A1180, ""&lt;="" &amp; A1180) &lt; 30, AVERAGEIF($C$2:C1180, C1180, $G$2:G1180), AVERAGE(FILTER($G$2:G1180, $C$2:C1180 = C1180, $A$2:A1180 &gt;= A1180 - 30)))
"),"#DIV/0!")</f>
        <v>#DIV/0!</v>
      </c>
      <c r="I1180" s="20" t="e">
        <f t="shared" ca="1" si="21"/>
        <v>#DIV/0!</v>
      </c>
      <c r="J1180" s="20" t="str">
        <f ca="1">IFERROR(__xludf.DUMMYFUNCTION("IF(OR($I1180=2, $I1180=3), 0, IFERROR(COUNTIFS($C$2:C1180, $C1180, $A$2:A1180, ""&gt;""&amp;IFERROR(MAX(FILTER($A$2:A1180, $C$2:C1180=$C1180, $I$2:I1180&lt;&gt;1)), 0), $I$2:I1180, 1),1))
"),"#DIV/0!")</f>
        <v>#DIV/0!</v>
      </c>
      <c r="K1180" s="7" t="e">
        <f t="shared" ca="1" si="22"/>
        <v>#DIV/0!</v>
      </c>
      <c r="L1180" s="20" t="e">
        <f t="shared" ca="1" si="23"/>
        <v>#DIV/0!</v>
      </c>
      <c r="M1180" s="21" t="e">
        <f t="shared" ca="1" si="24"/>
        <v>#DIV/0!</v>
      </c>
      <c r="N1180" s="20" t="str">
        <f ca="1">IFERROR(__xludf.DUMMYFUNCTION("IF(COUNTIFS($C$2:C1180, C1180, $A$2:A1180, ""&lt;="" &amp; A1180) &lt; 30, STDEV.P(FILTER($G$2:G1180, $C$2:C1180 = C1180)), STDEV.P(FILTER($G$2:G1180, $C$2:C1180 = C1180, $A$2:A1180 &gt;= A1180 - 30)))
"),"#DIV/0!")</f>
        <v>#DIV/0!</v>
      </c>
    </row>
    <row r="1181" spans="1:14" x14ac:dyDescent="0.2">
      <c r="A1181" s="41"/>
      <c r="B1181" s="40"/>
      <c r="C1181" s="40"/>
      <c r="D1181" s="31"/>
      <c r="E1181" s="31"/>
      <c r="F1181" s="31"/>
      <c r="G1181" s="19" t="e">
        <f t="shared" si="20"/>
        <v>#DIV/0!</v>
      </c>
      <c r="H1181" s="20" t="str">
        <f ca="1">IFERROR(__xludf.DUMMYFUNCTION("IF(COUNTIFS($C$2:C1181, C1181, $A$2:A1181, ""&lt;="" &amp; A1181) &lt; 30, AVERAGEIF($C$2:C1181, C1181, $G$2:G1181), AVERAGE(FILTER($G$2:G1181, $C$2:C1181 = C1181, $A$2:A1181 &gt;= A1181 - 30)))
"),"#DIV/0!")</f>
        <v>#DIV/0!</v>
      </c>
      <c r="I1181" s="20" t="e">
        <f t="shared" ca="1" si="21"/>
        <v>#DIV/0!</v>
      </c>
      <c r="J1181" s="20" t="str">
        <f ca="1">IFERROR(__xludf.DUMMYFUNCTION("IF(OR($I1181=2, $I1181=3), 0, IFERROR(COUNTIFS($C$2:C1181, $C1181, $A$2:A1181, ""&gt;""&amp;IFERROR(MAX(FILTER($A$2:A1181, $C$2:C1181=$C1181, $I$2:I1181&lt;&gt;1)), 0), $I$2:I1181, 1),1))
"),"#DIV/0!")</f>
        <v>#DIV/0!</v>
      </c>
      <c r="K1181" s="7" t="e">
        <f t="shared" ca="1" si="22"/>
        <v>#DIV/0!</v>
      </c>
      <c r="L1181" s="20" t="e">
        <f t="shared" ca="1" si="23"/>
        <v>#DIV/0!</v>
      </c>
      <c r="M1181" s="21" t="e">
        <f t="shared" ca="1" si="24"/>
        <v>#DIV/0!</v>
      </c>
      <c r="N1181" s="20" t="str">
        <f ca="1">IFERROR(__xludf.DUMMYFUNCTION("IF(COUNTIFS($C$2:C1181, C1181, $A$2:A1181, ""&lt;="" &amp; A1181) &lt; 30, STDEV.P(FILTER($G$2:G1181, $C$2:C1181 = C1181)), STDEV.P(FILTER($G$2:G1181, $C$2:C1181 = C1181, $A$2:A1181 &gt;= A1181 - 30)))
"),"#DIV/0!")</f>
        <v>#DIV/0!</v>
      </c>
    </row>
    <row r="1182" spans="1:14" x14ac:dyDescent="0.2">
      <c r="A1182" s="41"/>
      <c r="B1182" s="40"/>
      <c r="C1182" s="40"/>
      <c r="D1182" s="31"/>
      <c r="E1182" s="31"/>
      <c r="F1182" s="31"/>
      <c r="G1182" s="19" t="e">
        <f t="shared" si="20"/>
        <v>#DIV/0!</v>
      </c>
      <c r="H1182" s="20" t="str">
        <f ca="1">IFERROR(__xludf.DUMMYFUNCTION("IF(COUNTIFS($C$2:C1182, C1182, $A$2:A1182, ""&lt;="" &amp; A1182) &lt; 30, AVERAGEIF($C$2:C1182, C1182, $G$2:G1182), AVERAGE(FILTER($G$2:G1182, $C$2:C1182 = C1182, $A$2:A1182 &gt;= A1182 - 30)))
"),"#DIV/0!")</f>
        <v>#DIV/0!</v>
      </c>
      <c r="I1182" s="20" t="e">
        <f t="shared" ca="1" si="21"/>
        <v>#DIV/0!</v>
      </c>
      <c r="J1182" s="20" t="str">
        <f ca="1">IFERROR(__xludf.DUMMYFUNCTION("IF(OR($I1182=2, $I1182=3), 0, IFERROR(COUNTIFS($C$2:C1182, $C1182, $A$2:A1182, ""&gt;""&amp;IFERROR(MAX(FILTER($A$2:A1182, $C$2:C1182=$C1182, $I$2:I1182&lt;&gt;1)), 0), $I$2:I1182, 1),1))
"),"#DIV/0!")</f>
        <v>#DIV/0!</v>
      </c>
      <c r="K1182" s="7" t="e">
        <f t="shared" ca="1" si="22"/>
        <v>#DIV/0!</v>
      </c>
      <c r="L1182" s="20" t="e">
        <f t="shared" ca="1" si="23"/>
        <v>#DIV/0!</v>
      </c>
      <c r="M1182" s="21" t="e">
        <f t="shared" ca="1" si="24"/>
        <v>#DIV/0!</v>
      </c>
      <c r="N1182" s="20" t="str">
        <f ca="1">IFERROR(__xludf.DUMMYFUNCTION("IF(COUNTIFS($C$2:C1182, C1182, $A$2:A1182, ""&lt;="" &amp; A1182) &lt; 30, STDEV.P(FILTER($G$2:G1182, $C$2:C1182 = C1182)), STDEV.P(FILTER($G$2:G1182, $C$2:C1182 = C1182, $A$2:A1182 &gt;= A1182 - 30)))
"),"#DIV/0!")</f>
        <v>#DIV/0!</v>
      </c>
    </row>
    <row r="1183" spans="1:14" x14ac:dyDescent="0.2">
      <c r="A1183" s="41"/>
      <c r="B1183" s="40"/>
      <c r="C1183" s="40"/>
      <c r="D1183" s="31"/>
      <c r="E1183" s="31"/>
      <c r="F1183" s="31"/>
      <c r="G1183" s="19" t="e">
        <f t="shared" si="20"/>
        <v>#DIV/0!</v>
      </c>
      <c r="H1183" s="20" t="str">
        <f ca="1">IFERROR(__xludf.DUMMYFUNCTION("IF(COUNTIFS($C$2:C1183, C1183, $A$2:A1183, ""&lt;="" &amp; A1183) &lt; 30, AVERAGEIF($C$2:C1183, C1183, $G$2:G1183), AVERAGE(FILTER($G$2:G1183, $C$2:C1183 = C1183, $A$2:A1183 &gt;= A1183 - 30)))
"),"#DIV/0!")</f>
        <v>#DIV/0!</v>
      </c>
      <c r="I1183" s="20" t="e">
        <f t="shared" ca="1" si="21"/>
        <v>#DIV/0!</v>
      </c>
      <c r="J1183" s="20" t="str">
        <f ca="1">IFERROR(__xludf.DUMMYFUNCTION("IF(OR($I1183=2, $I1183=3), 0, IFERROR(COUNTIFS($C$2:C1183, $C1183, $A$2:A1183, ""&gt;""&amp;IFERROR(MAX(FILTER($A$2:A1183, $C$2:C1183=$C1183, $I$2:I1183&lt;&gt;1)), 0), $I$2:I1183, 1),1))
"),"#DIV/0!")</f>
        <v>#DIV/0!</v>
      </c>
      <c r="K1183" s="7" t="e">
        <f t="shared" ca="1" si="22"/>
        <v>#DIV/0!</v>
      </c>
      <c r="L1183" s="20" t="e">
        <f t="shared" ca="1" si="23"/>
        <v>#DIV/0!</v>
      </c>
      <c r="M1183" s="21" t="e">
        <f t="shared" ca="1" si="24"/>
        <v>#DIV/0!</v>
      </c>
      <c r="N1183" s="20" t="str">
        <f ca="1">IFERROR(__xludf.DUMMYFUNCTION("IF(COUNTIFS($C$2:C1183, C1183, $A$2:A1183, ""&lt;="" &amp; A1183) &lt; 30, STDEV.P(FILTER($G$2:G1183, $C$2:C1183 = C1183)), STDEV.P(FILTER($G$2:G1183, $C$2:C1183 = C1183, $A$2:A1183 &gt;= A1183 - 30)))
"),"#DIV/0!")</f>
        <v>#DIV/0!</v>
      </c>
    </row>
    <row r="1184" spans="1:14" x14ac:dyDescent="0.2">
      <c r="A1184" s="41"/>
      <c r="B1184" s="40"/>
      <c r="C1184" s="40"/>
      <c r="D1184" s="31"/>
      <c r="E1184" s="31"/>
      <c r="F1184" s="31"/>
      <c r="G1184" s="19" t="e">
        <f t="shared" si="20"/>
        <v>#DIV/0!</v>
      </c>
      <c r="H1184" s="20" t="str">
        <f ca="1">IFERROR(__xludf.DUMMYFUNCTION("IF(COUNTIFS($C$2:C1184, C1184, $A$2:A1184, ""&lt;="" &amp; A1184) &lt; 30, AVERAGEIF($C$2:C1184, C1184, $G$2:G1184), AVERAGE(FILTER($G$2:G1184, $C$2:C1184 = C1184, $A$2:A1184 &gt;= A1184 - 30)))
"),"#DIV/0!")</f>
        <v>#DIV/0!</v>
      </c>
      <c r="I1184" s="20" t="e">
        <f t="shared" ca="1" si="21"/>
        <v>#DIV/0!</v>
      </c>
      <c r="J1184" s="20" t="str">
        <f ca="1">IFERROR(__xludf.DUMMYFUNCTION("IF(OR($I1184=2, $I1184=3), 0, IFERROR(COUNTIFS($C$2:C1184, $C1184, $A$2:A1184, ""&gt;""&amp;IFERROR(MAX(FILTER($A$2:A1184, $C$2:C1184=$C1184, $I$2:I1184&lt;&gt;1)), 0), $I$2:I1184, 1),1))
"),"#DIV/0!")</f>
        <v>#DIV/0!</v>
      </c>
      <c r="K1184" s="7" t="e">
        <f t="shared" ca="1" si="22"/>
        <v>#DIV/0!</v>
      </c>
      <c r="L1184" s="20" t="e">
        <f t="shared" ca="1" si="23"/>
        <v>#DIV/0!</v>
      </c>
      <c r="M1184" s="21" t="e">
        <f t="shared" ca="1" si="24"/>
        <v>#DIV/0!</v>
      </c>
      <c r="N1184" s="20" t="str">
        <f ca="1">IFERROR(__xludf.DUMMYFUNCTION("IF(COUNTIFS($C$2:C1184, C1184, $A$2:A1184, ""&lt;="" &amp; A1184) &lt; 30, STDEV.P(FILTER($G$2:G1184, $C$2:C1184 = C1184)), STDEV.P(FILTER($G$2:G1184, $C$2:C1184 = C1184, $A$2:A1184 &gt;= A1184 - 30)))
"),"#DIV/0!")</f>
        <v>#DIV/0!</v>
      </c>
    </row>
    <row r="1185" spans="1:14" x14ac:dyDescent="0.2">
      <c r="A1185" s="41"/>
      <c r="B1185" s="40"/>
      <c r="C1185" s="40"/>
      <c r="D1185" s="31"/>
      <c r="E1185" s="31"/>
      <c r="F1185" s="31"/>
      <c r="G1185" s="19" t="e">
        <f t="shared" si="20"/>
        <v>#DIV/0!</v>
      </c>
      <c r="H1185" s="20" t="str">
        <f ca="1">IFERROR(__xludf.DUMMYFUNCTION("IF(COUNTIFS($C$2:C1185, C1185, $A$2:A1185, ""&lt;="" &amp; A1185) &lt; 30, AVERAGEIF($C$2:C1185, C1185, $G$2:G1185), AVERAGE(FILTER($G$2:G1185, $C$2:C1185 = C1185, $A$2:A1185 &gt;= A1185 - 30)))
"),"#DIV/0!")</f>
        <v>#DIV/0!</v>
      </c>
      <c r="I1185" s="20" t="e">
        <f t="shared" ca="1" si="21"/>
        <v>#DIV/0!</v>
      </c>
      <c r="J1185" s="20" t="str">
        <f ca="1">IFERROR(__xludf.DUMMYFUNCTION("IF(OR($I1185=2, $I1185=3), 0, IFERROR(COUNTIFS($C$2:C1185, $C1185, $A$2:A1185, ""&gt;""&amp;IFERROR(MAX(FILTER($A$2:A1185, $C$2:C1185=$C1185, $I$2:I1185&lt;&gt;1)), 0), $I$2:I1185, 1),1))
"),"#DIV/0!")</f>
        <v>#DIV/0!</v>
      </c>
      <c r="K1185" s="7" t="e">
        <f t="shared" ca="1" si="22"/>
        <v>#DIV/0!</v>
      </c>
      <c r="L1185" s="20" t="e">
        <f t="shared" ca="1" si="23"/>
        <v>#DIV/0!</v>
      </c>
      <c r="M1185" s="21" t="e">
        <f t="shared" ca="1" si="24"/>
        <v>#DIV/0!</v>
      </c>
      <c r="N1185" s="20" t="str">
        <f ca="1">IFERROR(__xludf.DUMMYFUNCTION("IF(COUNTIFS($C$2:C1185, C1185, $A$2:A1185, ""&lt;="" &amp; A1185) &lt; 30, STDEV.P(FILTER($G$2:G1185, $C$2:C1185 = C1185)), STDEV.P(FILTER($G$2:G1185, $C$2:C1185 = C1185, $A$2:A1185 &gt;= A1185 - 30)))
"),"#DIV/0!")</f>
        <v>#DIV/0!</v>
      </c>
    </row>
    <row r="1186" spans="1:14" x14ac:dyDescent="0.2">
      <c r="A1186" s="41"/>
      <c r="B1186" s="40"/>
      <c r="C1186" s="40"/>
      <c r="D1186" s="31"/>
      <c r="E1186" s="31"/>
      <c r="F1186" s="31"/>
      <c r="G1186" s="19" t="e">
        <f t="shared" si="20"/>
        <v>#DIV/0!</v>
      </c>
      <c r="H1186" s="20" t="str">
        <f ca="1">IFERROR(__xludf.DUMMYFUNCTION("IF(COUNTIFS($C$2:C1186, C1186, $A$2:A1186, ""&lt;="" &amp; A1186) &lt; 30, AVERAGEIF($C$2:C1186, C1186, $G$2:G1186), AVERAGE(FILTER($G$2:G1186, $C$2:C1186 = C1186, $A$2:A1186 &gt;= A1186 - 30)))
"),"#DIV/0!")</f>
        <v>#DIV/0!</v>
      </c>
      <c r="I1186" s="20" t="e">
        <f t="shared" ca="1" si="21"/>
        <v>#DIV/0!</v>
      </c>
      <c r="J1186" s="20" t="str">
        <f ca="1">IFERROR(__xludf.DUMMYFUNCTION("IF(OR($I1186=2, $I1186=3), 0, IFERROR(COUNTIFS($C$2:C1186, $C1186, $A$2:A1186, ""&gt;""&amp;IFERROR(MAX(FILTER($A$2:A1186, $C$2:C1186=$C1186, $I$2:I1186&lt;&gt;1)), 0), $I$2:I1186, 1),1))
"),"#DIV/0!")</f>
        <v>#DIV/0!</v>
      </c>
      <c r="K1186" s="7" t="e">
        <f t="shared" ca="1" si="22"/>
        <v>#DIV/0!</v>
      </c>
      <c r="L1186" s="20" t="e">
        <f t="shared" ca="1" si="23"/>
        <v>#DIV/0!</v>
      </c>
      <c r="M1186" s="21" t="e">
        <f t="shared" ca="1" si="24"/>
        <v>#DIV/0!</v>
      </c>
      <c r="N1186" s="20" t="str">
        <f ca="1">IFERROR(__xludf.DUMMYFUNCTION("IF(COUNTIFS($C$2:C1186, C1186, $A$2:A1186, ""&lt;="" &amp; A1186) &lt; 30, STDEV.P(FILTER($G$2:G1186, $C$2:C1186 = C1186)), STDEV.P(FILTER($G$2:G1186, $C$2:C1186 = C1186, $A$2:A1186 &gt;= A1186 - 30)))
"),"#DIV/0!")</f>
        <v>#DIV/0!</v>
      </c>
    </row>
    <row r="1187" spans="1:14" x14ac:dyDescent="0.2">
      <c r="A1187" s="41"/>
      <c r="B1187" s="40"/>
      <c r="C1187" s="40"/>
      <c r="D1187" s="31"/>
      <c r="E1187" s="31"/>
      <c r="F1187" s="31"/>
      <c r="G1187" s="19" t="e">
        <f t="shared" si="20"/>
        <v>#DIV/0!</v>
      </c>
      <c r="H1187" s="20" t="str">
        <f ca="1">IFERROR(__xludf.DUMMYFUNCTION("IF(COUNTIFS($C$2:C1187, C1187, $A$2:A1187, ""&lt;="" &amp; A1187) &lt; 30, AVERAGEIF($C$2:C1187, C1187, $G$2:G1187), AVERAGE(FILTER($G$2:G1187, $C$2:C1187 = C1187, $A$2:A1187 &gt;= A1187 - 30)))
"),"#DIV/0!")</f>
        <v>#DIV/0!</v>
      </c>
      <c r="I1187" s="20" t="e">
        <f t="shared" ca="1" si="21"/>
        <v>#DIV/0!</v>
      </c>
      <c r="J1187" s="20" t="str">
        <f ca="1">IFERROR(__xludf.DUMMYFUNCTION("IF(OR($I1187=2, $I1187=3), 0, IFERROR(COUNTIFS($C$2:C1187, $C1187, $A$2:A1187, ""&gt;""&amp;IFERROR(MAX(FILTER($A$2:A1187, $C$2:C1187=$C1187, $I$2:I1187&lt;&gt;1)), 0), $I$2:I1187, 1),1))
"),"#DIV/0!")</f>
        <v>#DIV/0!</v>
      </c>
      <c r="K1187" s="7" t="e">
        <f t="shared" ca="1" si="22"/>
        <v>#DIV/0!</v>
      </c>
      <c r="L1187" s="20" t="e">
        <f t="shared" ca="1" si="23"/>
        <v>#DIV/0!</v>
      </c>
      <c r="M1187" s="21" t="e">
        <f t="shared" ca="1" si="24"/>
        <v>#DIV/0!</v>
      </c>
      <c r="N1187" s="20" t="str">
        <f ca="1">IFERROR(__xludf.DUMMYFUNCTION("IF(COUNTIFS($C$2:C1187, C1187, $A$2:A1187, ""&lt;="" &amp; A1187) &lt; 30, STDEV.P(FILTER($G$2:G1187, $C$2:C1187 = C1187)), STDEV.P(FILTER($G$2:G1187, $C$2:C1187 = C1187, $A$2:A1187 &gt;= A1187 - 30)))
"),"#DIV/0!")</f>
        <v>#DIV/0!</v>
      </c>
    </row>
    <row r="1188" spans="1:14" x14ac:dyDescent="0.2">
      <c r="A1188" s="41"/>
      <c r="B1188" s="40"/>
      <c r="C1188" s="40"/>
      <c r="D1188" s="31"/>
      <c r="E1188" s="31"/>
      <c r="F1188" s="31"/>
      <c r="G1188" s="19" t="e">
        <f t="shared" si="20"/>
        <v>#DIV/0!</v>
      </c>
      <c r="H1188" s="20" t="str">
        <f ca="1">IFERROR(__xludf.DUMMYFUNCTION("IF(COUNTIFS($C$2:C1188, C1188, $A$2:A1188, ""&lt;="" &amp; A1188) &lt; 30, AVERAGEIF($C$2:C1188, C1188, $G$2:G1188), AVERAGE(FILTER($G$2:G1188, $C$2:C1188 = C1188, $A$2:A1188 &gt;= A1188 - 30)))
"),"#DIV/0!")</f>
        <v>#DIV/0!</v>
      </c>
      <c r="I1188" s="20" t="e">
        <f t="shared" ca="1" si="21"/>
        <v>#DIV/0!</v>
      </c>
      <c r="J1188" s="20" t="str">
        <f ca="1">IFERROR(__xludf.DUMMYFUNCTION("IF(OR($I1188=2, $I1188=3), 0, IFERROR(COUNTIFS($C$2:C1188, $C1188, $A$2:A1188, ""&gt;""&amp;IFERROR(MAX(FILTER($A$2:A1188, $C$2:C1188=$C1188, $I$2:I1188&lt;&gt;1)), 0), $I$2:I1188, 1),1))
"),"#DIV/0!")</f>
        <v>#DIV/0!</v>
      </c>
      <c r="K1188" s="7" t="e">
        <f t="shared" ca="1" si="22"/>
        <v>#DIV/0!</v>
      </c>
      <c r="L1188" s="20" t="e">
        <f t="shared" ca="1" si="23"/>
        <v>#DIV/0!</v>
      </c>
      <c r="M1188" s="21" t="e">
        <f t="shared" ca="1" si="24"/>
        <v>#DIV/0!</v>
      </c>
      <c r="N1188" s="20" t="str">
        <f ca="1">IFERROR(__xludf.DUMMYFUNCTION("IF(COUNTIFS($C$2:C1188, C1188, $A$2:A1188, ""&lt;="" &amp; A1188) &lt; 30, STDEV.P(FILTER($G$2:G1188, $C$2:C1188 = C1188)), STDEV.P(FILTER($G$2:G1188, $C$2:C1188 = C1188, $A$2:A1188 &gt;= A1188 - 30)))
"),"#DIV/0!")</f>
        <v>#DIV/0!</v>
      </c>
    </row>
    <row r="1189" spans="1:14" x14ac:dyDescent="0.2">
      <c r="A1189" s="41"/>
      <c r="B1189" s="40"/>
      <c r="C1189" s="40"/>
      <c r="D1189" s="31"/>
      <c r="E1189" s="31"/>
      <c r="F1189" s="31"/>
      <c r="G1189" s="19" t="e">
        <f t="shared" si="20"/>
        <v>#DIV/0!</v>
      </c>
      <c r="H1189" s="20" t="str">
        <f ca="1">IFERROR(__xludf.DUMMYFUNCTION("IF(COUNTIFS($C$2:C1189, C1189, $A$2:A1189, ""&lt;="" &amp; A1189) &lt; 30, AVERAGEIF($C$2:C1189, C1189, $G$2:G1189), AVERAGE(FILTER($G$2:G1189, $C$2:C1189 = C1189, $A$2:A1189 &gt;= A1189 - 30)))
"),"#DIV/0!")</f>
        <v>#DIV/0!</v>
      </c>
      <c r="I1189" s="20" t="e">
        <f t="shared" ca="1" si="21"/>
        <v>#DIV/0!</v>
      </c>
      <c r="J1189" s="20" t="str">
        <f ca="1">IFERROR(__xludf.DUMMYFUNCTION("IF(OR($I1189=2, $I1189=3), 0, IFERROR(COUNTIFS($C$2:C1189, $C1189, $A$2:A1189, ""&gt;""&amp;IFERROR(MAX(FILTER($A$2:A1189, $C$2:C1189=$C1189, $I$2:I1189&lt;&gt;1)), 0), $I$2:I1189, 1),1))
"),"#DIV/0!")</f>
        <v>#DIV/0!</v>
      </c>
      <c r="K1189" s="7" t="e">
        <f t="shared" ca="1" si="22"/>
        <v>#DIV/0!</v>
      </c>
      <c r="L1189" s="20" t="e">
        <f t="shared" ca="1" si="23"/>
        <v>#DIV/0!</v>
      </c>
      <c r="M1189" s="21" t="e">
        <f t="shared" ca="1" si="24"/>
        <v>#DIV/0!</v>
      </c>
      <c r="N1189" s="20" t="str">
        <f ca="1">IFERROR(__xludf.DUMMYFUNCTION("IF(COUNTIFS($C$2:C1189, C1189, $A$2:A1189, ""&lt;="" &amp; A1189) &lt; 30, STDEV.P(FILTER($G$2:G1189, $C$2:C1189 = C1189)), STDEV.P(FILTER($G$2:G1189, $C$2:C1189 = C1189, $A$2:A1189 &gt;= A1189 - 30)))
"),"#DIV/0!")</f>
        <v>#DIV/0!</v>
      </c>
    </row>
    <row r="1190" spans="1:14" x14ac:dyDescent="0.2">
      <c r="A1190" s="41"/>
      <c r="B1190" s="40"/>
      <c r="C1190" s="40"/>
      <c r="D1190" s="31"/>
      <c r="E1190" s="31"/>
      <c r="F1190" s="31"/>
      <c r="G1190" s="19" t="e">
        <f t="shared" si="20"/>
        <v>#DIV/0!</v>
      </c>
      <c r="H1190" s="20" t="str">
        <f ca="1">IFERROR(__xludf.DUMMYFUNCTION("IF(COUNTIFS($C$2:C1190, C1190, $A$2:A1190, ""&lt;="" &amp; A1190) &lt; 30, AVERAGEIF($C$2:C1190, C1190, $G$2:G1190), AVERAGE(FILTER($G$2:G1190, $C$2:C1190 = C1190, $A$2:A1190 &gt;= A1190 - 30)))
"),"#DIV/0!")</f>
        <v>#DIV/0!</v>
      </c>
      <c r="I1190" s="20" t="e">
        <f t="shared" ca="1" si="21"/>
        <v>#DIV/0!</v>
      </c>
      <c r="J1190" s="20" t="str">
        <f ca="1">IFERROR(__xludf.DUMMYFUNCTION("IF(OR($I1190=2, $I1190=3), 0, IFERROR(COUNTIFS($C$2:C1190, $C1190, $A$2:A1190, ""&gt;""&amp;IFERROR(MAX(FILTER($A$2:A1190, $C$2:C1190=$C1190, $I$2:I1190&lt;&gt;1)), 0), $I$2:I1190, 1),1))
"),"#DIV/0!")</f>
        <v>#DIV/0!</v>
      </c>
      <c r="K1190" s="7" t="e">
        <f t="shared" ca="1" si="22"/>
        <v>#DIV/0!</v>
      </c>
      <c r="L1190" s="20" t="e">
        <f t="shared" ca="1" si="23"/>
        <v>#DIV/0!</v>
      </c>
      <c r="M1190" s="21" t="e">
        <f t="shared" ca="1" si="24"/>
        <v>#DIV/0!</v>
      </c>
      <c r="N1190" s="20" t="str">
        <f ca="1">IFERROR(__xludf.DUMMYFUNCTION("IF(COUNTIFS($C$2:C1190, C1190, $A$2:A1190, ""&lt;="" &amp; A1190) &lt; 30, STDEV.P(FILTER($G$2:G1190, $C$2:C1190 = C1190)), STDEV.P(FILTER($G$2:G1190, $C$2:C1190 = C1190, $A$2:A1190 &gt;= A1190 - 30)))
"),"#DIV/0!")</f>
        <v>#DIV/0!</v>
      </c>
    </row>
    <row r="1191" spans="1:14" x14ac:dyDescent="0.2">
      <c r="A1191" s="41"/>
      <c r="B1191" s="40"/>
      <c r="C1191" s="40"/>
      <c r="D1191" s="31"/>
      <c r="E1191" s="31"/>
      <c r="F1191" s="31"/>
      <c r="G1191" s="19" t="e">
        <f t="shared" si="20"/>
        <v>#DIV/0!</v>
      </c>
      <c r="H1191" s="20" t="str">
        <f ca="1">IFERROR(__xludf.DUMMYFUNCTION("IF(COUNTIFS($C$2:C1191, C1191, $A$2:A1191, ""&lt;="" &amp; A1191) &lt; 30, AVERAGEIF($C$2:C1191, C1191, $G$2:G1191), AVERAGE(FILTER($G$2:G1191, $C$2:C1191 = C1191, $A$2:A1191 &gt;= A1191 - 30)))
"),"#DIV/0!")</f>
        <v>#DIV/0!</v>
      </c>
      <c r="I1191" s="20" t="e">
        <f t="shared" ca="1" si="21"/>
        <v>#DIV/0!</v>
      </c>
      <c r="J1191" s="20" t="str">
        <f ca="1">IFERROR(__xludf.DUMMYFUNCTION("IF(OR($I1191=2, $I1191=3), 0, IFERROR(COUNTIFS($C$2:C1191, $C1191, $A$2:A1191, ""&gt;""&amp;IFERROR(MAX(FILTER($A$2:A1191, $C$2:C1191=$C1191, $I$2:I1191&lt;&gt;1)), 0), $I$2:I1191, 1),1))
"),"#DIV/0!")</f>
        <v>#DIV/0!</v>
      </c>
      <c r="K1191" s="7" t="e">
        <f t="shared" ca="1" si="22"/>
        <v>#DIV/0!</v>
      </c>
      <c r="L1191" s="20" t="e">
        <f t="shared" ca="1" si="23"/>
        <v>#DIV/0!</v>
      </c>
      <c r="M1191" s="21" t="e">
        <f t="shared" ca="1" si="24"/>
        <v>#DIV/0!</v>
      </c>
      <c r="N1191" s="20" t="str">
        <f ca="1">IFERROR(__xludf.DUMMYFUNCTION("IF(COUNTIFS($C$2:C1191, C1191, $A$2:A1191, ""&lt;="" &amp; A1191) &lt; 30, STDEV.P(FILTER($G$2:G1191, $C$2:C1191 = C1191)), STDEV.P(FILTER($G$2:G1191, $C$2:C1191 = C1191, $A$2:A1191 &gt;= A1191 - 30)))
"),"#DIV/0!")</f>
        <v>#DIV/0!</v>
      </c>
    </row>
    <row r="1192" spans="1:14" x14ac:dyDescent="0.2">
      <c r="A1192" s="41"/>
      <c r="B1192" s="40"/>
      <c r="C1192" s="40"/>
      <c r="D1192" s="31"/>
      <c r="E1192" s="31"/>
      <c r="F1192" s="31"/>
      <c r="G1192" s="19" t="e">
        <f t="shared" si="20"/>
        <v>#DIV/0!</v>
      </c>
      <c r="H1192" s="20" t="str">
        <f ca="1">IFERROR(__xludf.DUMMYFUNCTION("IF(COUNTIFS($C$2:C1192, C1192, $A$2:A1192, ""&lt;="" &amp; A1192) &lt; 30, AVERAGEIF($C$2:C1192, C1192, $G$2:G1192), AVERAGE(FILTER($G$2:G1192, $C$2:C1192 = C1192, $A$2:A1192 &gt;= A1192 - 30)))
"),"#DIV/0!")</f>
        <v>#DIV/0!</v>
      </c>
      <c r="I1192" s="20" t="e">
        <f t="shared" ca="1" si="21"/>
        <v>#DIV/0!</v>
      </c>
      <c r="J1192" s="20" t="str">
        <f ca="1">IFERROR(__xludf.DUMMYFUNCTION("IF(OR($I1192=2, $I1192=3), 0, IFERROR(COUNTIFS($C$2:C1192, $C1192, $A$2:A1192, ""&gt;""&amp;IFERROR(MAX(FILTER($A$2:A1192, $C$2:C1192=$C1192, $I$2:I1192&lt;&gt;1)), 0), $I$2:I1192, 1),1))
"),"#DIV/0!")</f>
        <v>#DIV/0!</v>
      </c>
      <c r="K1192" s="7" t="e">
        <f t="shared" ca="1" si="22"/>
        <v>#DIV/0!</v>
      </c>
      <c r="L1192" s="20" t="e">
        <f t="shared" ca="1" si="23"/>
        <v>#DIV/0!</v>
      </c>
      <c r="M1192" s="21" t="e">
        <f t="shared" ca="1" si="24"/>
        <v>#DIV/0!</v>
      </c>
      <c r="N1192" s="20" t="str">
        <f ca="1">IFERROR(__xludf.DUMMYFUNCTION("IF(COUNTIFS($C$2:C1192, C1192, $A$2:A1192, ""&lt;="" &amp; A1192) &lt; 30, STDEV.P(FILTER($G$2:G1192, $C$2:C1192 = C1192)), STDEV.P(FILTER($G$2:G1192, $C$2:C1192 = C1192, $A$2:A1192 &gt;= A1192 - 30)))
"),"#DIV/0!")</f>
        <v>#DIV/0!</v>
      </c>
    </row>
    <row r="1193" spans="1:14" x14ac:dyDescent="0.2">
      <c r="A1193" s="41"/>
      <c r="B1193" s="40"/>
      <c r="C1193" s="40"/>
      <c r="D1193" s="31"/>
      <c r="E1193" s="31"/>
      <c r="F1193" s="31"/>
      <c r="G1193" s="19" t="e">
        <f t="shared" si="20"/>
        <v>#DIV/0!</v>
      </c>
      <c r="H1193" s="20" t="str">
        <f ca="1">IFERROR(__xludf.DUMMYFUNCTION("IF(COUNTIFS($C$2:C1193, C1193, $A$2:A1193, ""&lt;="" &amp; A1193) &lt; 30, AVERAGEIF($C$2:C1193, C1193, $G$2:G1193), AVERAGE(FILTER($G$2:G1193, $C$2:C1193 = C1193, $A$2:A1193 &gt;= A1193 - 30)))
"),"#DIV/0!")</f>
        <v>#DIV/0!</v>
      </c>
      <c r="I1193" s="20" t="e">
        <f t="shared" ca="1" si="21"/>
        <v>#DIV/0!</v>
      </c>
      <c r="J1193" s="20" t="str">
        <f ca="1">IFERROR(__xludf.DUMMYFUNCTION("IF(OR($I1193=2, $I1193=3), 0, IFERROR(COUNTIFS($C$2:C1193, $C1193, $A$2:A1193, ""&gt;""&amp;IFERROR(MAX(FILTER($A$2:A1193, $C$2:C1193=$C1193, $I$2:I1193&lt;&gt;1)), 0), $I$2:I1193, 1),1))
"),"#DIV/0!")</f>
        <v>#DIV/0!</v>
      </c>
      <c r="K1193" s="7" t="e">
        <f t="shared" ca="1" si="22"/>
        <v>#DIV/0!</v>
      </c>
      <c r="L1193" s="20" t="e">
        <f t="shared" ca="1" si="23"/>
        <v>#DIV/0!</v>
      </c>
      <c r="M1193" s="21" t="e">
        <f t="shared" ca="1" si="24"/>
        <v>#DIV/0!</v>
      </c>
      <c r="N1193" s="20" t="str">
        <f ca="1">IFERROR(__xludf.DUMMYFUNCTION("IF(COUNTIFS($C$2:C1193, C1193, $A$2:A1193, ""&lt;="" &amp; A1193) &lt; 30, STDEV.P(FILTER($G$2:G1193, $C$2:C1193 = C1193)), STDEV.P(FILTER($G$2:G1193, $C$2:C1193 = C1193, $A$2:A1193 &gt;= A1193 - 30)))
"),"#DIV/0!")</f>
        <v>#DIV/0!</v>
      </c>
    </row>
    <row r="1194" spans="1:14" x14ac:dyDescent="0.2">
      <c r="A1194" s="41"/>
      <c r="B1194" s="40"/>
      <c r="C1194" s="40"/>
      <c r="D1194" s="31"/>
      <c r="E1194" s="31"/>
      <c r="F1194" s="31"/>
      <c r="G1194" s="19" t="e">
        <f t="shared" si="20"/>
        <v>#DIV/0!</v>
      </c>
      <c r="H1194" s="20" t="str">
        <f ca="1">IFERROR(__xludf.DUMMYFUNCTION("IF(COUNTIFS($C$2:C1194, C1194, $A$2:A1194, ""&lt;="" &amp; A1194) &lt; 30, AVERAGEIF($C$2:C1194, C1194, $G$2:G1194), AVERAGE(FILTER($G$2:G1194, $C$2:C1194 = C1194, $A$2:A1194 &gt;= A1194 - 30)))
"),"#DIV/0!")</f>
        <v>#DIV/0!</v>
      </c>
      <c r="I1194" s="20" t="e">
        <f t="shared" ca="1" si="21"/>
        <v>#DIV/0!</v>
      </c>
      <c r="J1194" s="20" t="str">
        <f ca="1">IFERROR(__xludf.DUMMYFUNCTION("IF(OR($I1194=2, $I1194=3), 0, IFERROR(COUNTIFS($C$2:C1194, $C1194, $A$2:A1194, ""&gt;""&amp;IFERROR(MAX(FILTER($A$2:A1194, $C$2:C1194=$C1194, $I$2:I1194&lt;&gt;1)), 0), $I$2:I1194, 1),1))
"),"#DIV/0!")</f>
        <v>#DIV/0!</v>
      </c>
      <c r="K1194" s="7" t="e">
        <f t="shared" ca="1" si="22"/>
        <v>#DIV/0!</v>
      </c>
      <c r="L1194" s="20" t="e">
        <f t="shared" ca="1" si="23"/>
        <v>#DIV/0!</v>
      </c>
      <c r="M1194" s="21" t="e">
        <f t="shared" ca="1" si="24"/>
        <v>#DIV/0!</v>
      </c>
      <c r="N1194" s="20" t="str">
        <f ca="1">IFERROR(__xludf.DUMMYFUNCTION("IF(COUNTIFS($C$2:C1194, C1194, $A$2:A1194, ""&lt;="" &amp; A1194) &lt; 30, STDEV.P(FILTER($G$2:G1194, $C$2:C1194 = C1194)), STDEV.P(FILTER($G$2:G1194, $C$2:C1194 = C1194, $A$2:A1194 &gt;= A1194 - 30)))
"),"#DIV/0!")</f>
        <v>#DIV/0!</v>
      </c>
    </row>
    <row r="1195" spans="1:14" x14ac:dyDescent="0.2">
      <c r="A1195" s="41"/>
      <c r="B1195" s="40"/>
      <c r="C1195" s="40"/>
      <c r="D1195" s="31"/>
      <c r="E1195" s="31"/>
      <c r="F1195" s="31"/>
      <c r="G1195" s="19" t="e">
        <f t="shared" si="20"/>
        <v>#DIV/0!</v>
      </c>
      <c r="H1195" s="20" t="str">
        <f ca="1">IFERROR(__xludf.DUMMYFUNCTION("IF(COUNTIFS($C$2:C1195, C1195, $A$2:A1195, ""&lt;="" &amp; A1195) &lt; 30, AVERAGEIF($C$2:C1195, C1195, $G$2:G1195), AVERAGE(FILTER($G$2:G1195, $C$2:C1195 = C1195, $A$2:A1195 &gt;= A1195 - 30)))
"),"#DIV/0!")</f>
        <v>#DIV/0!</v>
      </c>
      <c r="I1195" s="20" t="e">
        <f t="shared" ca="1" si="21"/>
        <v>#DIV/0!</v>
      </c>
      <c r="J1195" s="20" t="str">
        <f ca="1">IFERROR(__xludf.DUMMYFUNCTION("IF(OR($I1195=2, $I1195=3), 0, IFERROR(COUNTIFS($C$2:C1195, $C1195, $A$2:A1195, ""&gt;""&amp;IFERROR(MAX(FILTER($A$2:A1195, $C$2:C1195=$C1195, $I$2:I1195&lt;&gt;1)), 0), $I$2:I1195, 1),1))
"),"#DIV/0!")</f>
        <v>#DIV/0!</v>
      </c>
      <c r="K1195" s="7" t="e">
        <f t="shared" ca="1" si="22"/>
        <v>#DIV/0!</v>
      </c>
      <c r="L1195" s="20" t="e">
        <f t="shared" ca="1" si="23"/>
        <v>#DIV/0!</v>
      </c>
      <c r="M1195" s="21" t="e">
        <f t="shared" ca="1" si="24"/>
        <v>#DIV/0!</v>
      </c>
      <c r="N1195" s="20" t="str">
        <f ca="1">IFERROR(__xludf.DUMMYFUNCTION("IF(COUNTIFS($C$2:C1195, C1195, $A$2:A1195, ""&lt;="" &amp; A1195) &lt; 30, STDEV.P(FILTER($G$2:G1195, $C$2:C1195 = C1195)), STDEV.P(FILTER($G$2:G1195, $C$2:C1195 = C1195, $A$2:A1195 &gt;= A1195 - 30)))
"),"#DIV/0!")</f>
        <v>#DIV/0!</v>
      </c>
    </row>
    <row r="1196" spans="1:14" x14ac:dyDescent="0.2">
      <c r="A1196" s="41"/>
      <c r="B1196" s="40"/>
      <c r="C1196" s="40"/>
      <c r="D1196" s="31"/>
      <c r="E1196" s="31"/>
      <c r="F1196" s="31"/>
      <c r="G1196" s="19" t="e">
        <f t="shared" si="20"/>
        <v>#DIV/0!</v>
      </c>
      <c r="H1196" s="20" t="str">
        <f ca="1">IFERROR(__xludf.DUMMYFUNCTION("IF(COUNTIFS($C$2:C1196, C1196, $A$2:A1196, ""&lt;="" &amp; A1196) &lt; 30, AVERAGEIF($C$2:C1196, C1196, $G$2:G1196), AVERAGE(FILTER($G$2:G1196, $C$2:C1196 = C1196, $A$2:A1196 &gt;= A1196 - 30)))
"),"#DIV/0!")</f>
        <v>#DIV/0!</v>
      </c>
      <c r="I1196" s="20" t="e">
        <f t="shared" ca="1" si="21"/>
        <v>#DIV/0!</v>
      </c>
      <c r="J1196" s="20" t="str">
        <f ca="1">IFERROR(__xludf.DUMMYFUNCTION("IF(OR($I1196=2, $I1196=3), 0, IFERROR(COUNTIFS($C$2:C1196, $C1196, $A$2:A1196, ""&gt;""&amp;IFERROR(MAX(FILTER($A$2:A1196, $C$2:C1196=$C1196, $I$2:I1196&lt;&gt;1)), 0), $I$2:I1196, 1),1))
"),"#DIV/0!")</f>
        <v>#DIV/0!</v>
      </c>
      <c r="K1196" s="7" t="e">
        <f t="shared" ca="1" si="22"/>
        <v>#DIV/0!</v>
      </c>
      <c r="L1196" s="20" t="e">
        <f t="shared" ca="1" si="23"/>
        <v>#DIV/0!</v>
      </c>
      <c r="M1196" s="21" t="e">
        <f t="shared" ca="1" si="24"/>
        <v>#DIV/0!</v>
      </c>
      <c r="N1196" s="20" t="str">
        <f ca="1">IFERROR(__xludf.DUMMYFUNCTION("IF(COUNTIFS($C$2:C1196, C1196, $A$2:A1196, ""&lt;="" &amp; A1196) &lt; 30, STDEV.P(FILTER($G$2:G1196, $C$2:C1196 = C1196)), STDEV.P(FILTER($G$2:G1196, $C$2:C1196 = C1196, $A$2:A1196 &gt;= A1196 - 30)))
"),"#DIV/0!")</f>
        <v>#DIV/0!</v>
      </c>
    </row>
    <row r="1197" spans="1:14" x14ac:dyDescent="0.2">
      <c r="A1197" s="41"/>
      <c r="B1197" s="40"/>
      <c r="C1197" s="40"/>
      <c r="D1197" s="31"/>
      <c r="E1197" s="31"/>
      <c r="F1197" s="31"/>
      <c r="G1197" s="19" t="e">
        <f t="shared" si="20"/>
        <v>#DIV/0!</v>
      </c>
      <c r="H1197" s="20" t="str">
        <f ca="1">IFERROR(__xludf.DUMMYFUNCTION("IF(COUNTIFS($C$2:C1197, C1197, $A$2:A1197, ""&lt;="" &amp; A1197) &lt; 30, AVERAGEIF($C$2:C1197, C1197, $G$2:G1197), AVERAGE(FILTER($G$2:G1197, $C$2:C1197 = C1197, $A$2:A1197 &gt;= A1197 - 30)))
"),"#DIV/0!")</f>
        <v>#DIV/0!</v>
      </c>
      <c r="I1197" s="20" t="e">
        <f t="shared" ca="1" si="21"/>
        <v>#DIV/0!</v>
      </c>
      <c r="J1197" s="20" t="str">
        <f ca="1">IFERROR(__xludf.DUMMYFUNCTION("IF(OR($I1197=2, $I1197=3), 0, IFERROR(COUNTIFS($C$2:C1197, $C1197, $A$2:A1197, ""&gt;""&amp;IFERROR(MAX(FILTER($A$2:A1197, $C$2:C1197=$C1197, $I$2:I1197&lt;&gt;1)), 0), $I$2:I1197, 1),1))
"),"#DIV/0!")</f>
        <v>#DIV/0!</v>
      </c>
      <c r="K1197" s="7" t="e">
        <f t="shared" ca="1" si="22"/>
        <v>#DIV/0!</v>
      </c>
      <c r="L1197" s="20" t="e">
        <f t="shared" ca="1" si="23"/>
        <v>#DIV/0!</v>
      </c>
      <c r="M1197" s="21" t="e">
        <f t="shared" ca="1" si="24"/>
        <v>#DIV/0!</v>
      </c>
      <c r="N1197" s="20" t="str">
        <f ca="1">IFERROR(__xludf.DUMMYFUNCTION("IF(COUNTIFS($C$2:C1197, C1197, $A$2:A1197, ""&lt;="" &amp; A1197) &lt; 30, STDEV.P(FILTER($G$2:G1197, $C$2:C1197 = C1197)), STDEV.P(FILTER($G$2:G1197, $C$2:C1197 = C1197, $A$2:A1197 &gt;= A1197 - 30)))
"),"#DIV/0!")</f>
        <v>#DIV/0!</v>
      </c>
    </row>
    <row r="1198" spans="1:14" x14ac:dyDescent="0.2">
      <c r="A1198" s="41"/>
      <c r="B1198" s="40"/>
      <c r="C1198" s="40"/>
      <c r="D1198" s="31"/>
      <c r="E1198" s="31"/>
      <c r="F1198" s="31"/>
      <c r="G1198" s="19" t="e">
        <f t="shared" si="20"/>
        <v>#DIV/0!</v>
      </c>
      <c r="H1198" s="20" t="str">
        <f ca="1">IFERROR(__xludf.DUMMYFUNCTION("IF(COUNTIFS($C$2:C1198, C1198, $A$2:A1198, ""&lt;="" &amp; A1198) &lt; 30, AVERAGEIF($C$2:C1198, C1198, $G$2:G1198), AVERAGE(FILTER($G$2:G1198, $C$2:C1198 = C1198, $A$2:A1198 &gt;= A1198 - 30)))
"),"#DIV/0!")</f>
        <v>#DIV/0!</v>
      </c>
      <c r="I1198" s="20" t="e">
        <f t="shared" ca="1" si="21"/>
        <v>#DIV/0!</v>
      </c>
      <c r="J1198" s="20" t="str">
        <f ca="1">IFERROR(__xludf.DUMMYFUNCTION("IF(OR($I1198=2, $I1198=3), 0, IFERROR(COUNTIFS($C$2:C1198, $C1198, $A$2:A1198, ""&gt;""&amp;IFERROR(MAX(FILTER($A$2:A1198, $C$2:C1198=$C1198, $I$2:I1198&lt;&gt;1)), 0), $I$2:I1198, 1),1))
"),"#DIV/0!")</f>
        <v>#DIV/0!</v>
      </c>
      <c r="K1198" s="7" t="e">
        <f t="shared" ca="1" si="22"/>
        <v>#DIV/0!</v>
      </c>
      <c r="L1198" s="20" t="e">
        <f t="shared" ca="1" si="23"/>
        <v>#DIV/0!</v>
      </c>
      <c r="M1198" s="21" t="e">
        <f t="shared" ca="1" si="24"/>
        <v>#DIV/0!</v>
      </c>
      <c r="N1198" s="20" t="str">
        <f ca="1">IFERROR(__xludf.DUMMYFUNCTION("IF(COUNTIFS($C$2:C1198, C1198, $A$2:A1198, ""&lt;="" &amp; A1198) &lt; 30, STDEV.P(FILTER($G$2:G1198, $C$2:C1198 = C1198)), STDEV.P(FILTER($G$2:G1198, $C$2:C1198 = C1198, $A$2:A1198 &gt;= A1198 - 30)))
"),"#DIV/0!")</f>
        <v>#DIV/0!</v>
      </c>
    </row>
    <row r="1199" spans="1:14" x14ac:dyDescent="0.2">
      <c r="A1199" s="41"/>
      <c r="B1199" s="40"/>
      <c r="C1199" s="40"/>
      <c r="D1199" s="31"/>
      <c r="E1199" s="31"/>
      <c r="F1199" s="31"/>
      <c r="G1199" s="19" t="e">
        <f t="shared" si="20"/>
        <v>#DIV/0!</v>
      </c>
      <c r="H1199" s="20" t="str">
        <f ca="1">IFERROR(__xludf.DUMMYFUNCTION("IF(COUNTIFS($C$2:C1199, C1199, $A$2:A1199, ""&lt;="" &amp; A1199) &lt; 30, AVERAGEIF($C$2:C1199, C1199, $G$2:G1199), AVERAGE(FILTER($G$2:G1199, $C$2:C1199 = C1199, $A$2:A1199 &gt;= A1199 - 30)))
"),"#DIV/0!")</f>
        <v>#DIV/0!</v>
      </c>
      <c r="I1199" s="20" t="e">
        <f t="shared" ca="1" si="21"/>
        <v>#DIV/0!</v>
      </c>
      <c r="J1199" s="20" t="str">
        <f ca="1">IFERROR(__xludf.DUMMYFUNCTION("IF(OR($I1199=2, $I1199=3), 0, IFERROR(COUNTIFS($C$2:C1199, $C1199, $A$2:A1199, ""&gt;""&amp;IFERROR(MAX(FILTER($A$2:A1199, $C$2:C1199=$C1199, $I$2:I1199&lt;&gt;1)), 0), $I$2:I1199, 1),1))
"),"#DIV/0!")</f>
        <v>#DIV/0!</v>
      </c>
      <c r="K1199" s="7" t="e">
        <f t="shared" ca="1" si="22"/>
        <v>#DIV/0!</v>
      </c>
      <c r="L1199" s="20" t="e">
        <f t="shared" ca="1" si="23"/>
        <v>#DIV/0!</v>
      </c>
      <c r="M1199" s="21" t="e">
        <f t="shared" ca="1" si="24"/>
        <v>#DIV/0!</v>
      </c>
      <c r="N1199" s="20" t="str">
        <f ca="1">IFERROR(__xludf.DUMMYFUNCTION("IF(COUNTIFS($C$2:C1199, C1199, $A$2:A1199, ""&lt;="" &amp; A1199) &lt; 30, STDEV.P(FILTER($G$2:G1199, $C$2:C1199 = C1199)), STDEV.P(FILTER($G$2:G1199, $C$2:C1199 = C1199, $A$2:A1199 &gt;= A1199 - 30)))
"),"#DIV/0!")</f>
        <v>#DIV/0!</v>
      </c>
    </row>
    <row r="1200" spans="1:14" x14ac:dyDescent="0.2">
      <c r="A1200" s="41"/>
      <c r="B1200" s="40"/>
      <c r="C1200" s="40"/>
      <c r="D1200" s="31"/>
      <c r="E1200" s="31"/>
      <c r="F1200" s="31"/>
      <c r="G1200" s="19" t="e">
        <f t="shared" si="20"/>
        <v>#DIV/0!</v>
      </c>
      <c r="H1200" s="20" t="str">
        <f ca="1">IFERROR(__xludf.DUMMYFUNCTION("IF(COUNTIFS($C$2:C1200, C1200, $A$2:A1200, ""&lt;="" &amp; A1200) &lt; 30, AVERAGEIF($C$2:C1200, C1200, $G$2:G1200), AVERAGE(FILTER($G$2:G1200, $C$2:C1200 = C1200, $A$2:A1200 &gt;= A1200 - 30)))
"),"#DIV/0!")</f>
        <v>#DIV/0!</v>
      </c>
      <c r="I1200" s="20" t="e">
        <f t="shared" ca="1" si="21"/>
        <v>#DIV/0!</v>
      </c>
      <c r="J1200" s="20" t="str">
        <f ca="1">IFERROR(__xludf.DUMMYFUNCTION("IF(OR($I1200=2, $I1200=3), 0, IFERROR(COUNTIFS($C$2:C1200, $C1200, $A$2:A1200, ""&gt;""&amp;IFERROR(MAX(FILTER($A$2:A1200, $C$2:C1200=$C1200, $I$2:I1200&lt;&gt;1)), 0), $I$2:I1200, 1),1))
"),"#DIV/0!")</f>
        <v>#DIV/0!</v>
      </c>
      <c r="K1200" s="7" t="e">
        <f t="shared" ca="1" si="22"/>
        <v>#DIV/0!</v>
      </c>
      <c r="L1200" s="20" t="e">
        <f t="shared" ca="1" si="23"/>
        <v>#DIV/0!</v>
      </c>
      <c r="M1200" s="21" t="e">
        <f t="shared" ca="1" si="24"/>
        <v>#DIV/0!</v>
      </c>
      <c r="N1200" s="20" t="str">
        <f ca="1">IFERROR(__xludf.DUMMYFUNCTION("IF(COUNTIFS($C$2:C1200, C1200, $A$2:A1200, ""&lt;="" &amp; A1200) &lt; 30, STDEV.P(FILTER($G$2:G1200, $C$2:C1200 = C1200)), STDEV.P(FILTER($G$2:G1200, $C$2:C1200 = C1200, $A$2:A1200 &gt;= A1200 - 30)))
"),"#DIV/0!")</f>
        <v>#DIV/0!</v>
      </c>
    </row>
    <row r="1201" spans="1:14" x14ac:dyDescent="0.2">
      <c r="A1201" s="41"/>
      <c r="B1201" s="40"/>
      <c r="C1201" s="40"/>
      <c r="D1201" s="31"/>
      <c r="E1201" s="31"/>
      <c r="F1201" s="31"/>
      <c r="G1201" s="19" t="e">
        <f t="shared" si="20"/>
        <v>#DIV/0!</v>
      </c>
      <c r="H1201" s="20" t="str">
        <f ca="1">IFERROR(__xludf.DUMMYFUNCTION("IF(COUNTIFS($C$2:C1201, C1201, $A$2:A1201, ""&lt;="" &amp; A1201) &lt; 30, AVERAGEIF($C$2:C1201, C1201, $G$2:G1201), AVERAGE(FILTER($G$2:G1201, $C$2:C1201 = C1201, $A$2:A1201 &gt;= A1201 - 30)))
"),"#DIV/0!")</f>
        <v>#DIV/0!</v>
      </c>
      <c r="I1201" s="20" t="e">
        <f t="shared" ca="1" si="21"/>
        <v>#DIV/0!</v>
      </c>
      <c r="J1201" s="20" t="str">
        <f ca="1">IFERROR(__xludf.DUMMYFUNCTION("IF(OR($I1201=2, $I1201=3), 0, IFERROR(COUNTIFS($C$2:C1201, $C1201, $A$2:A1201, ""&gt;""&amp;IFERROR(MAX(FILTER($A$2:A1201, $C$2:C1201=$C1201, $I$2:I1201&lt;&gt;1)), 0), $I$2:I1201, 1),1))
"),"#DIV/0!")</f>
        <v>#DIV/0!</v>
      </c>
      <c r="K1201" s="7" t="e">
        <f t="shared" ca="1" si="22"/>
        <v>#DIV/0!</v>
      </c>
      <c r="L1201" s="20" t="e">
        <f t="shared" ca="1" si="23"/>
        <v>#DIV/0!</v>
      </c>
      <c r="M1201" s="21" t="e">
        <f t="shared" ca="1" si="24"/>
        <v>#DIV/0!</v>
      </c>
      <c r="N1201" s="20" t="str">
        <f ca="1">IFERROR(__xludf.DUMMYFUNCTION("IF(COUNTIFS($C$2:C1201, C1201, $A$2:A1201, ""&lt;="" &amp; A1201) &lt; 30, STDEV.P(FILTER($G$2:G1201, $C$2:C1201 = C1201)), STDEV.P(FILTER($G$2:G1201, $C$2:C1201 = C1201, $A$2:A1201 &gt;= A1201 - 30)))
"),"#DIV/0!")</f>
        <v>#DIV/0!</v>
      </c>
    </row>
    <row r="1202" spans="1:14" x14ac:dyDescent="0.2">
      <c r="A1202" s="41"/>
      <c r="B1202" s="40"/>
      <c r="C1202" s="40"/>
      <c r="D1202" s="31"/>
      <c r="E1202" s="31"/>
      <c r="F1202" s="31"/>
      <c r="G1202" s="19" t="e">
        <f t="shared" si="20"/>
        <v>#DIV/0!</v>
      </c>
      <c r="H1202" s="20" t="str">
        <f ca="1">IFERROR(__xludf.DUMMYFUNCTION("IF(COUNTIFS($C$2:C1202, C1202, $A$2:A1202, ""&lt;="" &amp; A1202) &lt; 30, AVERAGEIF($C$2:C1202, C1202, $G$2:G1202), AVERAGE(FILTER($G$2:G1202, $C$2:C1202 = C1202, $A$2:A1202 &gt;= A1202 - 30)))
"),"#DIV/0!")</f>
        <v>#DIV/0!</v>
      </c>
      <c r="I1202" s="20" t="e">
        <f t="shared" ca="1" si="21"/>
        <v>#DIV/0!</v>
      </c>
      <c r="J1202" s="20" t="str">
        <f ca="1">IFERROR(__xludf.DUMMYFUNCTION("IF(OR($I1202=2, $I1202=3), 0, IFERROR(COUNTIFS($C$2:C1202, $C1202, $A$2:A1202, ""&gt;""&amp;IFERROR(MAX(FILTER($A$2:A1202, $C$2:C1202=$C1202, $I$2:I1202&lt;&gt;1)), 0), $I$2:I1202, 1),1))
"),"#DIV/0!")</f>
        <v>#DIV/0!</v>
      </c>
      <c r="K1202" s="7" t="e">
        <f t="shared" ca="1" si="22"/>
        <v>#DIV/0!</v>
      </c>
      <c r="L1202" s="20" t="e">
        <f t="shared" ca="1" si="23"/>
        <v>#DIV/0!</v>
      </c>
      <c r="M1202" s="21" t="e">
        <f t="shared" ca="1" si="24"/>
        <v>#DIV/0!</v>
      </c>
      <c r="N1202" s="20" t="str">
        <f ca="1">IFERROR(__xludf.DUMMYFUNCTION("IF(COUNTIFS($C$2:C1202, C1202, $A$2:A1202, ""&lt;="" &amp; A1202) &lt; 30, STDEV.P(FILTER($G$2:G1202, $C$2:C1202 = C1202)), STDEV.P(FILTER($G$2:G1202, $C$2:C1202 = C1202, $A$2:A1202 &gt;= A1202 - 30)))
"),"#DIV/0!")</f>
        <v>#DIV/0!</v>
      </c>
    </row>
    <row r="1203" spans="1:14" x14ac:dyDescent="0.2">
      <c r="A1203" s="41"/>
      <c r="B1203" s="40"/>
      <c r="C1203" s="40"/>
      <c r="D1203" s="31"/>
      <c r="E1203" s="31"/>
      <c r="F1203" s="31"/>
      <c r="G1203" s="19" t="e">
        <f t="shared" si="20"/>
        <v>#DIV/0!</v>
      </c>
      <c r="H1203" s="20" t="str">
        <f ca="1">IFERROR(__xludf.DUMMYFUNCTION("IF(COUNTIFS($C$2:C1203, C1203, $A$2:A1203, ""&lt;="" &amp; A1203) &lt; 30, AVERAGEIF($C$2:C1203, C1203, $G$2:G1203), AVERAGE(FILTER($G$2:G1203, $C$2:C1203 = C1203, $A$2:A1203 &gt;= A1203 - 30)))
"),"#DIV/0!")</f>
        <v>#DIV/0!</v>
      </c>
      <c r="I1203" s="20" t="e">
        <f t="shared" ca="1" si="21"/>
        <v>#DIV/0!</v>
      </c>
      <c r="J1203" s="20" t="str">
        <f ca="1">IFERROR(__xludf.DUMMYFUNCTION("IF(OR($I1203=2, $I1203=3), 0, IFERROR(COUNTIFS($C$2:C1203, $C1203, $A$2:A1203, ""&gt;""&amp;IFERROR(MAX(FILTER($A$2:A1203, $C$2:C1203=$C1203, $I$2:I1203&lt;&gt;1)), 0), $I$2:I1203, 1),1))
"),"#DIV/0!")</f>
        <v>#DIV/0!</v>
      </c>
      <c r="K1203" s="7" t="e">
        <f t="shared" ca="1" si="22"/>
        <v>#DIV/0!</v>
      </c>
      <c r="L1203" s="20" t="e">
        <f t="shared" ca="1" si="23"/>
        <v>#DIV/0!</v>
      </c>
      <c r="M1203" s="21" t="e">
        <f t="shared" ca="1" si="24"/>
        <v>#DIV/0!</v>
      </c>
      <c r="N1203" s="20" t="str">
        <f ca="1">IFERROR(__xludf.DUMMYFUNCTION("IF(COUNTIFS($C$2:C1203, C1203, $A$2:A1203, ""&lt;="" &amp; A1203) &lt; 30, STDEV.P(FILTER($G$2:G1203, $C$2:C1203 = C1203)), STDEV.P(FILTER($G$2:G1203, $C$2:C1203 = C1203, $A$2:A1203 &gt;= A1203 - 30)))
"),"#DIV/0!")</f>
        <v>#DIV/0!</v>
      </c>
    </row>
    <row r="1204" spans="1:14" x14ac:dyDescent="0.2">
      <c r="A1204" s="41"/>
      <c r="B1204" s="40"/>
      <c r="C1204" s="40"/>
      <c r="D1204" s="31"/>
      <c r="E1204" s="31"/>
      <c r="F1204" s="31"/>
      <c r="G1204" s="19" t="e">
        <f t="shared" si="20"/>
        <v>#DIV/0!</v>
      </c>
      <c r="H1204" s="20" t="str">
        <f ca="1">IFERROR(__xludf.DUMMYFUNCTION("IF(COUNTIFS($C$2:C1204, C1204, $A$2:A1204, ""&lt;="" &amp; A1204) &lt; 30, AVERAGEIF($C$2:C1204, C1204, $G$2:G1204), AVERAGE(FILTER($G$2:G1204, $C$2:C1204 = C1204, $A$2:A1204 &gt;= A1204 - 30)))
"),"#DIV/0!")</f>
        <v>#DIV/0!</v>
      </c>
      <c r="I1204" s="20" t="e">
        <f t="shared" ca="1" si="21"/>
        <v>#DIV/0!</v>
      </c>
      <c r="J1204" s="20" t="str">
        <f ca="1">IFERROR(__xludf.DUMMYFUNCTION("IF(OR($I1204=2, $I1204=3), 0, IFERROR(COUNTIFS($C$2:C1204, $C1204, $A$2:A1204, ""&gt;""&amp;IFERROR(MAX(FILTER($A$2:A1204, $C$2:C1204=$C1204, $I$2:I1204&lt;&gt;1)), 0), $I$2:I1204, 1),1))
"),"#DIV/0!")</f>
        <v>#DIV/0!</v>
      </c>
      <c r="K1204" s="7" t="e">
        <f t="shared" ca="1" si="22"/>
        <v>#DIV/0!</v>
      </c>
      <c r="L1204" s="20" t="e">
        <f t="shared" ca="1" si="23"/>
        <v>#DIV/0!</v>
      </c>
      <c r="M1204" s="21" t="e">
        <f t="shared" ca="1" si="24"/>
        <v>#DIV/0!</v>
      </c>
      <c r="N1204" s="20" t="str">
        <f ca="1">IFERROR(__xludf.DUMMYFUNCTION("IF(COUNTIFS($C$2:C1204, C1204, $A$2:A1204, ""&lt;="" &amp; A1204) &lt; 30, STDEV.P(FILTER($G$2:G1204, $C$2:C1204 = C1204)), STDEV.P(FILTER($G$2:G1204, $C$2:C1204 = C1204, $A$2:A1204 &gt;= A1204 - 30)))
"),"#DIV/0!")</f>
        <v>#DIV/0!</v>
      </c>
    </row>
    <row r="1205" spans="1:14" x14ac:dyDescent="0.2">
      <c r="A1205" s="41"/>
      <c r="B1205" s="40"/>
      <c r="C1205" s="40"/>
      <c r="D1205" s="31"/>
      <c r="E1205" s="31"/>
      <c r="F1205" s="31"/>
      <c r="G1205" s="19" t="e">
        <f t="shared" si="20"/>
        <v>#DIV/0!</v>
      </c>
      <c r="H1205" s="20" t="str">
        <f ca="1">IFERROR(__xludf.DUMMYFUNCTION("IF(COUNTIFS($C$2:C1205, C1205, $A$2:A1205, ""&lt;="" &amp; A1205) &lt; 30, AVERAGEIF($C$2:C1205, C1205, $G$2:G1205), AVERAGE(FILTER($G$2:G1205, $C$2:C1205 = C1205, $A$2:A1205 &gt;= A1205 - 30)))
"),"#DIV/0!")</f>
        <v>#DIV/0!</v>
      </c>
      <c r="I1205" s="20" t="e">
        <f t="shared" ca="1" si="21"/>
        <v>#DIV/0!</v>
      </c>
      <c r="J1205" s="20" t="str">
        <f ca="1">IFERROR(__xludf.DUMMYFUNCTION("IF(OR($I1205=2, $I1205=3), 0, IFERROR(COUNTIFS($C$2:C1205, $C1205, $A$2:A1205, ""&gt;""&amp;IFERROR(MAX(FILTER($A$2:A1205, $C$2:C1205=$C1205, $I$2:I1205&lt;&gt;1)), 0), $I$2:I1205, 1),1))
"),"#DIV/0!")</f>
        <v>#DIV/0!</v>
      </c>
      <c r="K1205" s="7" t="e">
        <f t="shared" ca="1" si="22"/>
        <v>#DIV/0!</v>
      </c>
      <c r="L1205" s="20" t="e">
        <f t="shared" ca="1" si="23"/>
        <v>#DIV/0!</v>
      </c>
      <c r="M1205" s="21" t="e">
        <f t="shared" ca="1" si="24"/>
        <v>#DIV/0!</v>
      </c>
      <c r="N1205" s="20" t="str">
        <f ca="1">IFERROR(__xludf.DUMMYFUNCTION("IF(COUNTIFS($C$2:C1205, C1205, $A$2:A1205, ""&lt;="" &amp; A1205) &lt; 30, STDEV.P(FILTER($G$2:G1205, $C$2:C1205 = C1205)), STDEV.P(FILTER($G$2:G1205, $C$2:C1205 = C1205, $A$2:A1205 &gt;= A1205 - 30)))
"),"#DIV/0!")</f>
        <v>#DIV/0!</v>
      </c>
    </row>
    <row r="1206" spans="1:14" x14ac:dyDescent="0.2">
      <c r="A1206" s="41"/>
      <c r="B1206" s="40"/>
      <c r="C1206" s="40"/>
      <c r="D1206" s="31"/>
      <c r="E1206" s="31"/>
      <c r="F1206" s="31"/>
      <c r="G1206" s="19" t="e">
        <f t="shared" si="20"/>
        <v>#DIV/0!</v>
      </c>
      <c r="H1206" s="20" t="str">
        <f ca="1">IFERROR(__xludf.DUMMYFUNCTION("IF(COUNTIFS($C$2:C1206, C1206, $A$2:A1206, ""&lt;="" &amp; A1206) &lt; 30, AVERAGEIF($C$2:C1206, C1206, $G$2:G1206), AVERAGE(FILTER($G$2:G1206, $C$2:C1206 = C1206, $A$2:A1206 &gt;= A1206 - 30)))
"),"#DIV/0!")</f>
        <v>#DIV/0!</v>
      </c>
      <c r="I1206" s="20" t="e">
        <f t="shared" ca="1" si="21"/>
        <v>#DIV/0!</v>
      </c>
      <c r="J1206" s="20" t="str">
        <f ca="1">IFERROR(__xludf.DUMMYFUNCTION("IF(OR($I1206=2, $I1206=3), 0, IFERROR(COUNTIFS($C$2:C1206, $C1206, $A$2:A1206, ""&gt;""&amp;IFERROR(MAX(FILTER($A$2:A1206, $C$2:C1206=$C1206, $I$2:I1206&lt;&gt;1)), 0), $I$2:I1206, 1),1))
"),"#DIV/0!")</f>
        <v>#DIV/0!</v>
      </c>
      <c r="K1206" s="7" t="e">
        <f t="shared" ca="1" si="22"/>
        <v>#DIV/0!</v>
      </c>
      <c r="L1206" s="20" t="e">
        <f t="shared" ca="1" si="23"/>
        <v>#DIV/0!</v>
      </c>
      <c r="M1206" s="21" t="e">
        <f t="shared" ca="1" si="24"/>
        <v>#DIV/0!</v>
      </c>
      <c r="N1206" s="20" t="str">
        <f ca="1">IFERROR(__xludf.DUMMYFUNCTION("IF(COUNTIFS($C$2:C1206, C1206, $A$2:A1206, ""&lt;="" &amp; A1206) &lt; 30, STDEV.P(FILTER($G$2:G1206, $C$2:C1206 = C1206)), STDEV.P(FILTER($G$2:G1206, $C$2:C1206 = C1206, $A$2:A1206 &gt;= A1206 - 30)))
"),"#DIV/0!")</f>
        <v>#DIV/0!</v>
      </c>
    </row>
    <row r="1207" spans="1:14" x14ac:dyDescent="0.2">
      <c r="A1207" s="41"/>
      <c r="B1207" s="40"/>
      <c r="C1207" s="40"/>
      <c r="D1207" s="31"/>
      <c r="E1207" s="31"/>
      <c r="F1207" s="31"/>
      <c r="G1207" s="19" t="e">
        <f t="shared" si="20"/>
        <v>#DIV/0!</v>
      </c>
      <c r="H1207" s="20" t="str">
        <f ca="1">IFERROR(__xludf.DUMMYFUNCTION("IF(COUNTIFS($C$2:C1207, C1207, $A$2:A1207, ""&lt;="" &amp; A1207) &lt; 30, AVERAGEIF($C$2:C1207, C1207, $G$2:G1207), AVERAGE(FILTER($G$2:G1207, $C$2:C1207 = C1207, $A$2:A1207 &gt;= A1207 - 30)))
"),"#DIV/0!")</f>
        <v>#DIV/0!</v>
      </c>
      <c r="I1207" s="20" t="e">
        <f t="shared" ca="1" si="21"/>
        <v>#DIV/0!</v>
      </c>
      <c r="J1207" s="20" t="str">
        <f ca="1">IFERROR(__xludf.DUMMYFUNCTION("IF(OR($I1207=2, $I1207=3), 0, IFERROR(COUNTIFS($C$2:C1207, $C1207, $A$2:A1207, ""&gt;""&amp;IFERROR(MAX(FILTER($A$2:A1207, $C$2:C1207=$C1207, $I$2:I1207&lt;&gt;1)), 0), $I$2:I1207, 1),1))
"),"#DIV/0!")</f>
        <v>#DIV/0!</v>
      </c>
      <c r="K1207" s="7" t="e">
        <f t="shared" ca="1" si="22"/>
        <v>#DIV/0!</v>
      </c>
      <c r="L1207" s="20" t="e">
        <f t="shared" ca="1" si="23"/>
        <v>#DIV/0!</v>
      </c>
      <c r="M1207" s="21" t="e">
        <f t="shared" ca="1" si="24"/>
        <v>#DIV/0!</v>
      </c>
      <c r="N1207" s="20" t="str">
        <f ca="1">IFERROR(__xludf.DUMMYFUNCTION("IF(COUNTIFS($C$2:C1207, C1207, $A$2:A1207, ""&lt;="" &amp; A1207) &lt; 30, STDEV.P(FILTER($G$2:G1207, $C$2:C1207 = C1207)), STDEV.P(FILTER($G$2:G1207, $C$2:C1207 = C1207, $A$2:A1207 &gt;= A1207 - 30)))
"),"#DIV/0!")</f>
        <v>#DIV/0!</v>
      </c>
    </row>
    <row r="1208" spans="1:14" x14ac:dyDescent="0.2">
      <c r="A1208" s="41"/>
      <c r="B1208" s="40"/>
      <c r="C1208" s="40"/>
      <c r="D1208" s="31"/>
      <c r="E1208" s="31"/>
      <c r="F1208" s="31"/>
      <c r="G1208" s="19" t="e">
        <f t="shared" si="20"/>
        <v>#DIV/0!</v>
      </c>
      <c r="H1208" s="20" t="str">
        <f ca="1">IFERROR(__xludf.DUMMYFUNCTION("IF(COUNTIFS($C$2:C1208, C1208, $A$2:A1208, ""&lt;="" &amp; A1208) &lt; 30, AVERAGEIF($C$2:C1208, C1208, $G$2:G1208), AVERAGE(FILTER($G$2:G1208, $C$2:C1208 = C1208, $A$2:A1208 &gt;= A1208 - 30)))
"),"#DIV/0!")</f>
        <v>#DIV/0!</v>
      </c>
      <c r="I1208" s="20" t="e">
        <f t="shared" ca="1" si="21"/>
        <v>#DIV/0!</v>
      </c>
      <c r="J1208" s="20" t="str">
        <f ca="1">IFERROR(__xludf.DUMMYFUNCTION("IF(OR($I1208=2, $I1208=3), 0, IFERROR(COUNTIFS($C$2:C1208, $C1208, $A$2:A1208, ""&gt;""&amp;IFERROR(MAX(FILTER($A$2:A1208, $C$2:C1208=$C1208, $I$2:I1208&lt;&gt;1)), 0), $I$2:I1208, 1),1))
"),"#DIV/0!")</f>
        <v>#DIV/0!</v>
      </c>
      <c r="K1208" s="7" t="e">
        <f t="shared" ca="1" si="22"/>
        <v>#DIV/0!</v>
      </c>
      <c r="L1208" s="20" t="e">
        <f t="shared" ca="1" si="23"/>
        <v>#DIV/0!</v>
      </c>
      <c r="M1208" s="21" t="e">
        <f t="shared" ca="1" si="24"/>
        <v>#DIV/0!</v>
      </c>
      <c r="N1208" s="20" t="str">
        <f ca="1">IFERROR(__xludf.DUMMYFUNCTION("IF(COUNTIFS($C$2:C1208, C1208, $A$2:A1208, ""&lt;="" &amp; A1208) &lt; 30, STDEV.P(FILTER($G$2:G1208, $C$2:C1208 = C1208)), STDEV.P(FILTER($G$2:G1208, $C$2:C1208 = C1208, $A$2:A1208 &gt;= A1208 - 30)))
"),"#DIV/0!")</f>
        <v>#DIV/0!</v>
      </c>
    </row>
    <row r="1209" spans="1:14" x14ac:dyDescent="0.2">
      <c r="A1209" s="41"/>
      <c r="B1209" s="40"/>
      <c r="C1209" s="40"/>
      <c r="D1209" s="31"/>
      <c r="E1209" s="31"/>
      <c r="F1209" s="31"/>
      <c r="G1209" s="19" t="e">
        <f t="shared" si="20"/>
        <v>#DIV/0!</v>
      </c>
      <c r="H1209" s="20" t="str">
        <f ca="1">IFERROR(__xludf.DUMMYFUNCTION("IF(COUNTIFS($C$2:C1209, C1209, $A$2:A1209, ""&lt;="" &amp; A1209) &lt; 30, AVERAGEIF($C$2:C1209, C1209, $G$2:G1209), AVERAGE(FILTER($G$2:G1209, $C$2:C1209 = C1209, $A$2:A1209 &gt;= A1209 - 30)))
"),"#DIV/0!")</f>
        <v>#DIV/0!</v>
      </c>
      <c r="I1209" s="20" t="e">
        <f t="shared" ca="1" si="21"/>
        <v>#DIV/0!</v>
      </c>
      <c r="J1209" s="20" t="str">
        <f ca="1">IFERROR(__xludf.DUMMYFUNCTION("IF(OR($I1209=2, $I1209=3), 0, IFERROR(COUNTIFS($C$2:C1209, $C1209, $A$2:A1209, ""&gt;""&amp;IFERROR(MAX(FILTER($A$2:A1209, $C$2:C1209=$C1209, $I$2:I1209&lt;&gt;1)), 0), $I$2:I1209, 1),1))
"),"#DIV/0!")</f>
        <v>#DIV/0!</v>
      </c>
      <c r="K1209" s="7" t="e">
        <f t="shared" ca="1" si="22"/>
        <v>#DIV/0!</v>
      </c>
      <c r="L1209" s="20" t="e">
        <f t="shared" ca="1" si="23"/>
        <v>#DIV/0!</v>
      </c>
      <c r="M1209" s="21" t="e">
        <f t="shared" ca="1" si="24"/>
        <v>#DIV/0!</v>
      </c>
      <c r="N1209" s="20" t="str">
        <f ca="1">IFERROR(__xludf.DUMMYFUNCTION("IF(COUNTIFS($C$2:C1209, C1209, $A$2:A1209, ""&lt;="" &amp; A1209) &lt; 30, STDEV.P(FILTER($G$2:G1209, $C$2:C1209 = C1209)), STDEV.P(FILTER($G$2:G1209, $C$2:C1209 = C1209, $A$2:A1209 &gt;= A1209 - 30)))
"),"#DIV/0!")</f>
        <v>#DIV/0!</v>
      </c>
    </row>
    <row r="1210" spans="1:14" x14ac:dyDescent="0.2">
      <c r="A1210" s="41"/>
      <c r="B1210" s="40"/>
      <c r="C1210" s="40"/>
      <c r="D1210" s="31"/>
      <c r="E1210" s="31"/>
      <c r="F1210" s="31"/>
      <c r="G1210" s="19" t="e">
        <f t="shared" si="20"/>
        <v>#DIV/0!</v>
      </c>
      <c r="H1210" s="20" t="str">
        <f ca="1">IFERROR(__xludf.DUMMYFUNCTION("IF(COUNTIFS($C$2:C1210, C1210, $A$2:A1210, ""&lt;="" &amp; A1210) &lt; 30, AVERAGEIF($C$2:C1210, C1210, $G$2:G1210), AVERAGE(FILTER($G$2:G1210, $C$2:C1210 = C1210, $A$2:A1210 &gt;= A1210 - 30)))
"),"#DIV/0!")</f>
        <v>#DIV/0!</v>
      </c>
      <c r="I1210" s="20" t="e">
        <f t="shared" ca="1" si="21"/>
        <v>#DIV/0!</v>
      </c>
      <c r="J1210" s="20" t="str">
        <f ca="1">IFERROR(__xludf.DUMMYFUNCTION("IF(OR($I1210=2, $I1210=3), 0, IFERROR(COUNTIFS($C$2:C1210, $C1210, $A$2:A1210, ""&gt;""&amp;IFERROR(MAX(FILTER($A$2:A1210, $C$2:C1210=$C1210, $I$2:I1210&lt;&gt;1)), 0), $I$2:I1210, 1),1))
"),"#DIV/0!")</f>
        <v>#DIV/0!</v>
      </c>
      <c r="K1210" s="7" t="e">
        <f t="shared" ca="1" si="22"/>
        <v>#DIV/0!</v>
      </c>
      <c r="L1210" s="20" t="e">
        <f t="shared" ca="1" si="23"/>
        <v>#DIV/0!</v>
      </c>
      <c r="M1210" s="21" t="e">
        <f t="shared" ca="1" si="24"/>
        <v>#DIV/0!</v>
      </c>
      <c r="N1210" s="20" t="str">
        <f ca="1">IFERROR(__xludf.DUMMYFUNCTION("IF(COUNTIFS($C$2:C1210, C1210, $A$2:A1210, ""&lt;="" &amp; A1210) &lt; 30, STDEV.P(FILTER($G$2:G1210, $C$2:C1210 = C1210)), STDEV.P(FILTER($G$2:G1210, $C$2:C1210 = C1210, $A$2:A1210 &gt;= A1210 - 30)))
"),"#DIV/0!")</f>
        <v>#DIV/0!</v>
      </c>
    </row>
    <row r="1211" spans="1:14" x14ac:dyDescent="0.2">
      <c r="A1211" s="41"/>
      <c r="B1211" s="40"/>
      <c r="C1211" s="40"/>
      <c r="D1211" s="31"/>
      <c r="E1211" s="31"/>
      <c r="F1211" s="31"/>
      <c r="G1211" s="19" t="e">
        <f t="shared" si="20"/>
        <v>#DIV/0!</v>
      </c>
      <c r="H1211" s="20" t="str">
        <f ca="1">IFERROR(__xludf.DUMMYFUNCTION("IF(COUNTIFS($C$2:C1211, C1211, $A$2:A1211, ""&lt;="" &amp; A1211) &lt; 30, AVERAGEIF($C$2:C1211, C1211, $G$2:G1211), AVERAGE(FILTER($G$2:G1211, $C$2:C1211 = C1211, $A$2:A1211 &gt;= A1211 - 30)))
"),"#DIV/0!")</f>
        <v>#DIV/0!</v>
      </c>
      <c r="I1211" s="20" t="e">
        <f t="shared" ca="1" si="21"/>
        <v>#DIV/0!</v>
      </c>
      <c r="J1211" s="20" t="str">
        <f ca="1">IFERROR(__xludf.DUMMYFUNCTION("IF(OR($I1211=2, $I1211=3), 0, IFERROR(COUNTIFS($C$2:C1211, $C1211, $A$2:A1211, ""&gt;""&amp;IFERROR(MAX(FILTER($A$2:A1211, $C$2:C1211=$C1211, $I$2:I1211&lt;&gt;1)), 0), $I$2:I1211, 1),1))
"),"#DIV/0!")</f>
        <v>#DIV/0!</v>
      </c>
      <c r="K1211" s="7" t="e">
        <f t="shared" ca="1" si="22"/>
        <v>#DIV/0!</v>
      </c>
      <c r="L1211" s="20" t="e">
        <f t="shared" ca="1" si="23"/>
        <v>#DIV/0!</v>
      </c>
      <c r="M1211" s="21" t="e">
        <f t="shared" ca="1" si="24"/>
        <v>#DIV/0!</v>
      </c>
      <c r="N1211" s="20" t="str">
        <f ca="1">IFERROR(__xludf.DUMMYFUNCTION("IF(COUNTIFS($C$2:C1211, C1211, $A$2:A1211, ""&lt;="" &amp; A1211) &lt; 30, STDEV.P(FILTER($G$2:G1211, $C$2:C1211 = C1211)), STDEV.P(FILTER($G$2:G1211, $C$2:C1211 = C1211, $A$2:A1211 &gt;= A1211 - 30)))
"),"#DIV/0!")</f>
        <v>#DIV/0!</v>
      </c>
    </row>
    <row r="1212" spans="1:14" x14ac:dyDescent="0.2">
      <c r="A1212" s="41"/>
      <c r="B1212" s="40"/>
      <c r="C1212" s="40"/>
      <c r="D1212" s="31"/>
      <c r="E1212" s="31"/>
      <c r="F1212" s="31"/>
      <c r="G1212" s="19" t="e">
        <f t="shared" si="20"/>
        <v>#DIV/0!</v>
      </c>
      <c r="H1212" s="20" t="str">
        <f ca="1">IFERROR(__xludf.DUMMYFUNCTION("IF(COUNTIFS($C$2:C1212, C1212, $A$2:A1212, ""&lt;="" &amp; A1212) &lt; 30, AVERAGEIF($C$2:C1212, C1212, $G$2:G1212), AVERAGE(FILTER($G$2:G1212, $C$2:C1212 = C1212, $A$2:A1212 &gt;= A1212 - 30)))
"),"#DIV/0!")</f>
        <v>#DIV/0!</v>
      </c>
      <c r="I1212" s="20" t="e">
        <f t="shared" ca="1" si="21"/>
        <v>#DIV/0!</v>
      </c>
      <c r="J1212" s="20" t="str">
        <f ca="1">IFERROR(__xludf.DUMMYFUNCTION("IF(OR($I1212=2, $I1212=3), 0, IFERROR(COUNTIFS($C$2:C1212, $C1212, $A$2:A1212, ""&gt;""&amp;IFERROR(MAX(FILTER($A$2:A1212, $C$2:C1212=$C1212, $I$2:I1212&lt;&gt;1)), 0), $I$2:I1212, 1),1))
"),"#DIV/0!")</f>
        <v>#DIV/0!</v>
      </c>
      <c r="K1212" s="7" t="e">
        <f t="shared" ca="1" si="22"/>
        <v>#DIV/0!</v>
      </c>
      <c r="L1212" s="20" t="e">
        <f t="shared" ca="1" si="23"/>
        <v>#DIV/0!</v>
      </c>
      <c r="M1212" s="21" t="e">
        <f t="shared" ca="1" si="24"/>
        <v>#DIV/0!</v>
      </c>
      <c r="N1212" s="20" t="str">
        <f ca="1">IFERROR(__xludf.DUMMYFUNCTION("IF(COUNTIFS($C$2:C1212, C1212, $A$2:A1212, ""&lt;="" &amp; A1212) &lt; 30, STDEV.P(FILTER($G$2:G1212, $C$2:C1212 = C1212)), STDEV.P(FILTER($G$2:G1212, $C$2:C1212 = C1212, $A$2:A1212 &gt;= A1212 - 30)))
"),"#DIV/0!")</f>
        <v>#DIV/0!</v>
      </c>
    </row>
    <row r="1213" spans="1:14" x14ac:dyDescent="0.2">
      <c r="A1213" s="41"/>
      <c r="B1213" s="40"/>
      <c r="C1213" s="40"/>
      <c r="D1213" s="31"/>
      <c r="E1213" s="31"/>
      <c r="F1213" s="31"/>
      <c r="G1213" s="19" t="e">
        <f t="shared" si="20"/>
        <v>#DIV/0!</v>
      </c>
      <c r="H1213" s="20" t="str">
        <f ca="1">IFERROR(__xludf.DUMMYFUNCTION("IF(COUNTIFS($C$2:C1213, C1213, $A$2:A1213, ""&lt;="" &amp; A1213) &lt; 30, AVERAGEIF($C$2:C1213, C1213, $G$2:G1213), AVERAGE(FILTER($G$2:G1213, $C$2:C1213 = C1213, $A$2:A1213 &gt;= A1213 - 30)))
"),"#DIV/0!")</f>
        <v>#DIV/0!</v>
      </c>
      <c r="I1213" s="20" t="e">
        <f t="shared" ca="1" si="21"/>
        <v>#DIV/0!</v>
      </c>
      <c r="J1213" s="20" t="str">
        <f ca="1">IFERROR(__xludf.DUMMYFUNCTION("IF(OR($I1213=2, $I1213=3), 0, IFERROR(COUNTIFS($C$2:C1213, $C1213, $A$2:A1213, ""&gt;""&amp;IFERROR(MAX(FILTER($A$2:A1213, $C$2:C1213=$C1213, $I$2:I1213&lt;&gt;1)), 0), $I$2:I1213, 1),1))
"),"#DIV/0!")</f>
        <v>#DIV/0!</v>
      </c>
      <c r="K1213" s="7" t="e">
        <f t="shared" ca="1" si="22"/>
        <v>#DIV/0!</v>
      </c>
      <c r="L1213" s="20" t="e">
        <f t="shared" ca="1" si="23"/>
        <v>#DIV/0!</v>
      </c>
      <c r="M1213" s="21" t="e">
        <f t="shared" ca="1" si="24"/>
        <v>#DIV/0!</v>
      </c>
      <c r="N1213" s="20" t="str">
        <f ca="1">IFERROR(__xludf.DUMMYFUNCTION("IF(COUNTIFS($C$2:C1213, C1213, $A$2:A1213, ""&lt;="" &amp; A1213) &lt; 30, STDEV.P(FILTER($G$2:G1213, $C$2:C1213 = C1213)), STDEV.P(FILTER($G$2:G1213, $C$2:C1213 = C1213, $A$2:A1213 &gt;= A1213 - 30)))
"),"#DIV/0!")</f>
        <v>#DIV/0!</v>
      </c>
    </row>
    <row r="1214" spans="1:14" x14ac:dyDescent="0.2">
      <c r="A1214" s="41"/>
      <c r="B1214" s="40"/>
      <c r="C1214" s="40"/>
      <c r="D1214" s="31"/>
      <c r="E1214" s="31"/>
      <c r="F1214" s="31"/>
      <c r="G1214" s="19" t="e">
        <f t="shared" si="20"/>
        <v>#DIV/0!</v>
      </c>
      <c r="H1214" s="20" t="str">
        <f ca="1">IFERROR(__xludf.DUMMYFUNCTION("IF(COUNTIFS($C$2:C1214, C1214, $A$2:A1214, ""&lt;="" &amp; A1214) &lt; 30, AVERAGEIF($C$2:C1214, C1214, $G$2:G1214), AVERAGE(FILTER($G$2:G1214, $C$2:C1214 = C1214, $A$2:A1214 &gt;= A1214 - 30)))
"),"#DIV/0!")</f>
        <v>#DIV/0!</v>
      </c>
      <c r="I1214" s="20" t="e">
        <f t="shared" ca="1" si="21"/>
        <v>#DIV/0!</v>
      </c>
      <c r="J1214" s="20" t="str">
        <f ca="1">IFERROR(__xludf.DUMMYFUNCTION("IF(OR($I1214=2, $I1214=3), 0, IFERROR(COUNTIFS($C$2:C1214, $C1214, $A$2:A1214, ""&gt;""&amp;IFERROR(MAX(FILTER($A$2:A1214, $C$2:C1214=$C1214, $I$2:I1214&lt;&gt;1)), 0), $I$2:I1214, 1),1))
"),"#DIV/0!")</f>
        <v>#DIV/0!</v>
      </c>
      <c r="K1214" s="7" t="e">
        <f t="shared" ca="1" si="22"/>
        <v>#DIV/0!</v>
      </c>
      <c r="L1214" s="20" t="e">
        <f t="shared" ca="1" si="23"/>
        <v>#DIV/0!</v>
      </c>
      <c r="M1214" s="21" t="e">
        <f t="shared" ca="1" si="24"/>
        <v>#DIV/0!</v>
      </c>
      <c r="N1214" s="20" t="str">
        <f ca="1">IFERROR(__xludf.DUMMYFUNCTION("IF(COUNTIFS($C$2:C1214, C1214, $A$2:A1214, ""&lt;="" &amp; A1214) &lt; 30, STDEV.P(FILTER($G$2:G1214, $C$2:C1214 = C1214)), STDEV.P(FILTER($G$2:G1214, $C$2:C1214 = C1214, $A$2:A1214 &gt;= A1214 - 30)))
"),"#DIV/0!")</f>
        <v>#DIV/0!</v>
      </c>
    </row>
    <row r="1215" spans="1:14" x14ac:dyDescent="0.2">
      <c r="A1215" s="41"/>
      <c r="B1215" s="40"/>
      <c r="C1215" s="40"/>
      <c r="D1215" s="31"/>
      <c r="E1215" s="31"/>
      <c r="F1215" s="31"/>
      <c r="G1215" s="19" t="e">
        <f t="shared" si="20"/>
        <v>#DIV/0!</v>
      </c>
      <c r="H1215" s="20" t="str">
        <f ca="1">IFERROR(__xludf.DUMMYFUNCTION("IF(COUNTIFS($C$2:C1215, C1215, $A$2:A1215, ""&lt;="" &amp; A1215) &lt; 30, AVERAGEIF($C$2:C1215, C1215, $G$2:G1215), AVERAGE(FILTER($G$2:G1215, $C$2:C1215 = C1215, $A$2:A1215 &gt;= A1215 - 30)))
"),"#DIV/0!")</f>
        <v>#DIV/0!</v>
      </c>
      <c r="I1215" s="20" t="e">
        <f t="shared" ca="1" si="21"/>
        <v>#DIV/0!</v>
      </c>
      <c r="J1215" s="20" t="str">
        <f ca="1">IFERROR(__xludf.DUMMYFUNCTION("IF(OR($I1215=2, $I1215=3), 0, IFERROR(COUNTIFS($C$2:C1215, $C1215, $A$2:A1215, ""&gt;""&amp;IFERROR(MAX(FILTER($A$2:A1215, $C$2:C1215=$C1215, $I$2:I1215&lt;&gt;1)), 0), $I$2:I1215, 1),1))
"),"#DIV/0!")</f>
        <v>#DIV/0!</v>
      </c>
      <c r="K1215" s="7" t="e">
        <f t="shared" ca="1" si="22"/>
        <v>#DIV/0!</v>
      </c>
      <c r="L1215" s="20" t="e">
        <f t="shared" ca="1" si="23"/>
        <v>#DIV/0!</v>
      </c>
      <c r="M1215" s="21" t="e">
        <f t="shared" ca="1" si="24"/>
        <v>#DIV/0!</v>
      </c>
      <c r="N1215" s="20" t="str">
        <f ca="1">IFERROR(__xludf.DUMMYFUNCTION("IF(COUNTIFS($C$2:C1215, C1215, $A$2:A1215, ""&lt;="" &amp; A1215) &lt; 30, STDEV.P(FILTER($G$2:G1215, $C$2:C1215 = C1215)), STDEV.P(FILTER($G$2:G1215, $C$2:C1215 = C1215, $A$2:A1215 &gt;= A1215 - 30)))
"),"#DIV/0!")</f>
        <v>#DIV/0!</v>
      </c>
    </row>
    <row r="1216" spans="1:14" x14ac:dyDescent="0.2">
      <c r="A1216" s="41"/>
      <c r="B1216" s="40"/>
      <c r="C1216" s="40"/>
      <c r="D1216" s="31"/>
      <c r="E1216" s="31"/>
      <c r="F1216" s="31"/>
      <c r="G1216" s="19" t="e">
        <f t="shared" si="20"/>
        <v>#DIV/0!</v>
      </c>
      <c r="H1216" s="20" t="str">
        <f ca="1">IFERROR(__xludf.DUMMYFUNCTION("IF(COUNTIFS($C$2:C1216, C1216, $A$2:A1216, ""&lt;="" &amp; A1216) &lt; 30, AVERAGEIF($C$2:C1216, C1216, $G$2:G1216), AVERAGE(FILTER($G$2:G1216, $C$2:C1216 = C1216, $A$2:A1216 &gt;= A1216 - 30)))
"),"#DIV/0!")</f>
        <v>#DIV/0!</v>
      </c>
      <c r="I1216" s="20" t="e">
        <f t="shared" ca="1" si="21"/>
        <v>#DIV/0!</v>
      </c>
      <c r="J1216" s="20" t="str">
        <f ca="1">IFERROR(__xludf.DUMMYFUNCTION("IF(OR($I1216=2, $I1216=3), 0, IFERROR(COUNTIFS($C$2:C1216, $C1216, $A$2:A1216, ""&gt;""&amp;IFERROR(MAX(FILTER($A$2:A1216, $C$2:C1216=$C1216, $I$2:I1216&lt;&gt;1)), 0), $I$2:I1216, 1),1))
"),"#DIV/0!")</f>
        <v>#DIV/0!</v>
      </c>
      <c r="K1216" s="7" t="e">
        <f t="shared" ca="1" si="22"/>
        <v>#DIV/0!</v>
      </c>
      <c r="L1216" s="20" t="e">
        <f t="shared" ca="1" si="23"/>
        <v>#DIV/0!</v>
      </c>
      <c r="M1216" s="21" t="e">
        <f t="shared" ca="1" si="24"/>
        <v>#DIV/0!</v>
      </c>
      <c r="N1216" s="20" t="str">
        <f ca="1">IFERROR(__xludf.DUMMYFUNCTION("IF(COUNTIFS($C$2:C1216, C1216, $A$2:A1216, ""&lt;="" &amp; A1216) &lt; 30, STDEV.P(FILTER($G$2:G1216, $C$2:C1216 = C1216)), STDEV.P(FILTER($G$2:G1216, $C$2:C1216 = C1216, $A$2:A1216 &gt;= A1216 - 30)))
"),"#DIV/0!")</f>
        <v>#DIV/0!</v>
      </c>
    </row>
    <row r="1217" spans="1:14" x14ac:dyDescent="0.2">
      <c r="A1217" s="41"/>
      <c r="B1217" s="40"/>
      <c r="C1217" s="40"/>
      <c r="D1217" s="31"/>
      <c r="E1217" s="31"/>
      <c r="F1217" s="31"/>
      <c r="G1217" s="19" t="e">
        <f t="shared" si="20"/>
        <v>#DIV/0!</v>
      </c>
      <c r="H1217" s="20" t="str">
        <f ca="1">IFERROR(__xludf.DUMMYFUNCTION("IF(COUNTIFS($C$2:C1217, C1217, $A$2:A1217, ""&lt;="" &amp; A1217) &lt; 30, AVERAGEIF($C$2:C1217, C1217, $G$2:G1217), AVERAGE(FILTER($G$2:G1217, $C$2:C1217 = C1217, $A$2:A1217 &gt;= A1217 - 30)))
"),"#DIV/0!")</f>
        <v>#DIV/0!</v>
      </c>
      <c r="I1217" s="20" t="e">
        <f t="shared" ca="1" si="21"/>
        <v>#DIV/0!</v>
      </c>
      <c r="J1217" s="20" t="str">
        <f ca="1">IFERROR(__xludf.DUMMYFUNCTION("IF(OR($I1217=2, $I1217=3), 0, IFERROR(COUNTIFS($C$2:C1217, $C1217, $A$2:A1217, ""&gt;""&amp;IFERROR(MAX(FILTER($A$2:A1217, $C$2:C1217=$C1217, $I$2:I1217&lt;&gt;1)), 0), $I$2:I1217, 1),1))
"),"#DIV/0!")</f>
        <v>#DIV/0!</v>
      </c>
      <c r="K1217" s="7" t="e">
        <f t="shared" ca="1" si="22"/>
        <v>#DIV/0!</v>
      </c>
      <c r="L1217" s="20" t="e">
        <f t="shared" ca="1" si="23"/>
        <v>#DIV/0!</v>
      </c>
      <c r="M1217" s="21" t="e">
        <f t="shared" ca="1" si="24"/>
        <v>#DIV/0!</v>
      </c>
      <c r="N1217" s="20" t="str">
        <f ca="1">IFERROR(__xludf.DUMMYFUNCTION("IF(COUNTIFS($C$2:C1217, C1217, $A$2:A1217, ""&lt;="" &amp; A1217) &lt; 30, STDEV.P(FILTER($G$2:G1217, $C$2:C1217 = C1217)), STDEV.P(FILTER($G$2:G1217, $C$2:C1217 = C1217, $A$2:A1217 &gt;= A1217 - 30)))
"),"#DIV/0!")</f>
        <v>#DIV/0!</v>
      </c>
    </row>
    <row r="1218" spans="1:14" x14ac:dyDescent="0.2">
      <c r="A1218" s="41"/>
      <c r="B1218" s="40"/>
      <c r="C1218" s="40"/>
      <c r="D1218" s="31"/>
      <c r="E1218" s="31"/>
      <c r="F1218" s="31"/>
      <c r="G1218" s="19" t="e">
        <f t="shared" si="20"/>
        <v>#DIV/0!</v>
      </c>
      <c r="H1218" s="20" t="str">
        <f ca="1">IFERROR(__xludf.DUMMYFUNCTION("IF(COUNTIFS($C$2:C1218, C1218, $A$2:A1218, ""&lt;="" &amp; A1218) &lt; 30, AVERAGEIF($C$2:C1218, C1218, $G$2:G1218), AVERAGE(FILTER($G$2:G1218, $C$2:C1218 = C1218, $A$2:A1218 &gt;= A1218 - 30)))
"),"#DIV/0!")</f>
        <v>#DIV/0!</v>
      </c>
      <c r="I1218" s="20" t="e">
        <f t="shared" ca="1" si="21"/>
        <v>#DIV/0!</v>
      </c>
      <c r="J1218" s="20" t="str">
        <f ca="1">IFERROR(__xludf.DUMMYFUNCTION("IF(OR($I1218=2, $I1218=3), 0, IFERROR(COUNTIFS($C$2:C1218, $C1218, $A$2:A1218, ""&gt;""&amp;IFERROR(MAX(FILTER($A$2:A1218, $C$2:C1218=$C1218, $I$2:I1218&lt;&gt;1)), 0), $I$2:I1218, 1),1))
"),"#DIV/0!")</f>
        <v>#DIV/0!</v>
      </c>
      <c r="K1218" s="7" t="e">
        <f t="shared" ca="1" si="22"/>
        <v>#DIV/0!</v>
      </c>
      <c r="L1218" s="20" t="e">
        <f t="shared" ca="1" si="23"/>
        <v>#DIV/0!</v>
      </c>
      <c r="M1218" s="21" t="e">
        <f t="shared" ca="1" si="24"/>
        <v>#DIV/0!</v>
      </c>
      <c r="N1218" s="20" t="str">
        <f ca="1">IFERROR(__xludf.DUMMYFUNCTION("IF(COUNTIFS($C$2:C1218, C1218, $A$2:A1218, ""&lt;="" &amp; A1218) &lt; 30, STDEV.P(FILTER($G$2:G1218, $C$2:C1218 = C1218)), STDEV.P(FILTER($G$2:G1218, $C$2:C1218 = C1218, $A$2:A1218 &gt;= A1218 - 30)))
"),"#DIV/0!")</f>
        <v>#DIV/0!</v>
      </c>
    </row>
    <row r="1219" spans="1:14" x14ac:dyDescent="0.2">
      <c r="A1219" s="41"/>
      <c r="B1219" s="40"/>
      <c r="C1219" s="40"/>
      <c r="D1219" s="31"/>
      <c r="E1219" s="31"/>
      <c r="F1219" s="31"/>
      <c r="G1219" s="19" t="e">
        <f t="shared" si="20"/>
        <v>#DIV/0!</v>
      </c>
      <c r="H1219" s="20" t="str">
        <f ca="1">IFERROR(__xludf.DUMMYFUNCTION("IF(COUNTIFS($C$2:C1219, C1219, $A$2:A1219, ""&lt;="" &amp; A1219) &lt; 30, AVERAGEIF($C$2:C1219, C1219, $G$2:G1219), AVERAGE(FILTER($G$2:G1219, $C$2:C1219 = C1219, $A$2:A1219 &gt;= A1219 - 30)))
"),"#DIV/0!")</f>
        <v>#DIV/0!</v>
      </c>
      <c r="I1219" s="20" t="e">
        <f t="shared" ca="1" si="21"/>
        <v>#DIV/0!</v>
      </c>
      <c r="J1219" s="20" t="str">
        <f ca="1">IFERROR(__xludf.DUMMYFUNCTION("IF(OR($I1219=2, $I1219=3), 0, IFERROR(COUNTIFS($C$2:C1219, $C1219, $A$2:A1219, ""&gt;""&amp;IFERROR(MAX(FILTER($A$2:A1219, $C$2:C1219=$C1219, $I$2:I1219&lt;&gt;1)), 0), $I$2:I1219, 1),1))
"),"#DIV/0!")</f>
        <v>#DIV/0!</v>
      </c>
      <c r="K1219" s="7" t="e">
        <f t="shared" ca="1" si="22"/>
        <v>#DIV/0!</v>
      </c>
      <c r="L1219" s="20" t="e">
        <f t="shared" ca="1" si="23"/>
        <v>#DIV/0!</v>
      </c>
      <c r="M1219" s="21" t="e">
        <f t="shared" ca="1" si="24"/>
        <v>#DIV/0!</v>
      </c>
      <c r="N1219" s="20" t="str">
        <f ca="1">IFERROR(__xludf.DUMMYFUNCTION("IF(COUNTIFS($C$2:C1219, C1219, $A$2:A1219, ""&lt;="" &amp; A1219) &lt; 30, STDEV.P(FILTER($G$2:G1219, $C$2:C1219 = C1219)), STDEV.P(FILTER($G$2:G1219, $C$2:C1219 = C1219, $A$2:A1219 &gt;= A1219 - 30)))
"),"#DIV/0!")</f>
        <v>#DIV/0!</v>
      </c>
    </row>
    <row r="1220" spans="1:14" x14ac:dyDescent="0.2">
      <c r="A1220" s="41"/>
      <c r="B1220" s="40"/>
      <c r="C1220" s="40"/>
      <c r="D1220" s="31"/>
      <c r="E1220" s="31"/>
      <c r="F1220" s="31"/>
      <c r="G1220" s="19" t="e">
        <f t="shared" si="20"/>
        <v>#DIV/0!</v>
      </c>
      <c r="H1220" s="20" t="str">
        <f ca="1">IFERROR(__xludf.DUMMYFUNCTION("IF(COUNTIFS($C$2:C1220, C1220, $A$2:A1220, ""&lt;="" &amp; A1220) &lt; 30, AVERAGEIF($C$2:C1220, C1220, $G$2:G1220), AVERAGE(FILTER($G$2:G1220, $C$2:C1220 = C1220, $A$2:A1220 &gt;= A1220 - 30)))
"),"#DIV/0!")</f>
        <v>#DIV/0!</v>
      </c>
      <c r="I1220" s="20" t="e">
        <f t="shared" ca="1" si="21"/>
        <v>#DIV/0!</v>
      </c>
      <c r="J1220" s="20" t="str">
        <f ca="1">IFERROR(__xludf.DUMMYFUNCTION("IF(OR($I1220=2, $I1220=3), 0, IFERROR(COUNTIFS($C$2:C1220, $C1220, $A$2:A1220, ""&gt;""&amp;IFERROR(MAX(FILTER($A$2:A1220, $C$2:C1220=$C1220, $I$2:I1220&lt;&gt;1)), 0), $I$2:I1220, 1),1))
"),"#DIV/0!")</f>
        <v>#DIV/0!</v>
      </c>
      <c r="K1220" s="7" t="e">
        <f t="shared" ca="1" si="22"/>
        <v>#DIV/0!</v>
      </c>
      <c r="L1220" s="20" t="e">
        <f t="shared" ca="1" si="23"/>
        <v>#DIV/0!</v>
      </c>
      <c r="M1220" s="21" t="e">
        <f t="shared" ca="1" si="24"/>
        <v>#DIV/0!</v>
      </c>
      <c r="N1220" s="20" t="str">
        <f ca="1">IFERROR(__xludf.DUMMYFUNCTION("IF(COUNTIFS($C$2:C1220, C1220, $A$2:A1220, ""&lt;="" &amp; A1220) &lt; 30, STDEV.P(FILTER($G$2:G1220, $C$2:C1220 = C1220)), STDEV.P(FILTER($G$2:G1220, $C$2:C1220 = C1220, $A$2:A1220 &gt;= A1220 - 30)))
"),"#DIV/0!")</f>
        <v>#DIV/0!</v>
      </c>
    </row>
    <row r="1221" spans="1:14" x14ac:dyDescent="0.2">
      <c r="A1221" s="41"/>
      <c r="B1221" s="40"/>
      <c r="C1221" s="40"/>
      <c r="D1221" s="31"/>
      <c r="E1221" s="31"/>
      <c r="F1221" s="31"/>
      <c r="G1221" s="19" t="e">
        <f t="shared" si="20"/>
        <v>#DIV/0!</v>
      </c>
      <c r="H1221" s="20" t="str">
        <f ca="1">IFERROR(__xludf.DUMMYFUNCTION("IF(COUNTIFS($C$2:C1221, C1221, $A$2:A1221, ""&lt;="" &amp; A1221) &lt; 30, AVERAGEIF($C$2:C1221, C1221, $G$2:G1221), AVERAGE(FILTER($G$2:G1221, $C$2:C1221 = C1221, $A$2:A1221 &gt;= A1221 - 30)))
"),"#DIV/0!")</f>
        <v>#DIV/0!</v>
      </c>
      <c r="I1221" s="20" t="e">
        <f t="shared" ca="1" si="21"/>
        <v>#DIV/0!</v>
      </c>
      <c r="J1221" s="20" t="str">
        <f ca="1">IFERROR(__xludf.DUMMYFUNCTION("IF(OR($I1221=2, $I1221=3), 0, IFERROR(COUNTIFS($C$2:C1221, $C1221, $A$2:A1221, ""&gt;""&amp;IFERROR(MAX(FILTER($A$2:A1221, $C$2:C1221=$C1221, $I$2:I1221&lt;&gt;1)), 0), $I$2:I1221, 1),1))
"),"#DIV/0!")</f>
        <v>#DIV/0!</v>
      </c>
      <c r="K1221" s="7" t="e">
        <f t="shared" ca="1" si="22"/>
        <v>#DIV/0!</v>
      </c>
      <c r="L1221" s="20" t="e">
        <f t="shared" ca="1" si="23"/>
        <v>#DIV/0!</v>
      </c>
      <c r="M1221" s="21" t="e">
        <f t="shared" ca="1" si="24"/>
        <v>#DIV/0!</v>
      </c>
      <c r="N1221" s="20" t="str">
        <f ca="1">IFERROR(__xludf.DUMMYFUNCTION("IF(COUNTIFS($C$2:C1221, C1221, $A$2:A1221, ""&lt;="" &amp; A1221) &lt; 30, STDEV.P(FILTER($G$2:G1221, $C$2:C1221 = C1221)), STDEV.P(FILTER($G$2:G1221, $C$2:C1221 = C1221, $A$2:A1221 &gt;= A1221 - 30)))
"),"#DIV/0!")</f>
        <v>#DIV/0!</v>
      </c>
    </row>
    <row r="1222" spans="1:14" x14ac:dyDescent="0.2">
      <c r="A1222" s="41"/>
      <c r="B1222" s="40"/>
      <c r="C1222" s="40"/>
      <c r="D1222" s="31"/>
      <c r="E1222" s="31"/>
      <c r="F1222" s="31"/>
      <c r="G1222" s="19" t="e">
        <f t="shared" si="20"/>
        <v>#DIV/0!</v>
      </c>
      <c r="H1222" s="20" t="str">
        <f ca="1">IFERROR(__xludf.DUMMYFUNCTION("IF(COUNTIFS($C$2:C1222, C1222, $A$2:A1222, ""&lt;="" &amp; A1222) &lt; 30, AVERAGEIF($C$2:C1222, C1222, $G$2:G1222), AVERAGE(FILTER($G$2:G1222, $C$2:C1222 = C1222, $A$2:A1222 &gt;= A1222 - 30)))
"),"#DIV/0!")</f>
        <v>#DIV/0!</v>
      </c>
      <c r="I1222" s="20" t="e">
        <f t="shared" ca="1" si="21"/>
        <v>#DIV/0!</v>
      </c>
      <c r="J1222" s="20" t="str">
        <f ca="1">IFERROR(__xludf.DUMMYFUNCTION("IF(OR($I1222=2, $I1222=3), 0, IFERROR(COUNTIFS($C$2:C1222, $C1222, $A$2:A1222, ""&gt;""&amp;IFERROR(MAX(FILTER($A$2:A1222, $C$2:C1222=$C1222, $I$2:I1222&lt;&gt;1)), 0), $I$2:I1222, 1),1))
"),"#DIV/0!")</f>
        <v>#DIV/0!</v>
      </c>
      <c r="K1222" s="7" t="e">
        <f t="shared" ca="1" si="22"/>
        <v>#DIV/0!</v>
      </c>
      <c r="L1222" s="20" t="e">
        <f t="shared" ca="1" si="23"/>
        <v>#DIV/0!</v>
      </c>
      <c r="M1222" s="21" t="e">
        <f t="shared" ca="1" si="24"/>
        <v>#DIV/0!</v>
      </c>
      <c r="N1222" s="20" t="str">
        <f ca="1">IFERROR(__xludf.DUMMYFUNCTION("IF(COUNTIFS($C$2:C1222, C1222, $A$2:A1222, ""&lt;="" &amp; A1222) &lt; 30, STDEV.P(FILTER($G$2:G1222, $C$2:C1222 = C1222)), STDEV.P(FILTER($G$2:G1222, $C$2:C1222 = C1222, $A$2:A1222 &gt;= A1222 - 30)))
"),"#DIV/0!")</f>
        <v>#DIV/0!</v>
      </c>
    </row>
    <row r="1223" spans="1:14" x14ac:dyDescent="0.2">
      <c r="A1223" s="41"/>
      <c r="B1223" s="40"/>
      <c r="C1223" s="40"/>
      <c r="D1223" s="31"/>
      <c r="E1223" s="31"/>
      <c r="F1223" s="31"/>
      <c r="G1223" s="19" t="e">
        <f t="shared" si="20"/>
        <v>#DIV/0!</v>
      </c>
      <c r="H1223" s="20" t="str">
        <f ca="1">IFERROR(__xludf.DUMMYFUNCTION("IF(COUNTIFS($C$2:C1223, C1223, $A$2:A1223, ""&lt;="" &amp; A1223) &lt; 30, AVERAGEIF($C$2:C1223, C1223, $G$2:G1223), AVERAGE(FILTER($G$2:G1223, $C$2:C1223 = C1223, $A$2:A1223 &gt;= A1223 - 30)))
"),"#DIV/0!")</f>
        <v>#DIV/0!</v>
      </c>
      <c r="I1223" s="20" t="e">
        <f t="shared" ca="1" si="21"/>
        <v>#DIV/0!</v>
      </c>
      <c r="J1223" s="20" t="str">
        <f ca="1">IFERROR(__xludf.DUMMYFUNCTION("IF(OR($I1223=2, $I1223=3), 0, IFERROR(COUNTIFS($C$2:C1223, $C1223, $A$2:A1223, ""&gt;""&amp;IFERROR(MAX(FILTER($A$2:A1223, $C$2:C1223=$C1223, $I$2:I1223&lt;&gt;1)), 0), $I$2:I1223, 1),1))
"),"#DIV/0!")</f>
        <v>#DIV/0!</v>
      </c>
      <c r="K1223" s="7" t="e">
        <f t="shared" ca="1" si="22"/>
        <v>#DIV/0!</v>
      </c>
      <c r="L1223" s="20" t="e">
        <f t="shared" ca="1" si="23"/>
        <v>#DIV/0!</v>
      </c>
      <c r="M1223" s="21" t="e">
        <f t="shared" ca="1" si="24"/>
        <v>#DIV/0!</v>
      </c>
      <c r="N1223" s="20" t="str">
        <f ca="1">IFERROR(__xludf.DUMMYFUNCTION("IF(COUNTIFS($C$2:C1223, C1223, $A$2:A1223, ""&lt;="" &amp; A1223) &lt; 30, STDEV.P(FILTER($G$2:G1223, $C$2:C1223 = C1223)), STDEV.P(FILTER($G$2:G1223, $C$2:C1223 = C1223, $A$2:A1223 &gt;= A1223 - 30)))
"),"#DIV/0!")</f>
        <v>#DIV/0!</v>
      </c>
    </row>
    <row r="1224" spans="1:14" x14ac:dyDescent="0.2">
      <c r="A1224" s="41"/>
      <c r="B1224" s="40"/>
      <c r="C1224" s="40"/>
      <c r="D1224" s="31"/>
      <c r="E1224" s="31"/>
      <c r="F1224" s="31"/>
      <c r="G1224" s="19" t="e">
        <f t="shared" si="20"/>
        <v>#DIV/0!</v>
      </c>
      <c r="H1224" s="20" t="str">
        <f ca="1">IFERROR(__xludf.DUMMYFUNCTION("IF(COUNTIFS($C$2:C1224, C1224, $A$2:A1224, ""&lt;="" &amp; A1224) &lt; 30, AVERAGEIF($C$2:C1224, C1224, $G$2:G1224), AVERAGE(FILTER($G$2:G1224, $C$2:C1224 = C1224, $A$2:A1224 &gt;= A1224 - 30)))
"),"#DIV/0!")</f>
        <v>#DIV/0!</v>
      </c>
      <c r="I1224" s="20" t="e">
        <f t="shared" ca="1" si="21"/>
        <v>#DIV/0!</v>
      </c>
      <c r="J1224" s="20" t="str">
        <f ca="1">IFERROR(__xludf.DUMMYFUNCTION("IF(OR($I1224=2, $I1224=3), 0, IFERROR(COUNTIFS($C$2:C1224, $C1224, $A$2:A1224, ""&gt;""&amp;IFERROR(MAX(FILTER($A$2:A1224, $C$2:C1224=$C1224, $I$2:I1224&lt;&gt;1)), 0), $I$2:I1224, 1),1))
"),"#DIV/0!")</f>
        <v>#DIV/0!</v>
      </c>
      <c r="K1224" s="7" t="e">
        <f t="shared" ca="1" si="22"/>
        <v>#DIV/0!</v>
      </c>
      <c r="L1224" s="20" t="e">
        <f t="shared" ca="1" si="23"/>
        <v>#DIV/0!</v>
      </c>
      <c r="M1224" s="21" t="e">
        <f t="shared" ca="1" si="24"/>
        <v>#DIV/0!</v>
      </c>
      <c r="N1224" s="20" t="str">
        <f ca="1">IFERROR(__xludf.DUMMYFUNCTION("IF(COUNTIFS($C$2:C1224, C1224, $A$2:A1224, ""&lt;="" &amp; A1224) &lt; 30, STDEV.P(FILTER($G$2:G1224, $C$2:C1224 = C1224)), STDEV.P(FILTER($G$2:G1224, $C$2:C1224 = C1224, $A$2:A1224 &gt;= A1224 - 30)))
"),"#DIV/0!")</f>
        <v>#DIV/0!</v>
      </c>
    </row>
    <row r="1225" spans="1:14" x14ac:dyDescent="0.2">
      <c r="A1225" s="41"/>
      <c r="B1225" s="40"/>
      <c r="C1225" s="40"/>
      <c r="D1225" s="31"/>
      <c r="E1225" s="31"/>
      <c r="F1225" s="31"/>
      <c r="G1225" s="19" t="e">
        <f t="shared" si="20"/>
        <v>#DIV/0!</v>
      </c>
      <c r="H1225" s="20" t="str">
        <f ca="1">IFERROR(__xludf.DUMMYFUNCTION("IF(COUNTIFS($C$2:C1225, C1225, $A$2:A1225, ""&lt;="" &amp; A1225) &lt; 30, AVERAGEIF($C$2:C1225, C1225, $G$2:G1225), AVERAGE(FILTER($G$2:G1225, $C$2:C1225 = C1225, $A$2:A1225 &gt;= A1225 - 30)))
"),"#DIV/0!")</f>
        <v>#DIV/0!</v>
      </c>
      <c r="I1225" s="20" t="e">
        <f t="shared" ca="1" si="21"/>
        <v>#DIV/0!</v>
      </c>
      <c r="J1225" s="20" t="str">
        <f ca="1">IFERROR(__xludf.DUMMYFUNCTION("IF(OR($I1225=2, $I1225=3), 0, IFERROR(COUNTIFS($C$2:C1225, $C1225, $A$2:A1225, ""&gt;""&amp;IFERROR(MAX(FILTER($A$2:A1225, $C$2:C1225=$C1225, $I$2:I1225&lt;&gt;1)), 0), $I$2:I1225, 1),1))
"),"#DIV/0!")</f>
        <v>#DIV/0!</v>
      </c>
      <c r="K1225" s="7" t="e">
        <f t="shared" ca="1" si="22"/>
        <v>#DIV/0!</v>
      </c>
      <c r="L1225" s="20" t="e">
        <f t="shared" ca="1" si="23"/>
        <v>#DIV/0!</v>
      </c>
      <c r="M1225" s="21" t="e">
        <f t="shared" ca="1" si="24"/>
        <v>#DIV/0!</v>
      </c>
      <c r="N1225" s="20" t="str">
        <f ca="1">IFERROR(__xludf.DUMMYFUNCTION("IF(COUNTIFS($C$2:C1225, C1225, $A$2:A1225, ""&lt;="" &amp; A1225) &lt; 30, STDEV.P(FILTER($G$2:G1225, $C$2:C1225 = C1225)), STDEV.P(FILTER($G$2:G1225, $C$2:C1225 = C1225, $A$2:A1225 &gt;= A1225 - 30)))
"),"#DIV/0!")</f>
        <v>#DIV/0!</v>
      </c>
    </row>
    <row r="1226" spans="1:14" x14ac:dyDescent="0.2">
      <c r="A1226" s="41"/>
      <c r="B1226" s="40"/>
      <c r="C1226" s="40"/>
      <c r="D1226" s="31"/>
      <c r="E1226" s="31"/>
      <c r="F1226" s="31"/>
      <c r="G1226" s="19" t="e">
        <f t="shared" si="20"/>
        <v>#DIV/0!</v>
      </c>
      <c r="H1226" s="20" t="str">
        <f ca="1">IFERROR(__xludf.DUMMYFUNCTION("IF(COUNTIFS($C$2:C1226, C1226, $A$2:A1226, ""&lt;="" &amp; A1226) &lt; 30, AVERAGEIF($C$2:C1226, C1226, $G$2:G1226), AVERAGE(FILTER($G$2:G1226, $C$2:C1226 = C1226, $A$2:A1226 &gt;= A1226 - 30)))
"),"#DIV/0!")</f>
        <v>#DIV/0!</v>
      </c>
      <c r="I1226" s="20" t="e">
        <f t="shared" ca="1" si="21"/>
        <v>#DIV/0!</v>
      </c>
      <c r="J1226" s="20" t="str">
        <f ca="1">IFERROR(__xludf.DUMMYFUNCTION("IF(OR($I1226=2, $I1226=3), 0, IFERROR(COUNTIFS($C$2:C1226, $C1226, $A$2:A1226, ""&gt;""&amp;IFERROR(MAX(FILTER($A$2:A1226, $C$2:C1226=$C1226, $I$2:I1226&lt;&gt;1)), 0), $I$2:I1226, 1),1))
"),"#DIV/0!")</f>
        <v>#DIV/0!</v>
      </c>
      <c r="K1226" s="7" t="e">
        <f t="shared" ca="1" si="22"/>
        <v>#DIV/0!</v>
      </c>
      <c r="L1226" s="20" t="e">
        <f t="shared" ca="1" si="23"/>
        <v>#DIV/0!</v>
      </c>
      <c r="M1226" s="21" t="e">
        <f t="shared" ca="1" si="24"/>
        <v>#DIV/0!</v>
      </c>
      <c r="N1226" s="20" t="str">
        <f ca="1">IFERROR(__xludf.DUMMYFUNCTION("IF(COUNTIFS($C$2:C1226, C1226, $A$2:A1226, ""&lt;="" &amp; A1226) &lt; 30, STDEV.P(FILTER($G$2:G1226, $C$2:C1226 = C1226)), STDEV.P(FILTER($G$2:G1226, $C$2:C1226 = C1226, $A$2:A1226 &gt;= A1226 - 30)))
"),"#DIV/0!")</f>
        <v>#DIV/0!</v>
      </c>
    </row>
    <row r="1227" spans="1:14" x14ac:dyDescent="0.2">
      <c r="A1227" s="41"/>
      <c r="B1227" s="40"/>
      <c r="C1227" s="40"/>
      <c r="D1227" s="31"/>
      <c r="E1227" s="31"/>
      <c r="F1227" s="31"/>
      <c r="G1227" s="19" t="e">
        <f t="shared" si="20"/>
        <v>#DIV/0!</v>
      </c>
      <c r="H1227" s="20" t="str">
        <f ca="1">IFERROR(__xludf.DUMMYFUNCTION("IF(COUNTIFS($C$2:C1227, C1227, $A$2:A1227, ""&lt;="" &amp; A1227) &lt; 30, AVERAGEIF($C$2:C1227, C1227, $G$2:G1227), AVERAGE(FILTER($G$2:G1227, $C$2:C1227 = C1227, $A$2:A1227 &gt;= A1227 - 30)))
"),"#DIV/0!")</f>
        <v>#DIV/0!</v>
      </c>
      <c r="I1227" s="20" t="e">
        <f t="shared" ca="1" si="21"/>
        <v>#DIV/0!</v>
      </c>
      <c r="J1227" s="20" t="str">
        <f ca="1">IFERROR(__xludf.DUMMYFUNCTION("IF(OR($I1227=2, $I1227=3), 0, IFERROR(COUNTIFS($C$2:C1227, $C1227, $A$2:A1227, ""&gt;""&amp;IFERROR(MAX(FILTER($A$2:A1227, $C$2:C1227=$C1227, $I$2:I1227&lt;&gt;1)), 0), $I$2:I1227, 1),1))
"),"#DIV/0!")</f>
        <v>#DIV/0!</v>
      </c>
      <c r="K1227" s="7" t="e">
        <f t="shared" ca="1" si="22"/>
        <v>#DIV/0!</v>
      </c>
      <c r="L1227" s="20" t="e">
        <f t="shared" ca="1" si="23"/>
        <v>#DIV/0!</v>
      </c>
      <c r="M1227" s="21" t="e">
        <f t="shared" ca="1" si="24"/>
        <v>#DIV/0!</v>
      </c>
      <c r="N1227" s="20" t="str">
        <f ca="1">IFERROR(__xludf.DUMMYFUNCTION("IF(COUNTIFS($C$2:C1227, C1227, $A$2:A1227, ""&lt;="" &amp; A1227) &lt; 30, STDEV.P(FILTER($G$2:G1227, $C$2:C1227 = C1227)), STDEV.P(FILTER($G$2:G1227, $C$2:C1227 = C1227, $A$2:A1227 &gt;= A1227 - 30)))
"),"#DIV/0!")</f>
        <v>#DIV/0!</v>
      </c>
    </row>
    <row r="1228" spans="1:14" x14ac:dyDescent="0.2">
      <c r="A1228" s="41"/>
      <c r="B1228" s="40"/>
      <c r="C1228" s="40"/>
      <c r="D1228" s="31"/>
      <c r="E1228" s="31"/>
      <c r="F1228" s="31"/>
      <c r="G1228" s="19" t="e">
        <f t="shared" si="20"/>
        <v>#DIV/0!</v>
      </c>
      <c r="H1228" s="20" t="str">
        <f ca="1">IFERROR(__xludf.DUMMYFUNCTION("IF(COUNTIFS($C$2:C1228, C1228, $A$2:A1228, ""&lt;="" &amp; A1228) &lt; 30, AVERAGEIF($C$2:C1228, C1228, $G$2:G1228), AVERAGE(FILTER($G$2:G1228, $C$2:C1228 = C1228, $A$2:A1228 &gt;= A1228 - 30)))
"),"#DIV/0!")</f>
        <v>#DIV/0!</v>
      </c>
      <c r="I1228" s="20" t="e">
        <f t="shared" ca="1" si="21"/>
        <v>#DIV/0!</v>
      </c>
      <c r="J1228" s="20" t="str">
        <f ca="1">IFERROR(__xludf.DUMMYFUNCTION("IF(OR($I1228=2, $I1228=3), 0, IFERROR(COUNTIFS($C$2:C1228, $C1228, $A$2:A1228, ""&gt;""&amp;IFERROR(MAX(FILTER($A$2:A1228, $C$2:C1228=$C1228, $I$2:I1228&lt;&gt;1)), 0), $I$2:I1228, 1),1))
"),"#DIV/0!")</f>
        <v>#DIV/0!</v>
      </c>
      <c r="K1228" s="7" t="e">
        <f t="shared" ca="1" si="22"/>
        <v>#DIV/0!</v>
      </c>
      <c r="L1228" s="20" t="e">
        <f t="shared" ca="1" si="23"/>
        <v>#DIV/0!</v>
      </c>
      <c r="M1228" s="21" t="e">
        <f t="shared" ca="1" si="24"/>
        <v>#DIV/0!</v>
      </c>
      <c r="N1228" s="20" t="str">
        <f ca="1">IFERROR(__xludf.DUMMYFUNCTION("IF(COUNTIFS($C$2:C1228, C1228, $A$2:A1228, ""&lt;="" &amp; A1228) &lt; 30, STDEV.P(FILTER($G$2:G1228, $C$2:C1228 = C1228)), STDEV.P(FILTER($G$2:G1228, $C$2:C1228 = C1228, $A$2:A1228 &gt;= A1228 - 30)))
"),"#DIV/0!")</f>
        <v>#DIV/0!</v>
      </c>
    </row>
    <row r="1229" spans="1:14" x14ac:dyDescent="0.2">
      <c r="A1229" s="41"/>
      <c r="B1229" s="40"/>
      <c r="C1229" s="40"/>
      <c r="D1229" s="31"/>
      <c r="E1229" s="31"/>
      <c r="F1229" s="31"/>
      <c r="G1229" s="19" t="e">
        <f t="shared" si="20"/>
        <v>#DIV/0!</v>
      </c>
      <c r="H1229" s="20" t="str">
        <f ca="1">IFERROR(__xludf.DUMMYFUNCTION("IF(COUNTIFS($C$2:C1229, C1229, $A$2:A1229, ""&lt;="" &amp; A1229) &lt; 30, AVERAGEIF($C$2:C1229, C1229, $G$2:G1229), AVERAGE(FILTER($G$2:G1229, $C$2:C1229 = C1229, $A$2:A1229 &gt;= A1229 - 30)))
"),"#DIV/0!")</f>
        <v>#DIV/0!</v>
      </c>
      <c r="I1229" s="20" t="e">
        <f t="shared" ca="1" si="21"/>
        <v>#DIV/0!</v>
      </c>
      <c r="J1229" s="20" t="str">
        <f ca="1">IFERROR(__xludf.DUMMYFUNCTION("IF(OR($I1229=2, $I1229=3), 0, IFERROR(COUNTIFS($C$2:C1229, $C1229, $A$2:A1229, ""&gt;""&amp;IFERROR(MAX(FILTER($A$2:A1229, $C$2:C1229=$C1229, $I$2:I1229&lt;&gt;1)), 0), $I$2:I1229, 1),1))
"),"#DIV/0!")</f>
        <v>#DIV/0!</v>
      </c>
      <c r="K1229" s="7" t="e">
        <f t="shared" ca="1" si="22"/>
        <v>#DIV/0!</v>
      </c>
      <c r="L1229" s="20" t="e">
        <f t="shared" ca="1" si="23"/>
        <v>#DIV/0!</v>
      </c>
      <c r="M1229" s="21" t="e">
        <f t="shared" ca="1" si="24"/>
        <v>#DIV/0!</v>
      </c>
      <c r="N1229" s="20" t="str">
        <f ca="1">IFERROR(__xludf.DUMMYFUNCTION("IF(COUNTIFS($C$2:C1229, C1229, $A$2:A1229, ""&lt;="" &amp; A1229) &lt; 30, STDEV.P(FILTER($G$2:G1229, $C$2:C1229 = C1229)), STDEV.P(FILTER($G$2:G1229, $C$2:C1229 = C1229, $A$2:A1229 &gt;= A1229 - 30)))
"),"#DIV/0!")</f>
        <v>#DIV/0!</v>
      </c>
    </row>
    <row r="1230" spans="1:14" x14ac:dyDescent="0.2">
      <c r="A1230" s="41"/>
      <c r="B1230" s="40"/>
      <c r="C1230" s="40"/>
      <c r="D1230" s="31"/>
      <c r="E1230" s="31"/>
      <c r="F1230" s="31"/>
      <c r="G1230" s="19" t="e">
        <f t="shared" si="20"/>
        <v>#DIV/0!</v>
      </c>
      <c r="H1230" s="20" t="str">
        <f ca="1">IFERROR(__xludf.DUMMYFUNCTION("IF(COUNTIFS($C$2:C1230, C1230, $A$2:A1230, ""&lt;="" &amp; A1230) &lt; 30, AVERAGEIF($C$2:C1230, C1230, $G$2:G1230), AVERAGE(FILTER($G$2:G1230, $C$2:C1230 = C1230, $A$2:A1230 &gt;= A1230 - 30)))
"),"#DIV/0!")</f>
        <v>#DIV/0!</v>
      </c>
      <c r="I1230" s="20" t="e">
        <f t="shared" ca="1" si="21"/>
        <v>#DIV/0!</v>
      </c>
      <c r="J1230" s="20" t="str">
        <f ca="1">IFERROR(__xludf.DUMMYFUNCTION("IF(OR($I1230=2, $I1230=3), 0, IFERROR(COUNTIFS($C$2:C1230, $C1230, $A$2:A1230, ""&gt;""&amp;IFERROR(MAX(FILTER($A$2:A1230, $C$2:C1230=$C1230, $I$2:I1230&lt;&gt;1)), 0), $I$2:I1230, 1),1))
"),"#DIV/0!")</f>
        <v>#DIV/0!</v>
      </c>
      <c r="K1230" s="7" t="e">
        <f t="shared" ca="1" si="22"/>
        <v>#DIV/0!</v>
      </c>
      <c r="L1230" s="20" t="e">
        <f t="shared" ca="1" si="23"/>
        <v>#DIV/0!</v>
      </c>
      <c r="M1230" s="21" t="e">
        <f t="shared" ca="1" si="24"/>
        <v>#DIV/0!</v>
      </c>
      <c r="N1230" s="20" t="str">
        <f ca="1">IFERROR(__xludf.DUMMYFUNCTION("IF(COUNTIFS($C$2:C1230, C1230, $A$2:A1230, ""&lt;="" &amp; A1230) &lt; 30, STDEV.P(FILTER($G$2:G1230, $C$2:C1230 = C1230)), STDEV.P(FILTER($G$2:G1230, $C$2:C1230 = C1230, $A$2:A1230 &gt;= A1230 - 30)))
"),"#DIV/0!")</f>
        <v>#DIV/0!</v>
      </c>
    </row>
    <row r="1231" spans="1:14" x14ac:dyDescent="0.2">
      <c r="A1231" s="41"/>
      <c r="B1231" s="40"/>
      <c r="C1231" s="40"/>
      <c r="D1231" s="31"/>
      <c r="E1231" s="31"/>
      <c r="F1231" s="31"/>
      <c r="G1231" s="19" t="e">
        <f t="shared" si="20"/>
        <v>#DIV/0!</v>
      </c>
      <c r="H1231" s="20" t="str">
        <f ca="1">IFERROR(__xludf.DUMMYFUNCTION("IF(COUNTIFS($C$2:C1231, C1231, $A$2:A1231, ""&lt;="" &amp; A1231) &lt; 30, AVERAGEIF($C$2:C1231, C1231, $G$2:G1231), AVERAGE(FILTER($G$2:G1231, $C$2:C1231 = C1231, $A$2:A1231 &gt;= A1231 - 30)))
"),"#DIV/0!")</f>
        <v>#DIV/0!</v>
      </c>
      <c r="I1231" s="20" t="e">
        <f t="shared" ca="1" si="21"/>
        <v>#DIV/0!</v>
      </c>
      <c r="J1231" s="20" t="str">
        <f ca="1">IFERROR(__xludf.DUMMYFUNCTION("IF(OR($I1231=2, $I1231=3), 0, IFERROR(COUNTIFS($C$2:C1231, $C1231, $A$2:A1231, ""&gt;""&amp;IFERROR(MAX(FILTER($A$2:A1231, $C$2:C1231=$C1231, $I$2:I1231&lt;&gt;1)), 0), $I$2:I1231, 1),1))
"),"#DIV/0!")</f>
        <v>#DIV/0!</v>
      </c>
      <c r="K1231" s="7" t="e">
        <f t="shared" ca="1" si="22"/>
        <v>#DIV/0!</v>
      </c>
      <c r="L1231" s="20" t="e">
        <f t="shared" ca="1" si="23"/>
        <v>#DIV/0!</v>
      </c>
      <c r="M1231" s="21" t="e">
        <f t="shared" ca="1" si="24"/>
        <v>#DIV/0!</v>
      </c>
      <c r="N1231" s="20" t="str">
        <f ca="1">IFERROR(__xludf.DUMMYFUNCTION("IF(COUNTIFS($C$2:C1231, C1231, $A$2:A1231, ""&lt;="" &amp; A1231) &lt; 30, STDEV.P(FILTER($G$2:G1231, $C$2:C1231 = C1231)), STDEV.P(FILTER($G$2:G1231, $C$2:C1231 = C1231, $A$2:A1231 &gt;= A1231 - 30)))
"),"#DIV/0!")</f>
        <v>#DIV/0!</v>
      </c>
    </row>
    <row r="1232" spans="1:14" x14ac:dyDescent="0.2">
      <c r="A1232" s="41"/>
      <c r="B1232" s="40"/>
      <c r="C1232" s="40"/>
      <c r="D1232" s="31"/>
      <c r="E1232" s="31"/>
      <c r="F1232" s="31"/>
      <c r="G1232" s="19" t="e">
        <f t="shared" si="20"/>
        <v>#DIV/0!</v>
      </c>
      <c r="H1232" s="20" t="str">
        <f ca="1">IFERROR(__xludf.DUMMYFUNCTION("IF(COUNTIFS($C$2:C1232, C1232, $A$2:A1232, ""&lt;="" &amp; A1232) &lt; 30, AVERAGEIF($C$2:C1232, C1232, $G$2:G1232), AVERAGE(FILTER($G$2:G1232, $C$2:C1232 = C1232, $A$2:A1232 &gt;= A1232 - 30)))
"),"#DIV/0!")</f>
        <v>#DIV/0!</v>
      </c>
      <c r="I1232" s="20" t="e">
        <f t="shared" ca="1" si="21"/>
        <v>#DIV/0!</v>
      </c>
      <c r="J1232" s="20" t="str">
        <f ca="1">IFERROR(__xludf.DUMMYFUNCTION("IF(OR($I1232=2, $I1232=3), 0, IFERROR(COUNTIFS($C$2:C1232, $C1232, $A$2:A1232, ""&gt;""&amp;IFERROR(MAX(FILTER($A$2:A1232, $C$2:C1232=$C1232, $I$2:I1232&lt;&gt;1)), 0), $I$2:I1232, 1),1))
"),"#DIV/0!")</f>
        <v>#DIV/0!</v>
      </c>
      <c r="K1232" s="7" t="e">
        <f t="shared" ca="1" si="22"/>
        <v>#DIV/0!</v>
      </c>
      <c r="L1232" s="20" t="e">
        <f t="shared" ca="1" si="23"/>
        <v>#DIV/0!</v>
      </c>
      <c r="M1232" s="21" t="e">
        <f t="shared" ca="1" si="24"/>
        <v>#DIV/0!</v>
      </c>
      <c r="N1232" s="20" t="str">
        <f ca="1">IFERROR(__xludf.DUMMYFUNCTION("IF(COUNTIFS($C$2:C1232, C1232, $A$2:A1232, ""&lt;="" &amp; A1232) &lt; 30, STDEV.P(FILTER($G$2:G1232, $C$2:C1232 = C1232)), STDEV.P(FILTER($G$2:G1232, $C$2:C1232 = C1232, $A$2:A1232 &gt;= A1232 - 30)))
"),"#DIV/0!")</f>
        <v>#DIV/0!</v>
      </c>
    </row>
    <row r="1233" spans="1:14" x14ac:dyDescent="0.2">
      <c r="A1233" s="41"/>
      <c r="B1233" s="40"/>
      <c r="C1233" s="40"/>
      <c r="D1233" s="31"/>
      <c r="E1233" s="31"/>
      <c r="F1233" s="31"/>
      <c r="G1233" s="19" t="e">
        <f t="shared" si="20"/>
        <v>#DIV/0!</v>
      </c>
      <c r="H1233" s="20" t="str">
        <f ca="1">IFERROR(__xludf.DUMMYFUNCTION("IF(COUNTIFS($C$2:C1233, C1233, $A$2:A1233, ""&lt;="" &amp; A1233) &lt; 30, AVERAGEIF($C$2:C1233, C1233, $G$2:G1233), AVERAGE(FILTER($G$2:G1233, $C$2:C1233 = C1233, $A$2:A1233 &gt;= A1233 - 30)))
"),"#DIV/0!")</f>
        <v>#DIV/0!</v>
      </c>
      <c r="I1233" s="20" t="e">
        <f t="shared" ca="1" si="21"/>
        <v>#DIV/0!</v>
      </c>
      <c r="J1233" s="20" t="str">
        <f ca="1">IFERROR(__xludf.DUMMYFUNCTION("IF(OR($I1233=2, $I1233=3), 0, IFERROR(COUNTIFS($C$2:C1233, $C1233, $A$2:A1233, ""&gt;""&amp;IFERROR(MAX(FILTER($A$2:A1233, $C$2:C1233=$C1233, $I$2:I1233&lt;&gt;1)), 0), $I$2:I1233, 1),1))
"),"#DIV/0!")</f>
        <v>#DIV/0!</v>
      </c>
      <c r="K1233" s="7" t="e">
        <f t="shared" ca="1" si="22"/>
        <v>#DIV/0!</v>
      </c>
      <c r="L1233" s="20" t="e">
        <f t="shared" ca="1" si="23"/>
        <v>#DIV/0!</v>
      </c>
      <c r="M1233" s="21" t="e">
        <f t="shared" ca="1" si="24"/>
        <v>#DIV/0!</v>
      </c>
      <c r="N1233" s="20" t="str">
        <f ca="1">IFERROR(__xludf.DUMMYFUNCTION("IF(COUNTIFS($C$2:C1233, C1233, $A$2:A1233, ""&lt;="" &amp; A1233) &lt; 30, STDEV.P(FILTER($G$2:G1233, $C$2:C1233 = C1233)), STDEV.P(FILTER($G$2:G1233, $C$2:C1233 = C1233, $A$2:A1233 &gt;= A1233 - 30)))
"),"#DIV/0!")</f>
        <v>#DIV/0!</v>
      </c>
    </row>
    <row r="1234" spans="1:14" x14ac:dyDescent="0.2">
      <c r="A1234" s="41"/>
      <c r="B1234" s="40"/>
      <c r="C1234" s="40"/>
      <c r="D1234" s="31"/>
      <c r="E1234" s="31"/>
      <c r="F1234" s="31"/>
      <c r="G1234" s="19" t="e">
        <f t="shared" si="20"/>
        <v>#DIV/0!</v>
      </c>
      <c r="H1234" s="20" t="str">
        <f ca="1">IFERROR(__xludf.DUMMYFUNCTION("IF(COUNTIFS($C$2:C1234, C1234, $A$2:A1234, ""&lt;="" &amp; A1234) &lt; 30, AVERAGEIF($C$2:C1234, C1234, $G$2:G1234), AVERAGE(FILTER($G$2:G1234, $C$2:C1234 = C1234, $A$2:A1234 &gt;= A1234 - 30)))
"),"#DIV/0!")</f>
        <v>#DIV/0!</v>
      </c>
      <c r="I1234" s="20" t="e">
        <f t="shared" ca="1" si="21"/>
        <v>#DIV/0!</v>
      </c>
      <c r="J1234" s="20" t="str">
        <f ca="1">IFERROR(__xludf.DUMMYFUNCTION("IF(OR($I1234=2, $I1234=3), 0, IFERROR(COUNTIFS($C$2:C1234, $C1234, $A$2:A1234, ""&gt;""&amp;IFERROR(MAX(FILTER($A$2:A1234, $C$2:C1234=$C1234, $I$2:I1234&lt;&gt;1)), 0), $I$2:I1234, 1),1))
"),"#DIV/0!")</f>
        <v>#DIV/0!</v>
      </c>
      <c r="K1234" s="7" t="e">
        <f t="shared" ca="1" si="22"/>
        <v>#DIV/0!</v>
      </c>
      <c r="L1234" s="20" t="e">
        <f t="shared" ca="1" si="23"/>
        <v>#DIV/0!</v>
      </c>
      <c r="M1234" s="21" t="e">
        <f t="shared" ca="1" si="24"/>
        <v>#DIV/0!</v>
      </c>
      <c r="N1234" s="20" t="str">
        <f ca="1">IFERROR(__xludf.DUMMYFUNCTION("IF(COUNTIFS($C$2:C1234, C1234, $A$2:A1234, ""&lt;="" &amp; A1234) &lt; 30, STDEV.P(FILTER($G$2:G1234, $C$2:C1234 = C1234)), STDEV.P(FILTER($G$2:G1234, $C$2:C1234 = C1234, $A$2:A1234 &gt;= A1234 - 30)))
"),"#DIV/0!")</f>
        <v>#DIV/0!</v>
      </c>
    </row>
    <row r="1235" spans="1:14" x14ac:dyDescent="0.2">
      <c r="A1235" s="41"/>
      <c r="B1235" s="40"/>
      <c r="C1235" s="40"/>
      <c r="D1235" s="31"/>
      <c r="E1235" s="31"/>
      <c r="F1235" s="31"/>
      <c r="G1235" s="19" t="e">
        <f t="shared" si="20"/>
        <v>#DIV/0!</v>
      </c>
      <c r="H1235" s="20" t="str">
        <f ca="1">IFERROR(__xludf.DUMMYFUNCTION("IF(COUNTIFS($C$2:C1235, C1235, $A$2:A1235, ""&lt;="" &amp; A1235) &lt; 30, AVERAGEIF($C$2:C1235, C1235, $G$2:G1235), AVERAGE(FILTER($G$2:G1235, $C$2:C1235 = C1235, $A$2:A1235 &gt;= A1235 - 30)))
"),"#DIV/0!")</f>
        <v>#DIV/0!</v>
      </c>
      <c r="I1235" s="20" t="e">
        <f t="shared" ca="1" si="21"/>
        <v>#DIV/0!</v>
      </c>
      <c r="J1235" s="20" t="str">
        <f ca="1">IFERROR(__xludf.DUMMYFUNCTION("IF(OR($I1235=2, $I1235=3), 0, IFERROR(COUNTIFS($C$2:C1235, $C1235, $A$2:A1235, ""&gt;""&amp;IFERROR(MAX(FILTER($A$2:A1235, $C$2:C1235=$C1235, $I$2:I1235&lt;&gt;1)), 0), $I$2:I1235, 1),1))
"),"#DIV/0!")</f>
        <v>#DIV/0!</v>
      </c>
      <c r="K1235" s="7" t="e">
        <f t="shared" ca="1" si="22"/>
        <v>#DIV/0!</v>
      </c>
      <c r="L1235" s="20" t="e">
        <f t="shared" ca="1" si="23"/>
        <v>#DIV/0!</v>
      </c>
      <c r="M1235" s="21" t="e">
        <f t="shared" ca="1" si="24"/>
        <v>#DIV/0!</v>
      </c>
      <c r="N1235" s="20" t="str">
        <f ca="1">IFERROR(__xludf.DUMMYFUNCTION("IF(COUNTIFS($C$2:C1235, C1235, $A$2:A1235, ""&lt;="" &amp; A1235) &lt; 30, STDEV.P(FILTER($G$2:G1235, $C$2:C1235 = C1235)), STDEV.P(FILTER($G$2:G1235, $C$2:C1235 = C1235, $A$2:A1235 &gt;= A1235 - 30)))
"),"#DIV/0!")</f>
        <v>#DIV/0!</v>
      </c>
    </row>
    <row r="1236" spans="1:14" x14ac:dyDescent="0.2">
      <c r="A1236" s="41"/>
      <c r="B1236" s="40"/>
      <c r="C1236" s="40"/>
      <c r="D1236" s="31"/>
      <c r="E1236" s="31"/>
      <c r="F1236" s="31"/>
      <c r="G1236" s="19" t="e">
        <f t="shared" si="20"/>
        <v>#DIV/0!</v>
      </c>
      <c r="H1236" s="20" t="str">
        <f ca="1">IFERROR(__xludf.DUMMYFUNCTION("IF(COUNTIFS($C$2:C1236, C1236, $A$2:A1236, ""&lt;="" &amp; A1236) &lt; 30, AVERAGEIF($C$2:C1236, C1236, $G$2:G1236), AVERAGE(FILTER($G$2:G1236, $C$2:C1236 = C1236, $A$2:A1236 &gt;= A1236 - 30)))
"),"#DIV/0!")</f>
        <v>#DIV/0!</v>
      </c>
      <c r="I1236" s="20" t="e">
        <f t="shared" ca="1" si="21"/>
        <v>#DIV/0!</v>
      </c>
      <c r="J1236" s="20" t="str">
        <f ca="1">IFERROR(__xludf.DUMMYFUNCTION("IF(OR($I1236=2, $I1236=3), 0, IFERROR(COUNTIFS($C$2:C1236, $C1236, $A$2:A1236, ""&gt;""&amp;IFERROR(MAX(FILTER($A$2:A1236, $C$2:C1236=$C1236, $I$2:I1236&lt;&gt;1)), 0), $I$2:I1236, 1),1))
"),"#DIV/0!")</f>
        <v>#DIV/0!</v>
      </c>
      <c r="K1236" s="7" t="e">
        <f t="shared" ca="1" si="22"/>
        <v>#DIV/0!</v>
      </c>
      <c r="L1236" s="20" t="e">
        <f t="shared" ca="1" si="23"/>
        <v>#DIV/0!</v>
      </c>
      <c r="M1236" s="21" t="e">
        <f t="shared" ca="1" si="24"/>
        <v>#DIV/0!</v>
      </c>
      <c r="N1236" s="20" t="str">
        <f ca="1">IFERROR(__xludf.DUMMYFUNCTION("IF(COUNTIFS($C$2:C1236, C1236, $A$2:A1236, ""&lt;="" &amp; A1236) &lt; 30, STDEV.P(FILTER($G$2:G1236, $C$2:C1236 = C1236)), STDEV.P(FILTER($G$2:G1236, $C$2:C1236 = C1236, $A$2:A1236 &gt;= A1236 - 30)))
"),"#DIV/0!")</f>
        <v>#DIV/0!</v>
      </c>
    </row>
    <row r="1237" spans="1:14" x14ac:dyDescent="0.2">
      <c r="A1237" s="41"/>
      <c r="B1237" s="40"/>
      <c r="C1237" s="40"/>
      <c r="D1237" s="31"/>
      <c r="E1237" s="31"/>
      <c r="F1237" s="31"/>
      <c r="G1237" s="19" t="e">
        <f t="shared" si="20"/>
        <v>#DIV/0!</v>
      </c>
      <c r="H1237" s="20" t="str">
        <f ca="1">IFERROR(__xludf.DUMMYFUNCTION("IF(COUNTIFS($C$2:C1237, C1237, $A$2:A1237, ""&lt;="" &amp; A1237) &lt; 30, AVERAGEIF($C$2:C1237, C1237, $G$2:G1237), AVERAGE(FILTER($G$2:G1237, $C$2:C1237 = C1237, $A$2:A1237 &gt;= A1237 - 30)))
"),"#DIV/0!")</f>
        <v>#DIV/0!</v>
      </c>
      <c r="I1237" s="20" t="e">
        <f t="shared" ca="1" si="21"/>
        <v>#DIV/0!</v>
      </c>
      <c r="J1237" s="20" t="str">
        <f ca="1">IFERROR(__xludf.DUMMYFUNCTION("IF(OR($I1237=2, $I1237=3), 0, IFERROR(COUNTIFS($C$2:C1237, $C1237, $A$2:A1237, ""&gt;""&amp;IFERROR(MAX(FILTER($A$2:A1237, $C$2:C1237=$C1237, $I$2:I1237&lt;&gt;1)), 0), $I$2:I1237, 1),1))
"),"#DIV/0!")</f>
        <v>#DIV/0!</v>
      </c>
      <c r="K1237" s="7" t="e">
        <f t="shared" ca="1" si="22"/>
        <v>#DIV/0!</v>
      </c>
      <c r="L1237" s="20" t="e">
        <f t="shared" ca="1" si="23"/>
        <v>#DIV/0!</v>
      </c>
      <c r="M1237" s="21" t="e">
        <f t="shared" ca="1" si="24"/>
        <v>#DIV/0!</v>
      </c>
      <c r="N1237" s="20" t="str">
        <f ca="1">IFERROR(__xludf.DUMMYFUNCTION("IF(COUNTIFS($C$2:C1237, C1237, $A$2:A1237, ""&lt;="" &amp; A1237) &lt; 30, STDEV.P(FILTER($G$2:G1237, $C$2:C1237 = C1237)), STDEV.P(FILTER($G$2:G1237, $C$2:C1237 = C1237, $A$2:A1237 &gt;= A1237 - 30)))
"),"#DIV/0!")</f>
        <v>#DIV/0!</v>
      </c>
    </row>
    <row r="1238" spans="1:14" x14ac:dyDescent="0.2">
      <c r="A1238" s="41"/>
      <c r="B1238" s="40"/>
      <c r="C1238" s="40"/>
      <c r="D1238" s="31"/>
      <c r="E1238" s="31"/>
      <c r="F1238" s="31"/>
      <c r="G1238" s="19" t="e">
        <f t="shared" si="20"/>
        <v>#DIV/0!</v>
      </c>
      <c r="H1238" s="20" t="str">
        <f ca="1">IFERROR(__xludf.DUMMYFUNCTION("IF(COUNTIFS($C$2:C1238, C1238, $A$2:A1238, ""&lt;="" &amp; A1238) &lt; 30, AVERAGEIF($C$2:C1238, C1238, $G$2:G1238), AVERAGE(FILTER($G$2:G1238, $C$2:C1238 = C1238, $A$2:A1238 &gt;= A1238 - 30)))
"),"#DIV/0!")</f>
        <v>#DIV/0!</v>
      </c>
      <c r="I1238" s="20" t="e">
        <f t="shared" ca="1" si="21"/>
        <v>#DIV/0!</v>
      </c>
      <c r="J1238" s="20" t="str">
        <f ca="1">IFERROR(__xludf.DUMMYFUNCTION("IF(OR($I1238=2, $I1238=3), 0, IFERROR(COUNTIFS($C$2:C1238, $C1238, $A$2:A1238, ""&gt;""&amp;IFERROR(MAX(FILTER($A$2:A1238, $C$2:C1238=$C1238, $I$2:I1238&lt;&gt;1)), 0), $I$2:I1238, 1),1))
"),"#DIV/0!")</f>
        <v>#DIV/0!</v>
      </c>
      <c r="K1238" s="7" t="e">
        <f t="shared" ca="1" si="22"/>
        <v>#DIV/0!</v>
      </c>
      <c r="L1238" s="20" t="e">
        <f t="shared" ca="1" si="23"/>
        <v>#DIV/0!</v>
      </c>
      <c r="M1238" s="21" t="e">
        <f t="shared" ca="1" si="24"/>
        <v>#DIV/0!</v>
      </c>
      <c r="N1238" s="20" t="str">
        <f ca="1">IFERROR(__xludf.DUMMYFUNCTION("IF(COUNTIFS($C$2:C1238, C1238, $A$2:A1238, ""&lt;="" &amp; A1238) &lt; 30, STDEV.P(FILTER($G$2:G1238, $C$2:C1238 = C1238)), STDEV.P(FILTER($G$2:G1238, $C$2:C1238 = C1238, $A$2:A1238 &gt;= A1238 - 30)))
"),"#DIV/0!")</f>
        <v>#DIV/0!</v>
      </c>
    </row>
    <row r="1239" spans="1:14" x14ac:dyDescent="0.2">
      <c r="A1239" s="41"/>
      <c r="B1239" s="40"/>
      <c r="C1239" s="40"/>
      <c r="D1239" s="31"/>
      <c r="E1239" s="31"/>
      <c r="F1239" s="31"/>
      <c r="G1239" s="19" t="e">
        <f t="shared" si="20"/>
        <v>#DIV/0!</v>
      </c>
      <c r="H1239" s="20" t="str">
        <f ca="1">IFERROR(__xludf.DUMMYFUNCTION("IF(COUNTIFS($C$2:C1239, C1239, $A$2:A1239, ""&lt;="" &amp; A1239) &lt; 30, AVERAGEIF($C$2:C1239, C1239, $G$2:G1239), AVERAGE(FILTER($G$2:G1239, $C$2:C1239 = C1239, $A$2:A1239 &gt;= A1239 - 30)))
"),"#DIV/0!")</f>
        <v>#DIV/0!</v>
      </c>
      <c r="I1239" s="20" t="e">
        <f t="shared" ca="1" si="21"/>
        <v>#DIV/0!</v>
      </c>
      <c r="J1239" s="20" t="str">
        <f ca="1">IFERROR(__xludf.DUMMYFUNCTION("IF(OR($I1239=2, $I1239=3), 0, IFERROR(COUNTIFS($C$2:C1239, $C1239, $A$2:A1239, ""&gt;""&amp;IFERROR(MAX(FILTER($A$2:A1239, $C$2:C1239=$C1239, $I$2:I1239&lt;&gt;1)), 0), $I$2:I1239, 1),1))
"),"#DIV/0!")</f>
        <v>#DIV/0!</v>
      </c>
      <c r="K1239" s="7" t="e">
        <f t="shared" ca="1" si="22"/>
        <v>#DIV/0!</v>
      </c>
      <c r="L1239" s="20" t="e">
        <f t="shared" ca="1" si="23"/>
        <v>#DIV/0!</v>
      </c>
      <c r="M1239" s="21" t="e">
        <f t="shared" ca="1" si="24"/>
        <v>#DIV/0!</v>
      </c>
      <c r="N1239" s="20" t="str">
        <f ca="1">IFERROR(__xludf.DUMMYFUNCTION("IF(COUNTIFS($C$2:C1239, C1239, $A$2:A1239, ""&lt;="" &amp; A1239) &lt; 30, STDEV.P(FILTER($G$2:G1239, $C$2:C1239 = C1239)), STDEV.P(FILTER($G$2:G1239, $C$2:C1239 = C1239, $A$2:A1239 &gt;= A1239 - 30)))
"),"#DIV/0!")</f>
        <v>#DIV/0!</v>
      </c>
    </row>
    <row r="1240" spans="1:14" x14ac:dyDescent="0.2">
      <c r="A1240" s="41"/>
      <c r="B1240" s="40"/>
      <c r="C1240" s="40"/>
      <c r="D1240" s="31"/>
      <c r="E1240" s="31"/>
      <c r="F1240" s="31"/>
      <c r="G1240" s="19" t="e">
        <f t="shared" si="20"/>
        <v>#DIV/0!</v>
      </c>
      <c r="H1240" s="20" t="str">
        <f ca="1">IFERROR(__xludf.DUMMYFUNCTION("IF(COUNTIFS($C$2:C1240, C1240, $A$2:A1240, ""&lt;="" &amp; A1240) &lt; 30, AVERAGEIF($C$2:C1240, C1240, $G$2:G1240), AVERAGE(FILTER($G$2:G1240, $C$2:C1240 = C1240, $A$2:A1240 &gt;= A1240 - 30)))
"),"#DIV/0!")</f>
        <v>#DIV/0!</v>
      </c>
      <c r="I1240" s="20" t="e">
        <f t="shared" ca="1" si="21"/>
        <v>#DIV/0!</v>
      </c>
      <c r="J1240" s="20" t="str">
        <f ca="1">IFERROR(__xludf.DUMMYFUNCTION("IF(OR($I1240=2, $I1240=3), 0, IFERROR(COUNTIFS($C$2:C1240, $C1240, $A$2:A1240, ""&gt;""&amp;IFERROR(MAX(FILTER($A$2:A1240, $C$2:C1240=$C1240, $I$2:I1240&lt;&gt;1)), 0), $I$2:I1240, 1),1))
"),"#DIV/0!")</f>
        <v>#DIV/0!</v>
      </c>
      <c r="K1240" s="7" t="e">
        <f t="shared" ca="1" si="22"/>
        <v>#DIV/0!</v>
      </c>
      <c r="L1240" s="20" t="e">
        <f t="shared" ca="1" si="23"/>
        <v>#DIV/0!</v>
      </c>
      <c r="M1240" s="21" t="e">
        <f t="shared" ca="1" si="24"/>
        <v>#DIV/0!</v>
      </c>
      <c r="N1240" s="20" t="str">
        <f ca="1">IFERROR(__xludf.DUMMYFUNCTION("IF(COUNTIFS($C$2:C1240, C1240, $A$2:A1240, ""&lt;="" &amp; A1240) &lt; 30, STDEV.P(FILTER($G$2:G1240, $C$2:C1240 = C1240)), STDEV.P(FILTER($G$2:G1240, $C$2:C1240 = C1240, $A$2:A1240 &gt;= A1240 - 30)))
"),"#DIV/0!")</f>
        <v>#DIV/0!</v>
      </c>
    </row>
    <row r="1241" spans="1:14" x14ac:dyDescent="0.2">
      <c r="A1241" s="41"/>
      <c r="B1241" s="40"/>
      <c r="C1241" s="40"/>
      <c r="D1241" s="31"/>
      <c r="E1241" s="31"/>
      <c r="F1241" s="31"/>
      <c r="G1241" s="19" t="e">
        <f t="shared" si="20"/>
        <v>#DIV/0!</v>
      </c>
      <c r="H1241" s="20" t="str">
        <f ca="1">IFERROR(__xludf.DUMMYFUNCTION("IF(COUNTIFS($C$2:C1241, C1241, $A$2:A1241, ""&lt;="" &amp; A1241) &lt; 30, AVERAGEIF($C$2:C1241, C1241, $G$2:G1241), AVERAGE(FILTER($G$2:G1241, $C$2:C1241 = C1241, $A$2:A1241 &gt;= A1241 - 30)))
"),"#DIV/0!")</f>
        <v>#DIV/0!</v>
      </c>
      <c r="I1241" s="20" t="e">
        <f t="shared" ca="1" si="21"/>
        <v>#DIV/0!</v>
      </c>
      <c r="J1241" s="20" t="str">
        <f ca="1">IFERROR(__xludf.DUMMYFUNCTION("IF(OR($I1241=2, $I1241=3), 0, IFERROR(COUNTIFS($C$2:C1241, $C1241, $A$2:A1241, ""&gt;""&amp;IFERROR(MAX(FILTER($A$2:A1241, $C$2:C1241=$C1241, $I$2:I1241&lt;&gt;1)), 0), $I$2:I1241, 1),1))
"),"#DIV/0!")</f>
        <v>#DIV/0!</v>
      </c>
      <c r="K1241" s="7" t="e">
        <f t="shared" ca="1" si="22"/>
        <v>#DIV/0!</v>
      </c>
      <c r="L1241" s="20" t="e">
        <f t="shared" ca="1" si="23"/>
        <v>#DIV/0!</v>
      </c>
      <c r="M1241" s="21" t="e">
        <f t="shared" ca="1" si="24"/>
        <v>#DIV/0!</v>
      </c>
      <c r="N1241" s="20" t="str">
        <f ca="1">IFERROR(__xludf.DUMMYFUNCTION("IF(COUNTIFS($C$2:C1241, C1241, $A$2:A1241, ""&lt;="" &amp; A1241) &lt; 30, STDEV.P(FILTER($G$2:G1241, $C$2:C1241 = C1241)), STDEV.P(FILTER($G$2:G1241, $C$2:C1241 = C1241, $A$2:A1241 &gt;= A1241 - 30)))
"),"#DIV/0!")</f>
        <v>#DIV/0!</v>
      </c>
    </row>
    <row r="1242" spans="1:14" x14ac:dyDescent="0.2">
      <c r="A1242" s="41"/>
      <c r="B1242" s="40"/>
      <c r="C1242" s="40"/>
      <c r="D1242" s="31"/>
      <c r="E1242" s="31"/>
      <c r="F1242" s="31"/>
      <c r="G1242" s="19" t="e">
        <f t="shared" si="20"/>
        <v>#DIV/0!</v>
      </c>
      <c r="H1242" s="20" t="str">
        <f ca="1">IFERROR(__xludf.DUMMYFUNCTION("IF(COUNTIFS($C$2:C1242, C1242, $A$2:A1242, ""&lt;="" &amp; A1242) &lt; 30, AVERAGEIF($C$2:C1242, C1242, $G$2:G1242), AVERAGE(FILTER($G$2:G1242, $C$2:C1242 = C1242, $A$2:A1242 &gt;= A1242 - 30)))
"),"#DIV/0!")</f>
        <v>#DIV/0!</v>
      </c>
      <c r="I1242" s="20" t="e">
        <f t="shared" ca="1" si="21"/>
        <v>#DIV/0!</v>
      </c>
      <c r="J1242" s="20" t="str">
        <f ca="1">IFERROR(__xludf.DUMMYFUNCTION("IF(OR($I1242=2, $I1242=3), 0, IFERROR(COUNTIFS($C$2:C1242, $C1242, $A$2:A1242, ""&gt;""&amp;IFERROR(MAX(FILTER($A$2:A1242, $C$2:C1242=$C1242, $I$2:I1242&lt;&gt;1)), 0), $I$2:I1242, 1),1))
"),"#DIV/0!")</f>
        <v>#DIV/0!</v>
      </c>
      <c r="K1242" s="7" t="e">
        <f t="shared" ca="1" si="22"/>
        <v>#DIV/0!</v>
      </c>
      <c r="L1242" s="20" t="e">
        <f t="shared" ca="1" si="23"/>
        <v>#DIV/0!</v>
      </c>
      <c r="M1242" s="21" t="e">
        <f t="shared" ca="1" si="24"/>
        <v>#DIV/0!</v>
      </c>
      <c r="N1242" s="20" t="str">
        <f ca="1">IFERROR(__xludf.DUMMYFUNCTION("IF(COUNTIFS($C$2:C1242, C1242, $A$2:A1242, ""&lt;="" &amp; A1242) &lt; 30, STDEV.P(FILTER($G$2:G1242, $C$2:C1242 = C1242)), STDEV.P(FILTER($G$2:G1242, $C$2:C1242 = C1242, $A$2:A1242 &gt;= A1242 - 30)))
"),"#DIV/0!")</f>
        <v>#DIV/0!</v>
      </c>
    </row>
    <row r="1243" spans="1:14" x14ac:dyDescent="0.2">
      <c r="A1243" s="41"/>
      <c r="B1243" s="40"/>
      <c r="C1243" s="40"/>
      <c r="D1243" s="31"/>
      <c r="E1243" s="31"/>
      <c r="F1243" s="31"/>
      <c r="G1243" s="19" t="e">
        <f t="shared" si="20"/>
        <v>#DIV/0!</v>
      </c>
      <c r="H1243" s="20" t="str">
        <f ca="1">IFERROR(__xludf.DUMMYFUNCTION("IF(COUNTIFS($C$2:C1243, C1243, $A$2:A1243, ""&lt;="" &amp; A1243) &lt; 30, AVERAGEIF($C$2:C1243, C1243, $G$2:G1243), AVERAGE(FILTER($G$2:G1243, $C$2:C1243 = C1243, $A$2:A1243 &gt;= A1243 - 30)))
"),"#DIV/0!")</f>
        <v>#DIV/0!</v>
      </c>
      <c r="I1243" s="20" t="e">
        <f t="shared" ca="1" si="21"/>
        <v>#DIV/0!</v>
      </c>
      <c r="J1243" s="20" t="str">
        <f ca="1">IFERROR(__xludf.DUMMYFUNCTION("IF(OR($I1243=2, $I1243=3), 0, IFERROR(COUNTIFS($C$2:C1243, $C1243, $A$2:A1243, ""&gt;""&amp;IFERROR(MAX(FILTER($A$2:A1243, $C$2:C1243=$C1243, $I$2:I1243&lt;&gt;1)), 0), $I$2:I1243, 1),1))
"),"#DIV/0!")</f>
        <v>#DIV/0!</v>
      </c>
      <c r="K1243" s="7" t="e">
        <f t="shared" ca="1" si="22"/>
        <v>#DIV/0!</v>
      </c>
      <c r="L1243" s="20" t="e">
        <f t="shared" ca="1" si="23"/>
        <v>#DIV/0!</v>
      </c>
      <c r="M1243" s="21" t="e">
        <f t="shared" ca="1" si="24"/>
        <v>#DIV/0!</v>
      </c>
      <c r="N1243" s="20" t="str">
        <f ca="1">IFERROR(__xludf.DUMMYFUNCTION("IF(COUNTIFS($C$2:C1243, C1243, $A$2:A1243, ""&lt;="" &amp; A1243) &lt; 30, STDEV.P(FILTER($G$2:G1243, $C$2:C1243 = C1243)), STDEV.P(FILTER($G$2:G1243, $C$2:C1243 = C1243, $A$2:A1243 &gt;= A1243 - 30)))
"),"#DIV/0!")</f>
        <v>#DIV/0!</v>
      </c>
    </row>
    <row r="1244" spans="1:14" x14ac:dyDescent="0.2">
      <c r="A1244" s="41"/>
      <c r="B1244" s="40"/>
      <c r="C1244" s="40"/>
      <c r="D1244" s="31"/>
      <c r="E1244" s="31"/>
      <c r="F1244" s="31"/>
      <c r="G1244" s="19" t="e">
        <f t="shared" si="20"/>
        <v>#DIV/0!</v>
      </c>
      <c r="H1244" s="20" t="str">
        <f ca="1">IFERROR(__xludf.DUMMYFUNCTION("IF(COUNTIFS($C$2:C1244, C1244, $A$2:A1244, ""&lt;="" &amp; A1244) &lt; 30, AVERAGEIF($C$2:C1244, C1244, $G$2:G1244), AVERAGE(FILTER($G$2:G1244, $C$2:C1244 = C1244, $A$2:A1244 &gt;= A1244 - 30)))
"),"#DIV/0!")</f>
        <v>#DIV/0!</v>
      </c>
      <c r="I1244" s="20" t="e">
        <f t="shared" ca="1" si="21"/>
        <v>#DIV/0!</v>
      </c>
      <c r="J1244" s="20" t="str">
        <f ca="1">IFERROR(__xludf.DUMMYFUNCTION("IF(OR($I1244=2, $I1244=3), 0, IFERROR(COUNTIFS($C$2:C1244, $C1244, $A$2:A1244, ""&gt;""&amp;IFERROR(MAX(FILTER($A$2:A1244, $C$2:C1244=$C1244, $I$2:I1244&lt;&gt;1)), 0), $I$2:I1244, 1),1))
"),"#DIV/0!")</f>
        <v>#DIV/0!</v>
      </c>
      <c r="K1244" s="7" t="e">
        <f t="shared" ca="1" si="22"/>
        <v>#DIV/0!</v>
      </c>
      <c r="L1244" s="20" t="e">
        <f t="shared" ca="1" si="23"/>
        <v>#DIV/0!</v>
      </c>
      <c r="M1244" s="21" t="e">
        <f t="shared" ca="1" si="24"/>
        <v>#DIV/0!</v>
      </c>
      <c r="N1244" s="20" t="str">
        <f ca="1">IFERROR(__xludf.DUMMYFUNCTION("IF(COUNTIFS($C$2:C1244, C1244, $A$2:A1244, ""&lt;="" &amp; A1244) &lt; 30, STDEV.P(FILTER($G$2:G1244, $C$2:C1244 = C1244)), STDEV.P(FILTER($G$2:G1244, $C$2:C1244 = C1244, $A$2:A1244 &gt;= A1244 - 30)))
"),"#DIV/0!")</f>
        <v>#DIV/0!</v>
      </c>
    </row>
    <row r="1245" spans="1:14" x14ac:dyDescent="0.2">
      <c r="A1245" s="41"/>
      <c r="B1245" s="40"/>
      <c r="C1245" s="40"/>
      <c r="D1245" s="31"/>
      <c r="E1245" s="31"/>
      <c r="F1245" s="31"/>
      <c r="G1245" s="19" t="e">
        <f t="shared" si="20"/>
        <v>#DIV/0!</v>
      </c>
      <c r="H1245" s="20" t="str">
        <f ca="1">IFERROR(__xludf.DUMMYFUNCTION("IF(COUNTIFS($C$2:C1245, C1245, $A$2:A1245, ""&lt;="" &amp; A1245) &lt; 30, AVERAGEIF($C$2:C1245, C1245, $G$2:G1245), AVERAGE(FILTER($G$2:G1245, $C$2:C1245 = C1245, $A$2:A1245 &gt;= A1245 - 30)))
"),"#DIV/0!")</f>
        <v>#DIV/0!</v>
      </c>
      <c r="I1245" s="20" t="e">
        <f t="shared" ca="1" si="21"/>
        <v>#DIV/0!</v>
      </c>
      <c r="J1245" s="20" t="str">
        <f ca="1">IFERROR(__xludf.DUMMYFUNCTION("IF(OR($I1245=2, $I1245=3), 0, IFERROR(COUNTIFS($C$2:C1245, $C1245, $A$2:A1245, ""&gt;""&amp;IFERROR(MAX(FILTER($A$2:A1245, $C$2:C1245=$C1245, $I$2:I1245&lt;&gt;1)), 0), $I$2:I1245, 1),1))
"),"#DIV/0!")</f>
        <v>#DIV/0!</v>
      </c>
      <c r="K1245" s="7" t="e">
        <f t="shared" ca="1" si="22"/>
        <v>#DIV/0!</v>
      </c>
      <c r="L1245" s="20" t="e">
        <f t="shared" ca="1" si="23"/>
        <v>#DIV/0!</v>
      </c>
      <c r="M1245" s="21" t="e">
        <f t="shared" ca="1" si="24"/>
        <v>#DIV/0!</v>
      </c>
      <c r="N1245" s="20" t="str">
        <f ca="1">IFERROR(__xludf.DUMMYFUNCTION("IF(COUNTIFS($C$2:C1245, C1245, $A$2:A1245, ""&lt;="" &amp; A1245) &lt; 30, STDEV.P(FILTER($G$2:G1245, $C$2:C1245 = C1245)), STDEV.P(FILTER($G$2:G1245, $C$2:C1245 = C1245, $A$2:A1245 &gt;= A1245 - 30)))
"),"#DIV/0!")</f>
        <v>#DIV/0!</v>
      </c>
    </row>
    <row r="1246" spans="1:14" x14ac:dyDescent="0.2">
      <c r="A1246" s="41"/>
      <c r="B1246" s="40"/>
      <c r="C1246" s="40"/>
      <c r="D1246" s="31"/>
      <c r="E1246" s="31"/>
      <c r="F1246" s="31"/>
      <c r="G1246" s="19" t="e">
        <f t="shared" si="20"/>
        <v>#DIV/0!</v>
      </c>
      <c r="H1246" s="20" t="str">
        <f ca="1">IFERROR(__xludf.DUMMYFUNCTION("IF(COUNTIFS($C$2:C1246, C1246, $A$2:A1246, ""&lt;="" &amp; A1246) &lt; 30, AVERAGEIF($C$2:C1246, C1246, $G$2:G1246), AVERAGE(FILTER($G$2:G1246, $C$2:C1246 = C1246, $A$2:A1246 &gt;= A1246 - 30)))
"),"#DIV/0!")</f>
        <v>#DIV/0!</v>
      </c>
      <c r="I1246" s="20" t="e">
        <f t="shared" ca="1" si="21"/>
        <v>#DIV/0!</v>
      </c>
      <c r="J1246" s="20" t="str">
        <f ca="1">IFERROR(__xludf.DUMMYFUNCTION("IF(OR($I1246=2, $I1246=3), 0, IFERROR(COUNTIFS($C$2:C1246, $C1246, $A$2:A1246, ""&gt;""&amp;IFERROR(MAX(FILTER($A$2:A1246, $C$2:C1246=$C1246, $I$2:I1246&lt;&gt;1)), 0), $I$2:I1246, 1),1))
"),"#DIV/0!")</f>
        <v>#DIV/0!</v>
      </c>
      <c r="K1246" s="7" t="e">
        <f t="shared" ca="1" si="22"/>
        <v>#DIV/0!</v>
      </c>
      <c r="L1246" s="20" t="e">
        <f t="shared" ca="1" si="23"/>
        <v>#DIV/0!</v>
      </c>
      <c r="M1246" s="21" t="e">
        <f t="shared" ca="1" si="24"/>
        <v>#DIV/0!</v>
      </c>
      <c r="N1246" s="20" t="str">
        <f ca="1">IFERROR(__xludf.DUMMYFUNCTION("IF(COUNTIFS($C$2:C1246, C1246, $A$2:A1246, ""&lt;="" &amp; A1246) &lt; 30, STDEV.P(FILTER($G$2:G1246, $C$2:C1246 = C1246)), STDEV.P(FILTER($G$2:G1246, $C$2:C1246 = C1246, $A$2:A1246 &gt;= A1246 - 30)))
"),"#DIV/0!")</f>
        <v>#DIV/0!</v>
      </c>
    </row>
    <row r="1247" spans="1:14" x14ac:dyDescent="0.2">
      <c r="A1247" s="41"/>
      <c r="B1247" s="40"/>
      <c r="C1247" s="40"/>
      <c r="D1247" s="31"/>
      <c r="E1247" s="31"/>
      <c r="F1247" s="31"/>
      <c r="G1247" s="19" t="e">
        <f t="shared" si="20"/>
        <v>#DIV/0!</v>
      </c>
      <c r="H1247" s="20" t="str">
        <f ca="1">IFERROR(__xludf.DUMMYFUNCTION("IF(COUNTIFS($C$2:C1247, C1247, $A$2:A1247, ""&lt;="" &amp; A1247) &lt; 30, AVERAGEIF($C$2:C1247, C1247, $G$2:G1247), AVERAGE(FILTER($G$2:G1247, $C$2:C1247 = C1247, $A$2:A1247 &gt;= A1247 - 30)))
"),"#DIV/0!")</f>
        <v>#DIV/0!</v>
      </c>
      <c r="I1247" s="20" t="e">
        <f t="shared" ca="1" si="21"/>
        <v>#DIV/0!</v>
      </c>
      <c r="J1247" s="20" t="str">
        <f ca="1">IFERROR(__xludf.DUMMYFUNCTION("IF(OR($I1247=2, $I1247=3), 0, IFERROR(COUNTIFS($C$2:C1247, $C1247, $A$2:A1247, ""&gt;""&amp;IFERROR(MAX(FILTER($A$2:A1247, $C$2:C1247=$C1247, $I$2:I1247&lt;&gt;1)), 0), $I$2:I1247, 1),1))
"),"#DIV/0!")</f>
        <v>#DIV/0!</v>
      </c>
      <c r="K1247" s="7" t="e">
        <f t="shared" ca="1" si="22"/>
        <v>#DIV/0!</v>
      </c>
      <c r="L1247" s="20" t="e">
        <f t="shared" ca="1" si="23"/>
        <v>#DIV/0!</v>
      </c>
      <c r="M1247" s="21" t="e">
        <f t="shared" ca="1" si="24"/>
        <v>#DIV/0!</v>
      </c>
      <c r="N1247" s="20" t="str">
        <f ca="1">IFERROR(__xludf.DUMMYFUNCTION("IF(COUNTIFS($C$2:C1247, C1247, $A$2:A1247, ""&lt;="" &amp; A1247) &lt; 30, STDEV.P(FILTER($G$2:G1247, $C$2:C1247 = C1247)), STDEV.P(FILTER($G$2:G1247, $C$2:C1247 = C1247, $A$2:A1247 &gt;= A1247 - 30)))
"),"#DIV/0!")</f>
        <v>#DIV/0!</v>
      </c>
    </row>
    <row r="1248" spans="1:14" x14ac:dyDescent="0.2">
      <c r="A1248" s="41"/>
      <c r="B1248" s="40"/>
      <c r="C1248" s="40"/>
      <c r="D1248" s="31"/>
      <c r="E1248" s="31"/>
      <c r="F1248" s="31"/>
      <c r="G1248" s="19" t="e">
        <f t="shared" si="20"/>
        <v>#DIV/0!</v>
      </c>
      <c r="H1248" s="20" t="str">
        <f ca="1">IFERROR(__xludf.DUMMYFUNCTION("IF(COUNTIFS($C$2:C1248, C1248, $A$2:A1248, ""&lt;="" &amp; A1248) &lt; 30, AVERAGEIF($C$2:C1248, C1248, $G$2:G1248), AVERAGE(FILTER($G$2:G1248, $C$2:C1248 = C1248, $A$2:A1248 &gt;= A1248 - 30)))
"),"#DIV/0!")</f>
        <v>#DIV/0!</v>
      </c>
      <c r="I1248" s="20" t="e">
        <f t="shared" ca="1" si="21"/>
        <v>#DIV/0!</v>
      </c>
      <c r="J1248" s="20" t="str">
        <f ca="1">IFERROR(__xludf.DUMMYFUNCTION("IF(OR($I1248=2, $I1248=3), 0, IFERROR(COUNTIFS($C$2:C1248, $C1248, $A$2:A1248, ""&gt;""&amp;IFERROR(MAX(FILTER($A$2:A1248, $C$2:C1248=$C1248, $I$2:I1248&lt;&gt;1)), 0), $I$2:I1248, 1),1))
"),"#DIV/0!")</f>
        <v>#DIV/0!</v>
      </c>
      <c r="K1248" s="7" t="e">
        <f t="shared" ca="1" si="22"/>
        <v>#DIV/0!</v>
      </c>
      <c r="L1248" s="20" t="e">
        <f t="shared" ca="1" si="23"/>
        <v>#DIV/0!</v>
      </c>
      <c r="M1248" s="21" t="e">
        <f t="shared" ca="1" si="24"/>
        <v>#DIV/0!</v>
      </c>
      <c r="N1248" s="20" t="str">
        <f ca="1">IFERROR(__xludf.DUMMYFUNCTION("IF(COUNTIFS($C$2:C1248, C1248, $A$2:A1248, ""&lt;="" &amp; A1248) &lt; 30, STDEV.P(FILTER($G$2:G1248, $C$2:C1248 = C1248)), STDEV.P(FILTER($G$2:G1248, $C$2:C1248 = C1248, $A$2:A1248 &gt;= A1248 - 30)))
"),"#DIV/0!")</f>
        <v>#DIV/0!</v>
      </c>
    </row>
    <row r="1249" spans="1:14" x14ac:dyDescent="0.2">
      <c r="A1249" s="41"/>
      <c r="B1249" s="40"/>
      <c r="C1249" s="40"/>
      <c r="D1249" s="31"/>
      <c r="E1249" s="31"/>
      <c r="F1249" s="31"/>
      <c r="G1249" s="19" t="e">
        <f t="shared" si="20"/>
        <v>#DIV/0!</v>
      </c>
      <c r="H1249" s="20" t="str">
        <f ca="1">IFERROR(__xludf.DUMMYFUNCTION("IF(COUNTIFS($C$2:C1249, C1249, $A$2:A1249, ""&lt;="" &amp; A1249) &lt; 30, AVERAGEIF($C$2:C1249, C1249, $G$2:G1249), AVERAGE(FILTER($G$2:G1249, $C$2:C1249 = C1249, $A$2:A1249 &gt;= A1249 - 30)))
"),"#DIV/0!")</f>
        <v>#DIV/0!</v>
      </c>
      <c r="I1249" s="20" t="e">
        <f t="shared" ca="1" si="21"/>
        <v>#DIV/0!</v>
      </c>
      <c r="J1249" s="20" t="str">
        <f ca="1">IFERROR(__xludf.DUMMYFUNCTION("IF(OR($I1249=2, $I1249=3), 0, IFERROR(COUNTIFS($C$2:C1249, $C1249, $A$2:A1249, ""&gt;""&amp;IFERROR(MAX(FILTER($A$2:A1249, $C$2:C1249=$C1249, $I$2:I1249&lt;&gt;1)), 0), $I$2:I1249, 1),1))
"),"#DIV/0!")</f>
        <v>#DIV/0!</v>
      </c>
      <c r="K1249" s="7" t="e">
        <f t="shared" ca="1" si="22"/>
        <v>#DIV/0!</v>
      </c>
      <c r="L1249" s="20" t="e">
        <f t="shared" ca="1" si="23"/>
        <v>#DIV/0!</v>
      </c>
      <c r="M1249" s="21" t="e">
        <f t="shared" ca="1" si="24"/>
        <v>#DIV/0!</v>
      </c>
      <c r="N1249" s="20" t="str">
        <f ca="1">IFERROR(__xludf.DUMMYFUNCTION("IF(COUNTIFS($C$2:C1249, C1249, $A$2:A1249, ""&lt;="" &amp; A1249) &lt; 30, STDEV.P(FILTER($G$2:G1249, $C$2:C1249 = C1249)), STDEV.P(FILTER($G$2:G1249, $C$2:C1249 = C1249, $A$2:A1249 &gt;= A1249 - 30)))
"),"#DIV/0!")</f>
        <v>#DIV/0!</v>
      </c>
    </row>
    <row r="1250" spans="1:14" x14ac:dyDescent="0.2">
      <c r="A1250" s="41"/>
      <c r="B1250" s="40"/>
      <c r="C1250" s="40"/>
      <c r="D1250" s="31"/>
      <c r="E1250" s="31"/>
      <c r="F1250" s="31"/>
      <c r="G1250" s="19" t="e">
        <f t="shared" si="20"/>
        <v>#DIV/0!</v>
      </c>
      <c r="H1250" s="20" t="str">
        <f ca="1">IFERROR(__xludf.DUMMYFUNCTION("IF(COUNTIFS($C$2:C1250, C1250, $A$2:A1250, ""&lt;="" &amp; A1250) &lt; 30, AVERAGEIF($C$2:C1250, C1250, $G$2:G1250), AVERAGE(FILTER($G$2:G1250, $C$2:C1250 = C1250, $A$2:A1250 &gt;= A1250 - 30)))
"),"#DIV/0!")</f>
        <v>#DIV/0!</v>
      </c>
      <c r="I1250" s="20" t="e">
        <f t="shared" ca="1" si="21"/>
        <v>#DIV/0!</v>
      </c>
      <c r="J1250" s="20" t="str">
        <f ca="1">IFERROR(__xludf.DUMMYFUNCTION("IF(OR($I1250=2, $I1250=3), 0, IFERROR(COUNTIFS($C$2:C1250, $C1250, $A$2:A1250, ""&gt;""&amp;IFERROR(MAX(FILTER($A$2:A1250, $C$2:C1250=$C1250, $I$2:I1250&lt;&gt;1)), 0), $I$2:I1250, 1),1))
"),"#DIV/0!")</f>
        <v>#DIV/0!</v>
      </c>
      <c r="K1250" s="7" t="e">
        <f t="shared" ca="1" si="22"/>
        <v>#DIV/0!</v>
      </c>
      <c r="L1250" s="20" t="e">
        <f t="shared" ca="1" si="23"/>
        <v>#DIV/0!</v>
      </c>
      <c r="M1250" s="21" t="e">
        <f t="shared" ca="1" si="24"/>
        <v>#DIV/0!</v>
      </c>
      <c r="N1250" s="20" t="str">
        <f ca="1">IFERROR(__xludf.DUMMYFUNCTION("IF(COUNTIFS($C$2:C1250, C1250, $A$2:A1250, ""&lt;="" &amp; A1250) &lt; 30, STDEV.P(FILTER($G$2:G1250, $C$2:C1250 = C1250)), STDEV.P(FILTER($G$2:G1250, $C$2:C1250 = C1250, $A$2:A1250 &gt;= A1250 - 30)))
"),"#DIV/0!")</f>
        <v>#DIV/0!</v>
      </c>
    </row>
    <row r="1251" spans="1:14" x14ac:dyDescent="0.2">
      <c r="A1251" s="41"/>
      <c r="B1251" s="40"/>
      <c r="C1251" s="40"/>
      <c r="D1251" s="31"/>
      <c r="E1251" s="31"/>
      <c r="F1251" s="31"/>
      <c r="G1251" s="19" t="e">
        <f t="shared" si="20"/>
        <v>#DIV/0!</v>
      </c>
      <c r="H1251" s="20" t="str">
        <f ca="1">IFERROR(__xludf.DUMMYFUNCTION("IF(COUNTIFS($C$2:C1251, C1251, $A$2:A1251, ""&lt;="" &amp; A1251) &lt; 30, AVERAGEIF($C$2:C1251, C1251, $G$2:G1251), AVERAGE(FILTER($G$2:G1251, $C$2:C1251 = C1251, $A$2:A1251 &gt;= A1251 - 30)))
"),"#DIV/0!")</f>
        <v>#DIV/0!</v>
      </c>
      <c r="I1251" s="20" t="e">
        <f t="shared" ca="1" si="21"/>
        <v>#DIV/0!</v>
      </c>
      <c r="J1251" s="20" t="str">
        <f ca="1">IFERROR(__xludf.DUMMYFUNCTION("IF(OR($I1251=2, $I1251=3), 0, IFERROR(COUNTIFS($C$2:C1251, $C1251, $A$2:A1251, ""&gt;""&amp;IFERROR(MAX(FILTER($A$2:A1251, $C$2:C1251=$C1251, $I$2:I1251&lt;&gt;1)), 0), $I$2:I1251, 1),1))
"),"#DIV/0!")</f>
        <v>#DIV/0!</v>
      </c>
      <c r="K1251" s="7" t="e">
        <f t="shared" ca="1" si="22"/>
        <v>#DIV/0!</v>
      </c>
      <c r="L1251" s="20" t="e">
        <f t="shared" ca="1" si="23"/>
        <v>#DIV/0!</v>
      </c>
      <c r="M1251" s="21" t="e">
        <f t="shared" ca="1" si="24"/>
        <v>#DIV/0!</v>
      </c>
      <c r="N1251" s="20" t="str">
        <f ca="1">IFERROR(__xludf.DUMMYFUNCTION("IF(COUNTIFS($C$2:C1251, C1251, $A$2:A1251, ""&lt;="" &amp; A1251) &lt; 30, STDEV.P(FILTER($G$2:G1251, $C$2:C1251 = C1251)), STDEV.P(FILTER($G$2:G1251, $C$2:C1251 = C1251, $A$2:A1251 &gt;= A1251 - 30)))
"),"#DIV/0!")</f>
        <v>#DIV/0!</v>
      </c>
    </row>
    <row r="1252" spans="1:14" x14ac:dyDescent="0.2">
      <c r="A1252" s="41"/>
      <c r="B1252" s="40"/>
      <c r="C1252" s="40"/>
      <c r="D1252" s="31"/>
      <c r="E1252" s="31"/>
      <c r="F1252" s="31"/>
      <c r="G1252" s="19" t="e">
        <f t="shared" si="20"/>
        <v>#DIV/0!</v>
      </c>
      <c r="H1252" s="20" t="str">
        <f ca="1">IFERROR(__xludf.DUMMYFUNCTION("IF(COUNTIFS($C$2:C1252, C1252, $A$2:A1252, ""&lt;="" &amp; A1252) &lt; 30, AVERAGEIF($C$2:C1252, C1252, $G$2:G1252), AVERAGE(FILTER($G$2:G1252, $C$2:C1252 = C1252, $A$2:A1252 &gt;= A1252 - 30)))
"),"#DIV/0!")</f>
        <v>#DIV/0!</v>
      </c>
      <c r="I1252" s="20" t="e">
        <f t="shared" ca="1" si="21"/>
        <v>#DIV/0!</v>
      </c>
      <c r="J1252" s="20" t="str">
        <f ca="1">IFERROR(__xludf.DUMMYFUNCTION("IF(OR($I1252=2, $I1252=3), 0, IFERROR(COUNTIFS($C$2:C1252, $C1252, $A$2:A1252, ""&gt;""&amp;IFERROR(MAX(FILTER($A$2:A1252, $C$2:C1252=$C1252, $I$2:I1252&lt;&gt;1)), 0), $I$2:I1252, 1),1))
"),"#DIV/0!")</f>
        <v>#DIV/0!</v>
      </c>
      <c r="K1252" s="7" t="e">
        <f t="shared" ca="1" si="22"/>
        <v>#DIV/0!</v>
      </c>
      <c r="L1252" s="20" t="e">
        <f t="shared" ca="1" si="23"/>
        <v>#DIV/0!</v>
      </c>
      <c r="M1252" s="21" t="e">
        <f t="shared" ca="1" si="24"/>
        <v>#DIV/0!</v>
      </c>
      <c r="N1252" s="20" t="str">
        <f ca="1">IFERROR(__xludf.DUMMYFUNCTION("IF(COUNTIFS($C$2:C1252, C1252, $A$2:A1252, ""&lt;="" &amp; A1252) &lt; 30, STDEV.P(FILTER($G$2:G1252, $C$2:C1252 = C1252)), STDEV.P(FILTER($G$2:G1252, $C$2:C1252 = C1252, $A$2:A1252 &gt;= A1252 - 30)))
"),"#DIV/0!")</f>
        <v>#DIV/0!</v>
      </c>
    </row>
    <row r="1253" spans="1:14" x14ac:dyDescent="0.2">
      <c r="A1253" s="41"/>
      <c r="B1253" s="40"/>
      <c r="C1253" s="40"/>
      <c r="D1253" s="31"/>
      <c r="E1253" s="31"/>
      <c r="F1253" s="31"/>
      <c r="G1253" s="19" t="e">
        <f t="shared" si="20"/>
        <v>#DIV/0!</v>
      </c>
      <c r="H1253" s="20" t="str">
        <f ca="1">IFERROR(__xludf.DUMMYFUNCTION("IF(COUNTIFS($C$2:C1253, C1253, $A$2:A1253, ""&lt;="" &amp; A1253) &lt; 30, AVERAGEIF($C$2:C1253, C1253, $G$2:G1253), AVERAGE(FILTER($G$2:G1253, $C$2:C1253 = C1253, $A$2:A1253 &gt;= A1253 - 30)))
"),"#DIV/0!")</f>
        <v>#DIV/0!</v>
      </c>
      <c r="I1253" s="20" t="e">
        <f t="shared" ca="1" si="21"/>
        <v>#DIV/0!</v>
      </c>
      <c r="J1253" s="20" t="str">
        <f ca="1">IFERROR(__xludf.DUMMYFUNCTION("IF(OR($I1253=2, $I1253=3), 0, IFERROR(COUNTIFS($C$2:C1253, $C1253, $A$2:A1253, ""&gt;""&amp;IFERROR(MAX(FILTER($A$2:A1253, $C$2:C1253=$C1253, $I$2:I1253&lt;&gt;1)), 0), $I$2:I1253, 1),1))
"),"#DIV/0!")</f>
        <v>#DIV/0!</v>
      </c>
      <c r="K1253" s="7" t="e">
        <f t="shared" ca="1" si="22"/>
        <v>#DIV/0!</v>
      </c>
      <c r="L1253" s="20" t="e">
        <f t="shared" ca="1" si="23"/>
        <v>#DIV/0!</v>
      </c>
      <c r="M1253" s="21" t="e">
        <f t="shared" ca="1" si="24"/>
        <v>#DIV/0!</v>
      </c>
      <c r="N1253" s="20" t="str">
        <f ca="1">IFERROR(__xludf.DUMMYFUNCTION("IF(COUNTIFS($C$2:C1253, C1253, $A$2:A1253, ""&lt;="" &amp; A1253) &lt; 30, STDEV.P(FILTER($G$2:G1253, $C$2:C1253 = C1253)), STDEV.P(FILTER($G$2:G1253, $C$2:C1253 = C1253, $A$2:A1253 &gt;= A1253 - 30)))
"),"#DIV/0!")</f>
        <v>#DIV/0!</v>
      </c>
    </row>
    <row r="1254" spans="1:14" x14ac:dyDescent="0.2">
      <c r="A1254" s="41"/>
      <c r="B1254" s="40"/>
      <c r="C1254" s="40"/>
      <c r="D1254" s="31"/>
      <c r="E1254" s="40"/>
      <c r="F1254" s="40"/>
      <c r="G1254" s="19" t="e">
        <f t="shared" si="20"/>
        <v>#DIV/0!</v>
      </c>
      <c r="H1254" s="20" t="str">
        <f ca="1">IFERROR(__xludf.DUMMYFUNCTION("IF(COUNTIFS($C$2:C1254, C1254, $A$2:A1254, ""&lt;="" &amp; A1254) &lt; 30, AVERAGEIF($C$2:C1254, C1254, $G$2:G1254), AVERAGE(FILTER($G$2:G1254, $C$2:C1254 = C1254, $A$2:A1254 &gt;= A1254 - 30)))
"),"#DIV/0!")</f>
        <v>#DIV/0!</v>
      </c>
      <c r="I1254" s="20" t="e">
        <f t="shared" ca="1" si="21"/>
        <v>#DIV/0!</v>
      </c>
      <c r="J1254" s="20" t="str">
        <f ca="1">IFERROR(__xludf.DUMMYFUNCTION("IF(OR($I1254=2, $I1254=3), 0, IFERROR(COUNTIFS($C$2:C1254, $C1254, $A$2:A1254, ""&gt;""&amp;IFERROR(MAX(FILTER($A$2:A1254, $C$2:C1254=$C1254, $I$2:I1254&lt;&gt;1)), 0), $I$2:I1254, 1),1))
"),"#DIV/0!")</f>
        <v>#DIV/0!</v>
      </c>
      <c r="K1254" s="7" t="e">
        <f t="shared" ca="1" si="22"/>
        <v>#DIV/0!</v>
      </c>
      <c r="L1254" s="20" t="e">
        <f t="shared" ca="1" si="23"/>
        <v>#DIV/0!</v>
      </c>
      <c r="M1254" s="21" t="e">
        <f t="shared" ca="1" si="24"/>
        <v>#DIV/0!</v>
      </c>
      <c r="N1254" s="20" t="str">
        <f ca="1">IFERROR(__xludf.DUMMYFUNCTION("IF(COUNTIFS($C$2:C1254, C1254, $A$2:A1254, ""&lt;="" &amp; A1254) &lt; 30, STDEV.P(FILTER($G$2:G1254, $C$2:C1254 = C1254)), STDEV.P(FILTER($G$2:G1254, $C$2:C1254 = C1254, $A$2:A1254 &gt;= A1254 - 30)))
"),"#DIV/0!")</f>
        <v>#DIV/0!</v>
      </c>
    </row>
    <row r="1255" spans="1:14" x14ac:dyDescent="0.2">
      <c r="A1255" s="41"/>
      <c r="B1255" s="40"/>
      <c r="C1255" s="40"/>
      <c r="D1255" s="31"/>
      <c r="E1255" s="40"/>
      <c r="F1255" s="40"/>
      <c r="G1255" s="19" t="e">
        <f t="shared" si="20"/>
        <v>#DIV/0!</v>
      </c>
      <c r="H1255" s="20" t="str">
        <f ca="1">IFERROR(__xludf.DUMMYFUNCTION("IF(COUNTIFS($C$2:C1255, C1255, $A$2:A1255, ""&lt;="" &amp; A1255) &lt; 30, AVERAGEIF($C$2:C1255, C1255, $G$2:G1255), AVERAGE(FILTER($G$2:G1255, $C$2:C1255 = C1255, $A$2:A1255 &gt;= A1255 - 30)))
"),"#DIV/0!")</f>
        <v>#DIV/0!</v>
      </c>
      <c r="I1255" s="20" t="e">
        <f t="shared" ca="1" si="21"/>
        <v>#DIV/0!</v>
      </c>
      <c r="J1255" s="20" t="str">
        <f ca="1">IFERROR(__xludf.DUMMYFUNCTION("IF(OR($I1255=2, $I1255=3), 0, IFERROR(COUNTIFS($C$2:C1255, $C1255, $A$2:A1255, ""&gt;""&amp;IFERROR(MAX(FILTER($A$2:A1255, $C$2:C1255=$C1255, $I$2:I1255&lt;&gt;1)), 0), $I$2:I1255, 1),1))
"),"#DIV/0!")</f>
        <v>#DIV/0!</v>
      </c>
      <c r="K1255" s="7" t="e">
        <f t="shared" ca="1" si="22"/>
        <v>#DIV/0!</v>
      </c>
      <c r="L1255" s="20" t="e">
        <f t="shared" ca="1" si="23"/>
        <v>#DIV/0!</v>
      </c>
      <c r="M1255" s="21" t="e">
        <f t="shared" ca="1" si="24"/>
        <v>#DIV/0!</v>
      </c>
      <c r="N1255" s="20" t="str">
        <f ca="1">IFERROR(__xludf.DUMMYFUNCTION("IF(COUNTIFS($C$2:C1255, C1255, $A$2:A1255, ""&lt;="" &amp; A1255) &lt; 30, STDEV.P(FILTER($G$2:G1255, $C$2:C1255 = C1255)), STDEV.P(FILTER($G$2:G1255, $C$2:C1255 = C1255, $A$2:A1255 &gt;= A1255 - 30)))
"),"#DIV/0!")</f>
        <v>#DIV/0!</v>
      </c>
    </row>
    <row r="1256" spans="1:14" x14ac:dyDescent="0.2">
      <c r="A1256" s="41"/>
      <c r="B1256" s="40"/>
      <c r="C1256" s="40"/>
      <c r="D1256" s="31"/>
      <c r="E1256" s="31"/>
      <c r="F1256" s="31"/>
      <c r="G1256" s="19" t="e">
        <f t="shared" si="20"/>
        <v>#DIV/0!</v>
      </c>
      <c r="H1256" s="20" t="str">
        <f ca="1">IFERROR(__xludf.DUMMYFUNCTION("IF(COUNTIFS($C$2:C1256, C1256, $A$2:A1256, ""&lt;="" &amp; A1256) &lt; 30, AVERAGEIF($C$2:C1256, C1256, $G$2:G1256), AVERAGE(FILTER($G$2:G1256, $C$2:C1256 = C1256, $A$2:A1256 &gt;= A1256 - 30)))
"),"#DIV/0!")</f>
        <v>#DIV/0!</v>
      </c>
      <c r="I1256" s="20" t="e">
        <f t="shared" ca="1" si="21"/>
        <v>#DIV/0!</v>
      </c>
      <c r="J1256" s="20" t="str">
        <f ca="1">IFERROR(__xludf.DUMMYFUNCTION("IF(OR($I1256=2, $I1256=3), 0, IFERROR(COUNTIFS($C$2:C1256, $C1256, $A$2:A1256, ""&gt;""&amp;IFERROR(MAX(FILTER($A$2:A1256, $C$2:C1256=$C1256, $I$2:I1256&lt;&gt;1)), 0), $I$2:I1256, 1),1))
"),"#DIV/0!")</f>
        <v>#DIV/0!</v>
      </c>
      <c r="K1256" s="7" t="e">
        <f t="shared" ca="1" si="22"/>
        <v>#DIV/0!</v>
      </c>
      <c r="L1256" s="20" t="e">
        <f t="shared" ca="1" si="23"/>
        <v>#DIV/0!</v>
      </c>
      <c r="M1256" s="21" t="e">
        <f t="shared" ca="1" si="24"/>
        <v>#DIV/0!</v>
      </c>
      <c r="N1256" s="20" t="str">
        <f ca="1">IFERROR(__xludf.DUMMYFUNCTION("IF(COUNTIFS($C$2:C1256, C1256, $A$2:A1256, ""&lt;="" &amp; A1256) &lt; 30, STDEV.P(FILTER($G$2:G1256, $C$2:C1256 = C1256)), STDEV.P(FILTER($G$2:G1256, $C$2:C1256 = C1256, $A$2:A1256 &gt;= A1256 - 30)))
"),"#DIV/0!")</f>
        <v>#DIV/0!</v>
      </c>
    </row>
    <row r="1257" spans="1:14" x14ac:dyDescent="0.2">
      <c r="A1257" s="41"/>
      <c r="B1257" s="40"/>
      <c r="C1257" s="40"/>
      <c r="D1257" s="31"/>
      <c r="E1257" s="31"/>
      <c r="F1257" s="31"/>
      <c r="G1257" s="19" t="e">
        <f t="shared" si="20"/>
        <v>#DIV/0!</v>
      </c>
      <c r="H1257" s="20" t="str">
        <f ca="1">IFERROR(__xludf.DUMMYFUNCTION("IF(COUNTIFS($C$2:C1257, C1257, $A$2:A1257, ""&lt;="" &amp; A1257) &lt; 30, AVERAGEIF($C$2:C1257, C1257, $G$2:G1257), AVERAGE(FILTER($G$2:G1257, $C$2:C1257 = C1257, $A$2:A1257 &gt;= A1257 - 30)))
"),"#DIV/0!")</f>
        <v>#DIV/0!</v>
      </c>
      <c r="I1257" s="20" t="e">
        <f t="shared" ca="1" si="21"/>
        <v>#DIV/0!</v>
      </c>
      <c r="J1257" s="20" t="str">
        <f ca="1">IFERROR(__xludf.DUMMYFUNCTION("IF(OR($I1257=2, $I1257=3), 0, IFERROR(COUNTIFS($C$2:C1257, $C1257, $A$2:A1257, ""&gt;""&amp;IFERROR(MAX(FILTER($A$2:A1257, $C$2:C1257=$C1257, $I$2:I1257&lt;&gt;1)), 0), $I$2:I1257, 1),1))
"),"#DIV/0!")</f>
        <v>#DIV/0!</v>
      </c>
      <c r="K1257" s="7" t="e">
        <f t="shared" ca="1" si="22"/>
        <v>#DIV/0!</v>
      </c>
      <c r="L1257" s="20" t="e">
        <f t="shared" ca="1" si="23"/>
        <v>#DIV/0!</v>
      </c>
      <c r="M1257" s="21" t="e">
        <f t="shared" ca="1" si="24"/>
        <v>#DIV/0!</v>
      </c>
      <c r="N1257" s="20" t="str">
        <f ca="1">IFERROR(__xludf.DUMMYFUNCTION("IF(COUNTIFS($C$2:C1257, C1257, $A$2:A1257, ""&lt;="" &amp; A1257) &lt; 30, STDEV.P(FILTER($G$2:G1257, $C$2:C1257 = C1257)), STDEV.P(FILTER($G$2:G1257, $C$2:C1257 = C1257, $A$2:A1257 &gt;= A1257 - 30)))
"),"#DIV/0!")</f>
        <v>#DIV/0!</v>
      </c>
    </row>
    <row r="1258" spans="1:14" x14ac:dyDescent="0.2">
      <c r="A1258" s="41"/>
      <c r="B1258" s="40"/>
      <c r="C1258" s="40"/>
      <c r="D1258" s="31"/>
      <c r="E1258" s="31"/>
      <c r="F1258" s="31"/>
      <c r="G1258" s="19" t="e">
        <f t="shared" si="20"/>
        <v>#DIV/0!</v>
      </c>
      <c r="H1258" s="20" t="str">
        <f ca="1">IFERROR(__xludf.DUMMYFUNCTION("IF(COUNTIFS($C$2:C1258, C1258, $A$2:A1258, ""&lt;="" &amp; A1258) &lt; 30, AVERAGEIF($C$2:C1258, C1258, $G$2:G1258), AVERAGE(FILTER($G$2:G1258, $C$2:C1258 = C1258, $A$2:A1258 &gt;= A1258 - 30)))
"),"#DIV/0!")</f>
        <v>#DIV/0!</v>
      </c>
      <c r="I1258" s="20" t="e">
        <f t="shared" ca="1" si="21"/>
        <v>#DIV/0!</v>
      </c>
      <c r="J1258" s="20" t="str">
        <f ca="1">IFERROR(__xludf.DUMMYFUNCTION("IF(OR($I1258=2, $I1258=3), 0, IFERROR(COUNTIFS($C$2:C1258, $C1258, $A$2:A1258, ""&gt;""&amp;IFERROR(MAX(FILTER($A$2:A1258, $C$2:C1258=$C1258, $I$2:I1258&lt;&gt;1)), 0), $I$2:I1258, 1),1))
"),"#DIV/0!")</f>
        <v>#DIV/0!</v>
      </c>
      <c r="K1258" s="7" t="e">
        <f t="shared" ca="1" si="22"/>
        <v>#DIV/0!</v>
      </c>
      <c r="L1258" s="20" t="e">
        <f t="shared" ca="1" si="23"/>
        <v>#DIV/0!</v>
      </c>
      <c r="M1258" s="21" t="e">
        <f t="shared" ca="1" si="24"/>
        <v>#DIV/0!</v>
      </c>
      <c r="N1258" s="20" t="str">
        <f ca="1">IFERROR(__xludf.DUMMYFUNCTION("IF(COUNTIFS($C$2:C1258, C1258, $A$2:A1258, ""&lt;="" &amp; A1258) &lt; 30, STDEV.P(FILTER($G$2:G1258, $C$2:C1258 = C1258)), STDEV.P(FILTER($G$2:G1258, $C$2:C1258 = C1258, $A$2:A1258 &gt;= A1258 - 30)))
"),"#DIV/0!")</f>
        <v>#DIV/0!</v>
      </c>
    </row>
    <row r="1259" spans="1:14" x14ac:dyDescent="0.2">
      <c r="A1259" s="41"/>
      <c r="B1259" s="40"/>
      <c r="C1259" s="40"/>
      <c r="D1259" s="31"/>
      <c r="E1259" s="31"/>
      <c r="F1259" s="31"/>
      <c r="G1259" s="19" t="e">
        <f t="shared" si="20"/>
        <v>#DIV/0!</v>
      </c>
      <c r="H1259" s="20" t="str">
        <f ca="1">IFERROR(__xludf.DUMMYFUNCTION("IF(COUNTIFS($C$2:C1259, C1259, $A$2:A1259, ""&lt;="" &amp; A1259) &lt; 30, AVERAGEIF($C$2:C1259, C1259, $G$2:G1259), AVERAGE(FILTER($G$2:G1259, $C$2:C1259 = C1259, $A$2:A1259 &gt;= A1259 - 30)))
"),"#DIV/0!")</f>
        <v>#DIV/0!</v>
      </c>
      <c r="I1259" s="20" t="e">
        <f t="shared" ca="1" si="21"/>
        <v>#DIV/0!</v>
      </c>
      <c r="J1259" s="20" t="str">
        <f ca="1">IFERROR(__xludf.DUMMYFUNCTION("IF(OR($I1259=2, $I1259=3), 0, IFERROR(COUNTIFS($C$2:C1259, $C1259, $A$2:A1259, ""&gt;""&amp;IFERROR(MAX(FILTER($A$2:A1259, $C$2:C1259=$C1259, $I$2:I1259&lt;&gt;1)), 0), $I$2:I1259, 1),1))
"),"#DIV/0!")</f>
        <v>#DIV/0!</v>
      </c>
      <c r="K1259" s="7" t="e">
        <f t="shared" ca="1" si="22"/>
        <v>#DIV/0!</v>
      </c>
      <c r="L1259" s="20" t="e">
        <f t="shared" ca="1" si="23"/>
        <v>#DIV/0!</v>
      </c>
      <c r="M1259" s="21" t="e">
        <f t="shared" ca="1" si="24"/>
        <v>#DIV/0!</v>
      </c>
      <c r="N1259" s="20" t="str">
        <f ca="1">IFERROR(__xludf.DUMMYFUNCTION("IF(COUNTIFS($C$2:C1259, C1259, $A$2:A1259, ""&lt;="" &amp; A1259) &lt; 30, STDEV.P(FILTER($G$2:G1259, $C$2:C1259 = C1259)), STDEV.P(FILTER($G$2:G1259, $C$2:C1259 = C1259, $A$2:A1259 &gt;= A1259 - 30)))
"),"#DIV/0!")</f>
        <v>#DIV/0!</v>
      </c>
    </row>
    <row r="1260" spans="1:14" x14ac:dyDescent="0.2">
      <c r="A1260" s="41"/>
      <c r="B1260" s="40"/>
      <c r="C1260" s="40"/>
      <c r="D1260" s="31"/>
      <c r="E1260" s="31"/>
      <c r="F1260" s="31"/>
      <c r="G1260" s="19" t="e">
        <f t="shared" si="20"/>
        <v>#DIV/0!</v>
      </c>
      <c r="H1260" s="20" t="str">
        <f ca="1">IFERROR(__xludf.DUMMYFUNCTION("IF(COUNTIFS($C$2:C1260, C1260, $A$2:A1260, ""&lt;="" &amp; A1260) &lt; 30, AVERAGEIF($C$2:C1260, C1260, $G$2:G1260), AVERAGE(FILTER($G$2:G1260, $C$2:C1260 = C1260, $A$2:A1260 &gt;= A1260 - 30)))
"),"#DIV/0!")</f>
        <v>#DIV/0!</v>
      </c>
      <c r="I1260" s="20" t="e">
        <f t="shared" ca="1" si="21"/>
        <v>#DIV/0!</v>
      </c>
      <c r="J1260" s="20" t="str">
        <f ca="1">IFERROR(__xludf.DUMMYFUNCTION("IF(OR($I1260=2, $I1260=3), 0, IFERROR(COUNTIFS($C$2:C1260, $C1260, $A$2:A1260, ""&gt;""&amp;IFERROR(MAX(FILTER($A$2:A1260, $C$2:C1260=$C1260, $I$2:I1260&lt;&gt;1)), 0), $I$2:I1260, 1),1))
"),"#DIV/0!")</f>
        <v>#DIV/0!</v>
      </c>
      <c r="K1260" s="7" t="e">
        <f t="shared" ca="1" si="22"/>
        <v>#DIV/0!</v>
      </c>
      <c r="L1260" s="20" t="e">
        <f t="shared" ca="1" si="23"/>
        <v>#DIV/0!</v>
      </c>
      <c r="M1260" s="21" t="e">
        <f t="shared" ca="1" si="24"/>
        <v>#DIV/0!</v>
      </c>
      <c r="N1260" s="20" t="str">
        <f ca="1">IFERROR(__xludf.DUMMYFUNCTION("IF(COUNTIFS($C$2:C1260, C1260, $A$2:A1260, ""&lt;="" &amp; A1260) &lt; 30, STDEV.P(FILTER($G$2:G1260, $C$2:C1260 = C1260)), STDEV.P(FILTER($G$2:G1260, $C$2:C1260 = C1260, $A$2:A1260 &gt;= A1260 - 30)))
"),"#DIV/0!")</f>
        <v>#DIV/0!</v>
      </c>
    </row>
    <row r="1261" spans="1:14" x14ac:dyDescent="0.2">
      <c r="A1261" s="41"/>
      <c r="B1261" s="40"/>
      <c r="C1261" s="40"/>
      <c r="D1261" s="31"/>
      <c r="E1261" s="31"/>
      <c r="F1261" s="31"/>
      <c r="G1261" s="19" t="e">
        <f t="shared" si="20"/>
        <v>#DIV/0!</v>
      </c>
      <c r="H1261" s="20" t="str">
        <f ca="1">IFERROR(__xludf.DUMMYFUNCTION("IF(COUNTIFS($C$2:C1261, C1261, $A$2:A1261, ""&lt;="" &amp; A1261) &lt; 30, AVERAGEIF($C$2:C1261, C1261, $G$2:G1261), AVERAGE(FILTER($G$2:G1261, $C$2:C1261 = C1261, $A$2:A1261 &gt;= A1261 - 30)))
"),"#DIV/0!")</f>
        <v>#DIV/0!</v>
      </c>
      <c r="I1261" s="20" t="e">
        <f t="shared" ca="1" si="21"/>
        <v>#DIV/0!</v>
      </c>
      <c r="J1261" s="20" t="str">
        <f ca="1">IFERROR(__xludf.DUMMYFUNCTION("IF(OR($I1261=2, $I1261=3), 0, IFERROR(COUNTIFS($C$2:C1261, $C1261, $A$2:A1261, ""&gt;""&amp;IFERROR(MAX(FILTER($A$2:A1261, $C$2:C1261=$C1261, $I$2:I1261&lt;&gt;1)), 0), $I$2:I1261, 1),1))
"),"#DIV/0!")</f>
        <v>#DIV/0!</v>
      </c>
      <c r="K1261" s="7" t="e">
        <f t="shared" ca="1" si="22"/>
        <v>#DIV/0!</v>
      </c>
      <c r="L1261" s="20" t="e">
        <f t="shared" ca="1" si="23"/>
        <v>#DIV/0!</v>
      </c>
      <c r="M1261" s="21" t="e">
        <f t="shared" ca="1" si="24"/>
        <v>#DIV/0!</v>
      </c>
      <c r="N1261" s="20" t="str">
        <f ca="1">IFERROR(__xludf.DUMMYFUNCTION("IF(COUNTIFS($C$2:C1261, C1261, $A$2:A1261, ""&lt;="" &amp; A1261) &lt; 30, STDEV.P(FILTER($G$2:G1261, $C$2:C1261 = C1261)), STDEV.P(FILTER($G$2:G1261, $C$2:C1261 = C1261, $A$2:A1261 &gt;= A1261 - 30)))
"),"#DIV/0!")</f>
        <v>#DIV/0!</v>
      </c>
    </row>
    <row r="1262" spans="1:14" x14ac:dyDescent="0.2">
      <c r="A1262" s="41"/>
      <c r="B1262" s="40"/>
      <c r="C1262" s="40"/>
      <c r="D1262" s="31"/>
      <c r="E1262" s="31"/>
      <c r="F1262" s="31"/>
      <c r="G1262" s="19" t="e">
        <f t="shared" si="20"/>
        <v>#DIV/0!</v>
      </c>
      <c r="H1262" s="20" t="str">
        <f ca="1">IFERROR(__xludf.DUMMYFUNCTION("IF(COUNTIFS($C$2:C1262, C1262, $A$2:A1262, ""&lt;="" &amp; A1262) &lt; 30, AVERAGEIF($C$2:C1262, C1262, $G$2:G1262), AVERAGE(FILTER($G$2:G1262, $C$2:C1262 = C1262, $A$2:A1262 &gt;= A1262 - 30)))
"),"#DIV/0!")</f>
        <v>#DIV/0!</v>
      </c>
      <c r="I1262" s="20" t="e">
        <f t="shared" ca="1" si="21"/>
        <v>#DIV/0!</v>
      </c>
      <c r="J1262" s="20" t="str">
        <f ca="1">IFERROR(__xludf.DUMMYFUNCTION("IF(OR($I1262=2, $I1262=3), 0, IFERROR(COUNTIFS($C$2:C1262, $C1262, $A$2:A1262, ""&gt;""&amp;IFERROR(MAX(FILTER($A$2:A1262, $C$2:C1262=$C1262, $I$2:I1262&lt;&gt;1)), 0), $I$2:I1262, 1),1))
"),"#DIV/0!")</f>
        <v>#DIV/0!</v>
      </c>
      <c r="K1262" s="7" t="e">
        <f t="shared" ca="1" si="22"/>
        <v>#DIV/0!</v>
      </c>
      <c r="L1262" s="20" t="e">
        <f t="shared" ca="1" si="23"/>
        <v>#DIV/0!</v>
      </c>
      <c r="M1262" s="21" t="e">
        <f t="shared" ca="1" si="24"/>
        <v>#DIV/0!</v>
      </c>
      <c r="N1262" s="20" t="str">
        <f ca="1">IFERROR(__xludf.DUMMYFUNCTION("IF(COUNTIFS($C$2:C1262, C1262, $A$2:A1262, ""&lt;="" &amp; A1262) &lt; 30, STDEV.P(FILTER($G$2:G1262, $C$2:C1262 = C1262)), STDEV.P(FILTER($G$2:G1262, $C$2:C1262 = C1262, $A$2:A1262 &gt;= A1262 - 30)))
"),"#DIV/0!")</f>
        <v>#DIV/0!</v>
      </c>
    </row>
    <row r="1263" spans="1:14" x14ac:dyDescent="0.2">
      <c r="A1263" s="41"/>
      <c r="B1263" s="40"/>
      <c r="C1263" s="40"/>
      <c r="D1263" s="31"/>
      <c r="E1263" s="31"/>
      <c r="F1263" s="31"/>
      <c r="G1263" s="19" t="e">
        <f t="shared" si="20"/>
        <v>#DIV/0!</v>
      </c>
      <c r="H1263" s="20" t="str">
        <f ca="1">IFERROR(__xludf.DUMMYFUNCTION("IF(COUNTIFS($C$2:C1263, C1263, $A$2:A1263, ""&lt;="" &amp; A1263) &lt; 30, AVERAGEIF($C$2:C1263, C1263, $G$2:G1263), AVERAGE(FILTER($G$2:G1263, $C$2:C1263 = C1263, $A$2:A1263 &gt;= A1263 - 30)))
"),"#DIV/0!")</f>
        <v>#DIV/0!</v>
      </c>
      <c r="I1263" s="20" t="e">
        <f t="shared" ca="1" si="21"/>
        <v>#DIV/0!</v>
      </c>
      <c r="J1263" s="20" t="str">
        <f ca="1">IFERROR(__xludf.DUMMYFUNCTION("IF(OR($I1263=2, $I1263=3), 0, IFERROR(COUNTIFS($C$2:C1263, $C1263, $A$2:A1263, ""&gt;""&amp;IFERROR(MAX(FILTER($A$2:A1263, $C$2:C1263=$C1263, $I$2:I1263&lt;&gt;1)), 0), $I$2:I1263, 1),1))
"),"#DIV/0!")</f>
        <v>#DIV/0!</v>
      </c>
      <c r="K1263" s="7" t="e">
        <f t="shared" ca="1" si="22"/>
        <v>#DIV/0!</v>
      </c>
      <c r="L1263" s="20" t="e">
        <f t="shared" ca="1" si="23"/>
        <v>#DIV/0!</v>
      </c>
      <c r="M1263" s="21" t="e">
        <f t="shared" ca="1" si="24"/>
        <v>#DIV/0!</v>
      </c>
      <c r="N1263" s="20" t="str">
        <f ca="1">IFERROR(__xludf.DUMMYFUNCTION("IF(COUNTIFS($C$2:C1263, C1263, $A$2:A1263, ""&lt;="" &amp; A1263) &lt; 30, STDEV.P(FILTER($G$2:G1263, $C$2:C1263 = C1263)), STDEV.P(FILTER($G$2:G1263, $C$2:C1263 = C1263, $A$2:A1263 &gt;= A1263 - 30)))
"),"#DIV/0!")</f>
        <v>#DIV/0!</v>
      </c>
    </row>
    <row r="1264" spans="1:14" x14ac:dyDescent="0.2">
      <c r="A1264" s="41"/>
      <c r="B1264" s="40"/>
      <c r="C1264" s="40"/>
      <c r="D1264" s="31"/>
      <c r="E1264" s="31"/>
      <c r="F1264" s="31"/>
      <c r="G1264" s="19" t="e">
        <f t="shared" si="20"/>
        <v>#DIV/0!</v>
      </c>
      <c r="H1264" s="20" t="str">
        <f ca="1">IFERROR(__xludf.DUMMYFUNCTION("IF(COUNTIFS($C$2:C1264, C1264, $A$2:A1264, ""&lt;="" &amp; A1264) &lt; 30, AVERAGEIF($C$2:C1264, C1264, $G$2:G1264), AVERAGE(FILTER($G$2:G1264, $C$2:C1264 = C1264, $A$2:A1264 &gt;= A1264 - 30)))
"),"#DIV/0!")</f>
        <v>#DIV/0!</v>
      </c>
      <c r="I1264" s="20" t="e">
        <f t="shared" ca="1" si="21"/>
        <v>#DIV/0!</v>
      </c>
      <c r="J1264" s="20" t="str">
        <f ca="1">IFERROR(__xludf.DUMMYFUNCTION("IF(OR($I1264=2, $I1264=3), 0, IFERROR(COUNTIFS($C$2:C1264, $C1264, $A$2:A1264, ""&gt;""&amp;IFERROR(MAX(FILTER($A$2:A1264, $C$2:C1264=$C1264, $I$2:I1264&lt;&gt;1)), 0), $I$2:I1264, 1),1))
"),"#DIV/0!")</f>
        <v>#DIV/0!</v>
      </c>
      <c r="K1264" s="7" t="e">
        <f t="shared" ca="1" si="22"/>
        <v>#DIV/0!</v>
      </c>
      <c r="L1264" s="20" t="e">
        <f t="shared" ca="1" si="23"/>
        <v>#DIV/0!</v>
      </c>
      <c r="M1264" s="21" t="e">
        <f t="shared" ca="1" si="24"/>
        <v>#DIV/0!</v>
      </c>
      <c r="N1264" s="20" t="str">
        <f ca="1">IFERROR(__xludf.DUMMYFUNCTION("IF(COUNTIFS($C$2:C1264, C1264, $A$2:A1264, ""&lt;="" &amp; A1264) &lt; 30, STDEV.P(FILTER($G$2:G1264, $C$2:C1264 = C1264)), STDEV.P(FILTER($G$2:G1264, $C$2:C1264 = C1264, $A$2:A1264 &gt;= A1264 - 30)))
"),"#DIV/0!")</f>
        <v>#DIV/0!</v>
      </c>
    </row>
    <row r="1265" spans="1:14" x14ac:dyDescent="0.2">
      <c r="A1265" s="41"/>
      <c r="B1265" s="40"/>
      <c r="C1265" s="40"/>
      <c r="D1265" s="31"/>
      <c r="E1265" s="31"/>
      <c r="F1265" s="31"/>
      <c r="G1265" s="19" t="e">
        <f t="shared" si="20"/>
        <v>#DIV/0!</v>
      </c>
      <c r="H1265" s="20" t="str">
        <f ca="1">IFERROR(__xludf.DUMMYFUNCTION("IF(COUNTIFS($C$2:C1265, C1265, $A$2:A1265, ""&lt;="" &amp; A1265) &lt; 30, AVERAGEIF($C$2:C1265, C1265, $G$2:G1265), AVERAGE(FILTER($G$2:G1265, $C$2:C1265 = C1265, $A$2:A1265 &gt;= A1265 - 30)))
"),"#DIV/0!")</f>
        <v>#DIV/0!</v>
      </c>
      <c r="I1265" s="20" t="e">
        <f t="shared" ca="1" si="21"/>
        <v>#DIV/0!</v>
      </c>
      <c r="J1265" s="20" t="str">
        <f ca="1">IFERROR(__xludf.DUMMYFUNCTION("IF(OR($I1265=2, $I1265=3), 0, IFERROR(COUNTIFS($C$2:C1265, $C1265, $A$2:A1265, ""&gt;""&amp;IFERROR(MAX(FILTER($A$2:A1265, $C$2:C1265=$C1265, $I$2:I1265&lt;&gt;1)), 0), $I$2:I1265, 1),1))
"),"#DIV/0!")</f>
        <v>#DIV/0!</v>
      </c>
      <c r="K1265" s="7" t="e">
        <f t="shared" ca="1" si="22"/>
        <v>#DIV/0!</v>
      </c>
      <c r="L1265" s="20" t="e">
        <f t="shared" ca="1" si="23"/>
        <v>#DIV/0!</v>
      </c>
      <c r="M1265" s="21" t="e">
        <f t="shared" ca="1" si="24"/>
        <v>#DIV/0!</v>
      </c>
      <c r="N1265" s="20" t="str">
        <f ca="1">IFERROR(__xludf.DUMMYFUNCTION("IF(COUNTIFS($C$2:C1265, C1265, $A$2:A1265, ""&lt;="" &amp; A1265) &lt; 30, STDEV.P(FILTER($G$2:G1265, $C$2:C1265 = C1265)), STDEV.P(FILTER($G$2:G1265, $C$2:C1265 = C1265, $A$2:A1265 &gt;= A1265 - 30)))
"),"#DIV/0!")</f>
        <v>#DIV/0!</v>
      </c>
    </row>
    <row r="1266" spans="1:14" x14ac:dyDescent="0.2">
      <c r="A1266" s="41"/>
      <c r="B1266" s="40"/>
      <c r="C1266" s="40"/>
      <c r="D1266" s="31"/>
      <c r="E1266" s="31"/>
      <c r="F1266" s="31"/>
      <c r="G1266" s="19" t="e">
        <f t="shared" si="20"/>
        <v>#DIV/0!</v>
      </c>
      <c r="H1266" s="20" t="str">
        <f ca="1">IFERROR(__xludf.DUMMYFUNCTION("IF(COUNTIFS($C$2:C1266, C1266, $A$2:A1266, ""&lt;="" &amp; A1266) &lt; 30, AVERAGEIF($C$2:C1266, C1266, $G$2:G1266), AVERAGE(FILTER($G$2:G1266, $C$2:C1266 = C1266, $A$2:A1266 &gt;= A1266 - 30)))
"),"#DIV/0!")</f>
        <v>#DIV/0!</v>
      </c>
      <c r="I1266" s="20" t="e">
        <f t="shared" ca="1" si="21"/>
        <v>#DIV/0!</v>
      </c>
      <c r="J1266" s="20" t="str">
        <f ca="1">IFERROR(__xludf.DUMMYFUNCTION("IF(OR($I1266=2, $I1266=3), 0, IFERROR(COUNTIFS($C$2:C1266, $C1266, $A$2:A1266, ""&gt;""&amp;IFERROR(MAX(FILTER($A$2:A1266, $C$2:C1266=$C1266, $I$2:I1266&lt;&gt;1)), 0), $I$2:I1266, 1),1))
"),"#DIV/0!")</f>
        <v>#DIV/0!</v>
      </c>
      <c r="K1266" s="7" t="e">
        <f t="shared" ca="1" si="22"/>
        <v>#DIV/0!</v>
      </c>
      <c r="L1266" s="20" t="e">
        <f t="shared" ca="1" si="23"/>
        <v>#DIV/0!</v>
      </c>
      <c r="M1266" s="21" t="e">
        <f t="shared" ca="1" si="24"/>
        <v>#DIV/0!</v>
      </c>
      <c r="N1266" s="20" t="str">
        <f ca="1">IFERROR(__xludf.DUMMYFUNCTION("IF(COUNTIFS($C$2:C1266, C1266, $A$2:A1266, ""&lt;="" &amp; A1266) &lt; 30, STDEV.P(FILTER($G$2:G1266, $C$2:C1266 = C1266)), STDEV.P(FILTER($G$2:G1266, $C$2:C1266 = C1266, $A$2:A1266 &gt;= A1266 - 30)))
"),"#DIV/0!")</f>
        <v>#DIV/0!</v>
      </c>
    </row>
    <row r="1267" spans="1:14" x14ac:dyDescent="0.2">
      <c r="A1267" s="41"/>
      <c r="B1267" s="40"/>
      <c r="C1267" s="40"/>
      <c r="D1267" s="31"/>
      <c r="E1267" s="31"/>
      <c r="F1267" s="31"/>
      <c r="G1267" s="19" t="e">
        <f t="shared" si="20"/>
        <v>#DIV/0!</v>
      </c>
      <c r="H1267" s="20" t="str">
        <f ca="1">IFERROR(__xludf.DUMMYFUNCTION("IF(COUNTIFS($C$2:C1267, C1267, $A$2:A1267, ""&lt;="" &amp; A1267) &lt; 30, AVERAGEIF($C$2:C1267, C1267, $G$2:G1267), AVERAGE(FILTER($G$2:G1267, $C$2:C1267 = C1267, $A$2:A1267 &gt;= A1267 - 30)))
"),"#DIV/0!")</f>
        <v>#DIV/0!</v>
      </c>
      <c r="I1267" s="20" t="e">
        <f t="shared" ca="1" si="21"/>
        <v>#DIV/0!</v>
      </c>
      <c r="J1267" s="20" t="str">
        <f ca="1">IFERROR(__xludf.DUMMYFUNCTION("IF(OR($I1267=2, $I1267=3), 0, IFERROR(COUNTIFS($C$2:C1267, $C1267, $A$2:A1267, ""&gt;""&amp;IFERROR(MAX(FILTER($A$2:A1267, $C$2:C1267=$C1267, $I$2:I1267&lt;&gt;1)), 0), $I$2:I1267, 1),1))
"),"#DIV/0!")</f>
        <v>#DIV/0!</v>
      </c>
      <c r="K1267" s="7" t="e">
        <f t="shared" ca="1" si="22"/>
        <v>#DIV/0!</v>
      </c>
      <c r="L1267" s="20" t="e">
        <f t="shared" ca="1" si="23"/>
        <v>#DIV/0!</v>
      </c>
      <c r="M1267" s="21" t="e">
        <f t="shared" ca="1" si="24"/>
        <v>#DIV/0!</v>
      </c>
      <c r="N1267" s="20" t="str">
        <f ca="1">IFERROR(__xludf.DUMMYFUNCTION("IF(COUNTIFS($C$2:C1267, C1267, $A$2:A1267, ""&lt;="" &amp; A1267) &lt; 30, STDEV.P(FILTER($G$2:G1267, $C$2:C1267 = C1267)), STDEV.P(FILTER($G$2:G1267, $C$2:C1267 = C1267, $A$2:A1267 &gt;= A1267 - 30)))
"),"#DIV/0!")</f>
        <v>#DIV/0!</v>
      </c>
    </row>
    <row r="1268" spans="1:14" x14ac:dyDescent="0.2">
      <c r="A1268" s="41"/>
      <c r="B1268" s="40"/>
      <c r="C1268" s="40"/>
      <c r="D1268" s="31"/>
      <c r="E1268" s="31"/>
      <c r="F1268" s="31"/>
      <c r="G1268" s="19" t="e">
        <f t="shared" si="20"/>
        <v>#DIV/0!</v>
      </c>
      <c r="H1268" s="20" t="str">
        <f ca="1">IFERROR(__xludf.DUMMYFUNCTION("IF(COUNTIFS($C$2:C1268, C1268, $A$2:A1268, ""&lt;="" &amp; A1268) &lt; 30, AVERAGEIF($C$2:C1268, C1268, $G$2:G1268), AVERAGE(FILTER($G$2:G1268, $C$2:C1268 = C1268, $A$2:A1268 &gt;= A1268 - 30)))
"),"#DIV/0!")</f>
        <v>#DIV/0!</v>
      </c>
      <c r="I1268" s="20" t="e">
        <f t="shared" ca="1" si="21"/>
        <v>#DIV/0!</v>
      </c>
      <c r="J1268" s="20" t="str">
        <f ca="1">IFERROR(__xludf.DUMMYFUNCTION("IF(OR($I1268=2, $I1268=3), 0, IFERROR(COUNTIFS($C$2:C1268, $C1268, $A$2:A1268, ""&gt;""&amp;IFERROR(MAX(FILTER($A$2:A1268, $C$2:C1268=$C1268, $I$2:I1268&lt;&gt;1)), 0), $I$2:I1268, 1),1))
"),"#DIV/0!")</f>
        <v>#DIV/0!</v>
      </c>
      <c r="K1268" s="7" t="e">
        <f t="shared" ca="1" si="22"/>
        <v>#DIV/0!</v>
      </c>
      <c r="L1268" s="20" t="e">
        <f t="shared" ca="1" si="23"/>
        <v>#DIV/0!</v>
      </c>
      <c r="M1268" s="21" t="e">
        <f t="shared" ca="1" si="24"/>
        <v>#DIV/0!</v>
      </c>
      <c r="N1268" s="20" t="str">
        <f ca="1">IFERROR(__xludf.DUMMYFUNCTION("IF(COUNTIFS($C$2:C1268, C1268, $A$2:A1268, ""&lt;="" &amp; A1268) &lt; 30, STDEV.P(FILTER($G$2:G1268, $C$2:C1268 = C1268)), STDEV.P(FILTER($G$2:G1268, $C$2:C1268 = C1268, $A$2:A1268 &gt;= A1268 - 30)))
"),"#DIV/0!")</f>
        <v>#DIV/0!</v>
      </c>
    </row>
    <row r="1269" spans="1:14" x14ac:dyDescent="0.2">
      <c r="A1269" s="41"/>
      <c r="B1269" s="40"/>
      <c r="C1269" s="40"/>
      <c r="D1269" s="31"/>
      <c r="E1269" s="31"/>
      <c r="F1269" s="31"/>
      <c r="G1269" s="19" t="e">
        <f t="shared" si="20"/>
        <v>#DIV/0!</v>
      </c>
      <c r="H1269" s="20" t="str">
        <f ca="1">IFERROR(__xludf.DUMMYFUNCTION("IF(COUNTIFS($C$2:C1269, C1269, $A$2:A1269, ""&lt;="" &amp; A1269) &lt; 30, AVERAGEIF($C$2:C1269, C1269, $G$2:G1269), AVERAGE(FILTER($G$2:G1269, $C$2:C1269 = C1269, $A$2:A1269 &gt;= A1269 - 30)))
"),"#DIV/0!")</f>
        <v>#DIV/0!</v>
      </c>
      <c r="I1269" s="20" t="e">
        <f t="shared" ca="1" si="21"/>
        <v>#DIV/0!</v>
      </c>
      <c r="J1269" s="20" t="str">
        <f ca="1">IFERROR(__xludf.DUMMYFUNCTION("IF(OR($I1269=2, $I1269=3), 0, IFERROR(COUNTIFS($C$2:C1269, $C1269, $A$2:A1269, ""&gt;""&amp;IFERROR(MAX(FILTER($A$2:A1269, $C$2:C1269=$C1269, $I$2:I1269&lt;&gt;1)), 0), $I$2:I1269, 1),1))
"),"#DIV/0!")</f>
        <v>#DIV/0!</v>
      </c>
      <c r="K1269" s="7" t="e">
        <f t="shared" ca="1" si="22"/>
        <v>#DIV/0!</v>
      </c>
      <c r="L1269" s="20" t="e">
        <f t="shared" ca="1" si="23"/>
        <v>#DIV/0!</v>
      </c>
      <c r="M1269" s="21" t="e">
        <f t="shared" ca="1" si="24"/>
        <v>#DIV/0!</v>
      </c>
      <c r="N1269" s="20" t="str">
        <f ca="1">IFERROR(__xludf.DUMMYFUNCTION("IF(COUNTIFS($C$2:C1269, C1269, $A$2:A1269, ""&lt;="" &amp; A1269) &lt; 30, STDEV.P(FILTER($G$2:G1269, $C$2:C1269 = C1269)), STDEV.P(FILTER($G$2:G1269, $C$2:C1269 = C1269, $A$2:A1269 &gt;= A1269 - 30)))
"),"#DIV/0!")</f>
        <v>#DIV/0!</v>
      </c>
    </row>
    <row r="1270" spans="1:14" x14ac:dyDescent="0.2">
      <c r="A1270" s="41"/>
      <c r="B1270" s="40"/>
      <c r="C1270" s="40"/>
      <c r="D1270" s="31"/>
      <c r="E1270" s="31"/>
      <c r="F1270" s="31"/>
      <c r="G1270" s="19" t="e">
        <f t="shared" si="20"/>
        <v>#DIV/0!</v>
      </c>
      <c r="H1270" s="20" t="str">
        <f ca="1">IFERROR(__xludf.DUMMYFUNCTION("IF(COUNTIFS($C$2:C1270, C1270, $A$2:A1270, ""&lt;="" &amp; A1270) &lt; 30, AVERAGEIF($C$2:C1270, C1270, $G$2:G1270), AVERAGE(FILTER($G$2:G1270, $C$2:C1270 = C1270, $A$2:A1270 &gt;= A1270 - 30)))
"),"#DIV/0!")</f>
        <v>#DIV/0!</v>
      </c>
      <c r="I1270" s="20" t="e">
        <f t="shared" ca="1" si="21"/>
        <v>#DIV/0!</v>
      </c>
      <c r="J1270" s="20" t="str">
        <f ca="1">IFERROR(__xludf.DUMMYFUNCTION("IF(OR($I1270=2, $I1270=3), 0, IFERROR(COUNTIFS($C$2:C1270, $C1270, $A$2:A1270, ""&gt;""&amp;IFERROR(MAX(FILTER($A$2:A1270, $C$2:C1270=$C1270, $I$2:I1270&lt;&gt;1)), 0), $I$2:I1270, 1),1))
"),"#DIV/0!")</f>
        <v>#DIV/0!</v>
      </c>
      <c r="K1270" s="7" t="e">
        <f t="shared" ca="1" si="22"/>
        <v>#DIV/0!</v>
      </c>
      <c r="L1270" s="20" t="e">
        <f t="shared" ca="1" si="23"/>
        <v>#DIV/0!</v>
      </c>
      <c r="M1270" s="21" t="e">
        <f t="shared" ca="1" si="24"/>
        <v>#DIV/0!</v>
      </c>
      <c r="N1270" s="20" t="str">
        <f ca="1">IFERROR(__xludf.DUMMYFUNCTION("IF(COUNTIFS($C$2:C1270, C1270, $A$2:A1270, ""&lt;="" &amp; A1270) &lt; 30, STDEV.P(FILTER($G$2:G1270, $C$2:C1270 = C1270)), STDEV.P(FILTER($G$2:G1270, $C$2:C1270 = C1270, $A$2:A1270 &gt;= A1270 - 30)))
"),"#DIV/0!")</f>
        <v>#DIV/0!</v>
      </c>
    </row>
    <row r="1271" spans="1:14" x14ac:dyDescent="0.2">
      <c r="A1271" s="41"/>
      <c r="B1271" s="40"/>
      <c r="C1271" s="40"/>
      <c r="D1271" s="31"/>
      <c r="E1271" s="31"/>
      <c r="F1271" s="31"/>
      <c r="G1271" s="19" t="e">
        <f t="shared" si="20"/>
        <v>#DIV/0!</v>
      </c>
      <c r="H1271" s="20" t="str">
        <f ca="1">IFERROR(__xludf.DUMMYFUNCTION("IF(COUNTIFS($C$2:C1271, C1271, $A$2:A1271, ""&lt;="" &amp; A1271) &lt; 30, AVERAGEIF($C$2:C1271, C1271, $G$2:G1271), AVERAGE(FILTER($G$2:G1271, $C$2:C1271 = C1271, $A$2:A1271 &gt;= A1271 - 30)))
"),"#DIV/0!")</f>
        <v>#DIV/0!</v>
      </c>
      <c r="I1271" s="20" t="e">
        <f t="shared" ca="1" si="21"/>
        <v>#DIV/0!</v>
      </c>
      <c r="J1271" s="20" t="str">
        <f ca="1">IFERROR(__xludf.DUMMYFUNCTION("IF(OR($I1271=2, $I1271=3), 0, IFERROR(COUNTIFS($C$2:C1271, $C1271, $A$2:A1271, ""&gt;""&amp;IFERROR(MAX(FILTER($A$2:A1271, $C$2:C1271=$C1271, $I$2:I1271&lt;&gt;1)), 0), $I$2:I1271, 1),1))
"),"#DIV/0!")</f>
        <v>#DIV/0!</v>
      </c>
      <c r="K1271" s="7" t="e">
        <f t="shared" ca="1" si="22"/>
        <v>#DIV/0!</v>
      </c>
      <c r="L1271" s="20" t="e">
        <f t="shared" ca="1" si="23"/>
        <v>#DIV/0!</v>
      </c>
      <c r="M1271" s="21" t="e">
        <f t="shared" ca="1" si="24"/>
        <v>#DIV/0!</v>
      </c>
      <c r="N1271" s="20" t="str">
        <f ca="1">IFERROR(__xludf.DUMMYFUNCTION("IF(COUNTIFS($C$2:C1271, C1271, $A$2:A1271, ""&lt;="" &amp; A1271) &lt; 30, STDEV.P(FILTER($G$2:G1271, $C$2:C1271 = C1271)), STDEV.P(FILTER($G$2:G1271, $C$2:C1271 = C1271, $A$2:A1271 &gt;= A1271 - 30)))
"),"#DIV/0!")</f>
        <v>#DIV/0!</v>
      </c>
    </row>
    <row r="1272" spans="1:14" x14ac:dyDescent="0.2">
      <c r="A1272" s="41"/>
      <c r="B1272" s="40"/>
      <c r="C1272" s="40"/>
      <c r="D1272" s="31"/>
      <c r="E1272" s="31"/>
      <c r="F1272" s="31"/>
      <c r="G1272" s="19" t="e">
        <f t="shared" si="20"/>
        <v>#DIV/0!</v>
      </c>
      <c r="H1272" s="20" t="str">
        <f ca="1">IFERROR(__xludf.DUMMYFUNCTION("IF(COUNTIFS($C$2:C1272, C1272, $A$2:A1272, ""&lt;="" &amp; A1272) &lt; 30, AVERAGEIF($C$2:C1272, C1272, $G$2:G1272), AVERAGE(FILTER($G$2:G1272, $C$2:C1272 = C1272, $A$2:A1272 &gt;= A1272 - 30)))
"),"#DIV/0!")</f>
        <v>#DIV/0!</v>
      </c>
      <c r="I1272" s="20" t="e">
        <f t="shared" ca="1" si="21"/>
        <v>#DIV/0!</v>
      </c>
      <c r="J1272" s="20" t="str">
        <f ca="1">IFERROR(__xludf.DUMMYFUNCTION("IF(OR($I1272=2, $I1272=3), 0, IFERROR(COUNTIFS($C$2:C1272, $C1272, $A$2:A1272, ""&gt;""&amp;IFERROR(MAX(FILTER($A$2:A1272, $C$2:C1272=$C1272, $I$2:I1272&lt;&gt;1)), 0), $I$2:I1272, 1),1))
"),"#DIV/0!")</f>
        <v>#DIV/0!</v>
      </c>
      <c r="K1272" s="7" t="e">
        <f t="shared" ca="1" si="22"/>
        <v>#DIV/0!</v>
      </c>
      <c r="L1272" s="20" t="e">
        <f t="shared" ca="1" si="23"/>
        <v>#DIV/0!</v>
      </c>
      <c r="M1272" s="21" t="e">
        <f t="shared" ca="1" si="24"/>
        <v>#DIV/0!</v>
      </c>
      <c r="N1272" s="20" t="str">
        <f ca="1">IFERROR(__xludf.DUMMYFUNCTION("IF(COUNTIFS($C$2:C1272, C1272, $A$2:A1272, ""&lt;="" &amp; A1272) &lt; 30, STDEV.P(FILTER($G$2:G1272, $C$2:C1272 = C1272)), STDEV.P(FILTER($G$2:G1272, $C$2:C1272 = C1272, $A$2:A1272 &gt;= A1272 - 30)))
"),"#DIV/0!")</f>
        <v>#DIV/0!</v>
      </c>
    </row>
    <row r="1273" spans="1:14" x14ac:dyDescent="0.2">
      <c r="A1273" s="41"/>
      <c r="B1273" s="40"/>
      <c r="C1273" s="40"/>
      <c r="D1273" s="31"/>
      <c r="E1273" s="31"/>
      <c r="F1273" s="31"/>
      <c r="G1273" s="19" t="e">
        <f t="shared" si="20"/>
        <v>#DIV/0!</v>
      </c>
      <c r="H1273" s="20" t="str">
        <f ca="1">IFERROR(__xludf.DUMMYFUNCTION("IF(COUNTIFS($C$2:C1273, C1273, $A$2:A1273, ""&lt;="" &amp; A1273) &lt; 30, AVERAGEIF($C$2:C1273, C1273, $G$2:G1273), AVERAGE(FILTER($G$2:G1273, $C$2:C1273 = C1273, $A$2:A1273 &gt;= A1273 - 30)))
"),"#DIV/0!")</f>
        <v>#DIV/0!</v>
      </c>
      <c r="I1273" s="20" t="e">
        <f t="shared" ca="1" si="21"/>
        <v>#DIV/0!</v>
      </c>
      <c r="J1273" s="20" t="str">
        <f ca="1">IFERROR(__xludf.DUMMYFUNCTION("IF(OR($I1273=2, $I1273=3), 0, IFERROR(COUNTIFS($C$2:C1273, $C1273, $A$2:A1273, ""&gt;""&amp;IFERROR(MAX(FILTER($A$2:A1273, $C$2:C1273=$C1273, $I$2:I1273&lt;&gt;1)), 0), $I$2:I1273, 1),1))
"),"#DIV/0!")</f>
        <v>#DIV/0!</v>
      </c>
      <c r="K1273" s="7" t="e">
        <f t="shared" ca="1" si="22"/>
        <v>#DIV/0!</v>
      </c>
      <c r="L1273" s="20" t="e">
        <f t="shared" ca="1" si="23"/>
        <v>#DIV/0!</v>
      </c>
      <c r="M1273" s="21" t="e">
        <f t="shared" ca="1" si="24"/>
        <v>#DIV/0!</v>
      </c>
      <c r="N1273" s="20" t="str">
        <f ca="1">IFERROR(__xludf.DUMMYFUNCTION("IF(COUNTIFS($C$2:C1273, C1273, $A$2:A1273, ""&lt;="" &amp; A1273) &lt; 30, STDEV.P(FILTER($G$2:G1273, $C$2:C1273 = C1273)), STDEV.P(FILTER($G$2:G1273, $C$2:C1273 = C1273, $A$2:A1273 &gt;= A1273 - 30)))
"),"#DIV/0!")</f>
        <v>#DIV/0!</v>
      </c>
    </row>
    <row r="1274" spans="1:14" x14ac:dyDescent="0.2">
      <c r="A1274" s="41"/>
      <c r="B1274" s="40"/>
      <c r="C1274" s="40"/>
      <c r="D1274" s="31"/>
      <c r="E1274" s="31"/>
      <c r="F1274" s="31"/>
      <c r="G1274" s="19" t="e">
        <f t="shared" si="20"/>
        <v>#DIV/0!</v>
      </c>
      <c r="H1274" s="20" t="str">
        <f ca="1">IFERROR(__xludf.DUMMYFUNCTION("IF(COUNTIFS($C$2:C1274, C1274, $A$2:A1274, ""&lt;="" &amp; A1274) &lt; 30, AVERAGEIF($C$2:C1274, C1274, $G$2:G1274), AVERAGE(FILTER($G$2:G1274, $C$2:C1274 = C1274, $A$2:A1274 &gt;= A1274 - 30)))
"),"#DIV/0!")</f>
        <v>#DIV/0!</v>
      </c>
      <c r="I1274" s="20" t="e">
        <f t="shared" ca="1" si="21"/>
        <v>#DIV/0!</v>
      </c>
      <c r="J1274" s="20" t="str">
        <f ca="1">IFERROR(__xludf.DUMMYFUNCTION("IF(OR($I1274=2, $I1274=3), 0, IFERROR(COUNTIFS($C$2:C1274, $C1274, $A$2:A1274, ""&gt;""&amp;IFERROR(MAX(FILTER($A$2:A1274, $C$2:C1274=$C1274, $I$2:I1274&lt;&gt;1)), 0), $I$2:I1274, 1),1))
"),"#DIV/0!")</f>
        <v>#DIV/0!</v>
      </c>
      <c r="K1274" s="7" t="e">
        <f t="shared" ca="1" si="22"/>
        <v>#DIV/0!</v>
      </c>
      <c r="L1274" s="20" t="e">
        <f t="shared" ca="1" si="23"/>
        <v>#DIV/0!</v>
      </c>
      <c r="M1274" s="21" t="e">
        <f t="shared" ca="1" si="24"/>
        <v>#DIV/0!</v>
      </c>
      <c r="N1274" s="20" t="str">
        <f ca="1">IFERROR(__xludf.DUMMYFUNCTION("IF(COUNTIFS($C$2:C1274, C1274, $A$2:A1274, ""&lt;="" &amp; A1274) &lt; 30, STDEV.P(FILTER($G$2:G1274, $C$2:C1274 = C1274)), STDEV.P(FILTER($G$2:G1274, $C$2:C1274 = C1274, $A$2:A1274 &gt;= A1274 - 30)))
"),"#DIV/0!")</f>
        <v>#DIV/0!</v>
      </c>
    </row>
    <row r="1275" spans="1:14" x14ac:dyDescent="0.2">
      <c r="A1275" s="41"/>
      <c r="B1275" s="40"/>
      <c r="C1275" s="40"/>
      <c r="D1275" s="31"/>
      <c r="E1275" s="31"/>
      <c r="F1275" s="31"/>
      <c r="G1275" s="19" t="e">
        <f t="shared" si="20"/>
        <v>#DIV/0!</v>
      </c>
      <c r="H1275" s="20" t="str">
        <f ca="1">IFERROR(__xludf.DUMMYFUNCTION("IF(COUNTIFS($C$2:C1275, C1275, $A$2:A1275, ""&lt;="" &amp; A1275) &lt; 30, AVERAGEIF($C$2:C1275, C1275, $G$2:G1275), AVERAGE(FILTER($G$2:G1275, $C$2:C1275 = C1275, $A$2:A1275 &gt;= A1275 - 30)))
"),"#DIV/0!")</f>
        <v>#DIV/0!</v>
      </c>
      <c r="I1275" s="20" t="e">
        <f t="shared" ca="1" si="21"/>
        <v>#DIV/0!</v>
      </c>
      <c r="J1275" s="20" t="str">
        <f ca="1">IFERROR(__xludf.DUMMYFUNCTION("IF(OR($I1275=2, $I1275=3), 0, IFERROR(COUNTIFS($C$2:C1275, $C1275, $A$2:A1275, ""&gt;""&amp;IFERROR(MAX(FILTER($A$2:A1275, $C$2:C1275=$C1275, $I$2:I1275&lt;&gt;1)), 0), $I$2:I1275, 1),1))
"),"#DIV/0!")</f>
        <v>#DIV/0!</v>
      </c>
      <c r="K1275" s="7" t="e">
        <f t="shared" ca="1" si="22"/>
        <v>#DIV/0!</v>
      </c>
      <c r="L1275" s="20" t="e">
        <f t="shared" ca="1" si="23"/>
        <v>#DIV/0!</v>
      </c>
      <c r="M1275" s="21" t="e">
        <f t="shared" ca="1" si="24"/>
        <v>#DIV/0!</v>
      </c>
      <c r="N1275" s="20" t="str">
        <f ca="1">IFERROR(__xludf.DUMMYFUNCTION("IF(COUNTIFS($C$2:C1275, C1275, $A$2:A1275, ""&lt;="" &amp; A1275) &lt; 30, STDEV.P(FILTER($G$2:G1275, $C$2:C1275 = C1275)), STDEV.P(FILTER($G$2:G1275, $C$2:C1275 = C1275, $A$2:A1275 &gt;= A1275 - 30)))
"),"#DIV/0!")</f>
        <v>#DIV/0!</v>
      </c>
    </row>
    <row r="1276" spans="1:14" x14ac:dyDescent="0.2">
      <c r="A1276" s="41"/>
      <c r="B1276" s="40"/>
      <c r="C1276" s="40"/>
      <c r="D1276" s="31"/>
      <c r="E1276" s="31"/>
      <c r="F1276" s="31"/>
      <c r="G1276" s="19" t="e">
        <f t="shared" si="20"/>
        <v>#DIV/0!</v>
      </c>
      <c r="H1276" s="20" t="str">
        <f ca="1">IFERROR(__xludf.DUMMYFUNCTION("IF(COUNTIFS($C$2:C1276, C1276, $A$2:A1276, ""&lt;="" &amp; A1276) &lt; 30, AVERAGEIF($C$2:C1276, C1276, $G$2:G1276), AVERAGE(FILTER($G$2:G1276, $C$2:C1276 = C1276, $A$2:A1276 &gt;= A1276 - 30)))
"),"#DIV/0!")</f>
        <v>#DIV/0!</v>
      </c>
      <c r="I1276" s="20" t="e">
        <f t="shared" ca="1" si="21"/>
        <v>#DIV/0!</v>
      </c>
      <c r="J1276" s="20" t="str">
        <f ca="1">IFERROR(__xludf.DUMMYFUNCTION("IF(OR($I1276=2, $I1276=3), 0, IFERROR(COUNTIFS($C$2:C1276, $C1276, $A$2:A1276, ""&gt;""&amp;IFERROR(MAX(FILTER($A$2:A1276, $C$2:C1276=$C1276, $I$2:I1276&lt;&gt;1)), 0), $I$2:I1276, 1),1))
"),"#DIV/0!")</f>
        <v>#DIV/0!</v>
      </c>
      <c r="K1276" s="7" t="e">
        <f t="shared" ca="1" si="22"/>
        <v>#DIV/0!</v>
      </c>
      <c r="L1276" s="20" t="e">
        <f t="shared" ca="1" si="23"/>
        <v>#DIV/0!</v>
      </c>
      <c r="M1276" s="21" t="e">
        <f t="shared" ca="1" si="24"/>
        <v>#DIV/0!</v>
      </c>
      <c r="N1276" s="20" t="str">
        <f ca="1">IFERROR(__xludf.DUMMYFUNCTION("IF(COUNTIFS($C$2:C1276, C1276, $A$2:A1276, ""&lt;="" &amp; A1276) &lt; 30, STDEV.P(FILTER($G$2:G1276, $C$2:C1276 = C1276)), STDEV.P(FILTER($G$2:G1276, $C$2:C1276 = C1276, $A$2:A1276 &gt;= A1276 - 30)))
"),"#DIV/0!")</f>
        <v>#DIV/0!</v>
      </c>
    </row>
    <row r="1277" spans="1:14" x14ac:dyDescent="0.2">
      <c r="A1277" s="41"/>
      <c r="B1277" s="40"/>
      <c r="C1277" s="40"/>
      <c r="D1277" s="31"/>
      <c r="E1277" s="31"/>
      <c r="F1277" s="31"/>
      <c r="G1277" s="19" t="e">
        <f t="shared" ref="G1277:G1531" si="25">AVERAGE(D1277:F1277)</f>
        <v>#DIV/0!</v>
      </c>
      <c r="H1277" s="20" t="str">
        <f ca="1">IFERROR(__xludf.DUMMYFUNCTION("IF(COUNTIFS($C$2:C1277, C1277, $A$2:A1277, ""&lt;="" &amp; A1277) &lt; 30, AVERAGEIF($C$2:C1277, C1277, $G$2:G1277), AVERAGE(FILTER($G$2:G1277, $C$2:C1277 = C1277, $A$2:A1277 &gt;= A1277 - 30)))
"),"#DIV/0!")</f>
        <v>#DIV/0!</v>
      </c>
      <c r="I1277" s="20" t="e">
        <f t="shared" ref="I1277:I1531" ca="1" si="26">IF(L1277 &gt;= 1, 3, IF(L1277 &lt;= -1, 1, 2))</f>
        <v>#DIV/0!</v>
      </c>
      <c r="J1277" s="20" t="str">
        <f ca="1">IFERROR(__xludf.DUMMYFUNCTION("IF(OR($I1277=2, $I1277=3), 0, IFERROR(COUNTIFS($C$2:C1277, $C1277, $A$2:A1277, ""&gt;""&amp;IFERROR(MAX(FILTER($A$2:A1277, $C$2:C1277=$C1277, $I$2:I1277&lt;&gt;1)), 0), $I$2:I1277, 1),1))
"),"#DIV/0!")</f>
        <v>#DIV/0!</v>
      </c>
      <c r="K1277" s="7" t="e">
        <f t="shared" ref="K1277:K1531" ca="1" si="27">G1277-H1277</f>
        <v>#DIV/0!</v>
      </c>
      <c r="L1277" s="20" t="e">
        <f t="shared" ref="L1277:L1531" ca="1" si="28">(G1277 - H1277) / N1277</f>
        <v>#DIV/0!</v>
      </c>
      <c r="M1277" s="21" t="e">
        <f t="shared" ref="M1277:M1531" ca="1" si="29">IF(H1277&lt;&gt;0, ((G1277-H1277)/H1277), 0)</f>
        <v>#DIV/0!</v>
      </c>
      <c r="N1277" s="20" t="str">
        <f ca="1">IFERROR(__xludf.DUMMYFUNCTION("IF(COUNTIFS($C$2:C1277, C1277, $A$2:A1277, ""&lt;="" &amp; A1277) &lt; 30, STDEV.P(FILTER($G$2:G1277, $C$2:C1277 = C1277)), STDEV.P(FILTER($G$2:G1277, $C$2:C1277 = C1277, $A$2:A1277 &gt;= A1277 - 30)))
"),"#DIV/0!")</f>
        <v>#DIV/0!</v>
      </c>
    </row>
    <row r="1278" spans="1:14" x14ac:dyDescent="0.2">
      <c r="A1278" s="41"/>
      <c r="B1278" s="40"/>
      <c r="C1278" s="40"/>
      <c r="D1278" s="31"/>
      <c r="E1278" s="31"/>
      <c r="F1278" s="31"/>
      <c r="G1278" s="19" t="e">
        <f t="shared" si="25"/>
        <v>#DIV/0!</v>
      </c>
      <c r="H1278" s="20" t="str">
        <f ca="1">IFERROR(__xludf.DUMMYFUNCTION("IF(COUNTIFS($C$2:C1278, C1278, $A$2:A1278, ""&lt;="" &amp; A1278) &lt; 30, AVERAGEIF($C$2:C1278, C1278, $G$2:G1278), AVERAGE(FILTER($G$2:G1278, $C$2:C1278 = C1278, $A$2:A1278 &gt;= A1278 - 30)))
"),"#DIV/0!")</f>
        <v>#DIV/0!</v>
      </c>
      <c r="I1278" s="20" t="e">
        <f t="shared" ca="1" si="26"/>
        <v>#DIV/0!</v>
      </c>
      <c r="J1278" s="20" t="str">
        <f ca="1">IFERROR(__xludf.DUMMYFUNCTION("IF(OR($I1278=2, $I1278=3), 0, IFERROR(COUNTIFS($C$2:C1278, $C1278, $A$2:A1278, ""&gt;""&amp;IFERROR(MAX(FILTER($A$2:A1278, $C$2:C1278=$C1278, $I$2:I1278&lt;&gt;1)), 0), $I$2:I1278, 1),1))
"),"#DIV/0!")</f>
        <v>#DIV/0!</v>
      </c>
      <c r="K1278" s="7" t="e">
        <f t="shared" ca="1" si="27"/>
        <v>#DIV/0!</v>
      </c>
      <c r="L1278" s="20" t="e">
        <f t="shared" ca="1" si="28"/>
        <v>#DIV/0!</v>
      </c>
      <c r="M1278" s="21" t="e">
        <f t="shared" ca="1" si="29"/>
        <v>#DIV/0!</v>
      </c>
      <c r="N1278" s="20" t="str">
        <f ca="1">IFERROR(__xludf.DUMMYFUNCTION("IF(COUNTIFS($C$2:C1278, C1278, $A$2:A1278, ""&lt;="" &amp; A1278) &lt; 30, STDEV.P(FILTER($G$2:G1278, $C$2:C1278 = C1278)), STDEV.P(FILTER($G$2:G1278, $C$2:C1278 = C1278, $A$2:A1278 &gt;= A1278 - 30)))
"),"#DIV/0!")</f>
        <v>#DIV/0!</v>
      </c>
    </row>
    <row r="1279" spans="1:14" x14ac:dyDescent="0.2">
      <c r="A1279" s="41"/>
      <c r="B1279" s="40"/>
      <c r="C1279" s="40"/>
      <c r="D1279" s="31"/>
      <c r="E1279" s="31"/>
      <c r="F1279" s="31"/>
      <c r="G1279" s="19" t="e">
        <f t="shared" si="25"/>
        <v>#DIV/0!</v>
      </c>
      <c r="H1279" s="20" t="str">
        <f ca="1">IFERROR(__xludf.DUMMYFUNCTION("IF(COUNTIFS($C$2:C1279, C1279, $A$2:A1279, ""&lt;="" &amp; A1279) &lt; 30, AVERAGEIF($C$2:C1279, C1279, $G$2:G1279), AVERAGE(FILTER($G$2:G1279, $C$2:C1279 = C1279, $A$2:A1279 &gt;= A1279 - 30)))
"),"#DIV/0!")</f>
        <v>#DIV/0!</v>
      </c>
      <c r="I1279" s="20" t="e">
        <f t="shared" ca="1" si="26"/>
        <v>#DIV/0!</v>
      </c>
      <c r="J1279" s="20" t="str">
        <f ca="1">IFERROR(__xludf.DUMMYFUNCTION("IF(OR($I1279=2, $I1279=3), 0, IFERROR(COUNTIFS($C$2:C1279, $C1279, $A$2:A1279, ""&gt;""&amp;IFERROR(MAX(FILTER($A$2:A1279, $C$2:C1279=$C1279, $I$2:I1279&lt;&gt;1)), 0), $I$2:I1279, 1),1))
"),"#DIV/0!")</f>
        <v>#DIV/0!</v>
      </c>
      <c r="K1279" s="7" t="e">
        <f t="shared" ca="1" si="27"/>
        <v>#DIV/0!</v>
      </c>
      <c r="L1279" s="20" t="e">
        <f t="shared" ca="1" si="28"/>
        <v>#DIV/0!</v>
      </c>
      <c r="M1279" s="21" t="e">
        <f t="shared" ca="1" si="29"/>
        <v>#DIV/0!</v>
      </c>
      <c r="N1279" s="20" t="str">
        <f ca="1">IFERROR(__xludf.DUMMYFUNCTION("IF(COUNTIFS($C$2:C1279, C1279, $A$2:A1279, ""&lt;="" &amp; A1279) &lt; 30, STDEV.P(FILTER($G$2:G1279, $C$2:C1279 = C1279)), STDEV.P(FILTER($G$2:G1279, $C$2:C1279 = C1279, $A$2:A1279 &gt;= A1279 - 30)))
"),"#DIV/0!")</f>
        <v>#DIV/0!</v>
      </c>
    </row>
    <row r="1280" spans="1:14" x14ac:dyDescent="0.2">
      <c r="A1280" s="41"/>
      <c r="B1280" s="40"/>
      <c r="C1280" s="40"/>
      <c r="D1280" s="31"/>
      <c r="E1280" s="31"/>
      <c r="F1280" s="31"/>
      <c r="G1280" s="19" t="e">
        <f t="shared" si="25"/>
        <v>#DIV/0!</v>
      </c>
      <c r="H1280" s="20" t="str">
        <f ca="1">IFERROR(__xludf.DUMMYFUNCTION("IF(COUNTIFS($C$2:C1280, C1280, $A$2:A1280, ""&lt;="" &amp; A1280) &lt; 30, AVERAGEIF($C$2:C1280, C1280, $G$2:G1280), AVERAGE(FILTER($G$2:G1280, $C$2:C1280 = C1280, $A$2:A1280 &gt;= A1280 - 30)))
"),"#DIV/0!")</f>
        <v>#DIV/0!</v>
      </c>
      <c r="I1280" s="20" t="e">
        <f t="shared" ca="1" si="26"/>
        <v>#DIV/0!</v>
      </c>
      <c r="J1280" s="20" t="str">
        <f ca="1">IFERROR(__xludf.DUMMYFUNCTION("IF(OR($I1280=2, $I1280=3), 0, IFERROR(COUNTIFS($C$2:C1280, $C1280, $A$2:A1280, ""&gt;""&amp;IFERROR(MAX(FILTER($A$2:A1280, $C$2:C1280=$C1280, $I$2:I1280&lt;&gt;1)), 0), $I$2:I1280, 1),1))
"),"#DIV/0!")</f>
        <v>#DIV/0!</v>
      </c>
      <c r="K1280" s="7" t="e">
        <f t="shared" ca="1" si="27"/>
        <v>#DIV/0!</v>
      </c>
      <c r="L1280" s="20" t="e">
        <f t="shared" ca="1" si="28"/>
        <v>#DIV/0!</v>
      </c>
      <c r="M1280" s="21" t="e">
        <f t="shared" ca="1" si="29"/>
        <v>#DIV/0!</v>
      </c>
      <c r="N1280" s="20" t="str">
        <f ca="1">IFERROR(__xludf.DUMMYFUNCTION("IF(COUNTIFS($C$2:C1280, C1280, $A$2:A1280, ""&lt;="" &amp; A1280) &lt; 30, STDEV.P(FILTER($G$2:G1280, $C$2:C1280 = C1280)), STDEV.P(FILTER($G$2:G1280, $C$2:C1280 = C1280, $A$2:A1280 &gt;= A1280 - 30)))
"),"#DIV/0!")</f>
        <v>#DIV/0!</v>
      </c>
    </row>
    <row r="1281" spans="1:14" x14ac:dyDescent="0.2">
      <c r="A1281" s="41"/>
      <c r="B1281" s="40"/>
      <c r="C1281" s="40"/>
      <c r="D1281" s="31"/>
      <c r="E1281" s="31"/>
      <c r="F1281" s="31"/>
      <c r="G1281" s="19" t="e">
        <f t="shared" si="25"/>
        <v>#DIV/0!</v>
      </c>
      <c r="H1281" s="20" t="str">
        <f ca="1">IFERROR(__xludf.DUMMYFUNCTION("IF(COUNTIFS($C$2:C1281, C1281, $A$2:A1281, ""&lt;="" &amp; A1281) &lt; 30, AVERAGEIF($C$2:C1281, C1281, $G$2:G1281), AVERAGE(FILTER($G$2:G1281, $C$2:C1281 = C1281, $A$2:A1281 &gt;= A1281 - 30)))
"),"#DIV/0!")</f>
        <v>#DIV/0!</v>
      </c>
      <c r="I1281" s="20" t="e">
        <f t="shared" ca="1" si="26"/>
        <v>#DIV/0!</v>
      </c>
      <c r="J1281" s="20" t="str">
        <f ca="1">IFERROR(__xludf.DUMMYFUNCTION("IF(OR($I1281=2, $I1281=3), 0, IFERROR(COUNTIFS($C$2:C1281, $C1281, $A$2:A1281, ""&gt;""&amp;IFERROR(MAX(FILTER($A$2:A1281, $C$2:C1281=$C1281, $I$2:I1281&lt;&gt;1)), 0), $I$2:I1281, 1),1))
"),"#DIV/0!")</f>
        <v>#DIV/0!</v>
      </c>
      <c r="K1281" s="7" t="e">
        <f t="shared" ca="1" si="27"/>
        <v>#DIV/0!</v>
      </c>
      <c r="L1281" s="20" t="e">
        <f t="shared" ca="1" si="28"/>
        <v>#DIV/0!</v>
      </c>
      <c r="M1281" s="21" t="e">
        <f t="shared" ca="1" si="29"/>
        <v>#DIV/0!</v>
      </c>
      <c r="N1281" s="20" t="str">
        <f ca="1">IFERROR(__xludf.DUMMYFUNCTION("IF(COUNTIFS($C$2:C1281, C1281, $A$2:A1281, ""&lt;="" &amp; A1281) &lt; 30, STDEV.P(FILTER($G$2:G1281, $C$2:C1281 = C1281)), STDEV.P(FILTER($G$2:G1281, $C$2:C1281 = C1281, $A$2:A1281 &gt;= A1281 - 30)))
"),"#DIV/0!")</f>
        <v>#DIV/0!</v>
      </c>
    </row>
    <row r="1282" spans="1:14" x14ac:dyDescent="0.2">
      <c r="A1282" s="41"/>
      <c r="B1282" s="40"/>
      <c r="C1282" s="40"/>
      <c r="D1282" s="31"/>
      <c r="E1282" s="31"/>
      <c r="F1282" s="31"/>
      <c r="G1282" s="19" t="e">
        <f t="shared" si="25"/>
        <v>#DIV/0!</v>
      </c>
      <c r="H1282" s="20" t="str">
        <f ca="1">IFERROR(__xludf.DUMMYFUNCTION("IF(COUNTIFS($C$2:C1282, C1282, $A$2:A1282, ""&lt;="" &amp; A1282) &lt; 30, AVERAGEIF($C$2:C1282, C1282, $G$2:G1282), AVERAGE(FILTER($G$2:G1282, $C$2:C1282 = C1282, $A$2:A1282 &gt;= A1282 - 30)))
"),"#DIV/0!")</f>
        <v>#DIV/0!</v>
      </c>
      <c r="I1282" s="20" t="e">
        <f t="shared" ca="1" si="26"/>
        <v>#DIV/0!</v>
      </c>
      <c r="J1282" s="20" t="str">
        <f ca="1">IFERROR(__xludf.DUMMYFUNCTION("IF(OR($I1282=2, $I1282=3), 0, IFERROR(COUNTIFS($C$2:C1282, $C1282, $A$2:A1282, ""&gt;""&amp;IFERROR(MAX(FILTER($A$2:A1282, $C$2:C1282=$C1282, $I$2:I1282&lt;&gt;1)), 0), $I$2:I1282, 1),1))
"),"#DIV/0!")</f>
        <v>#DIV/0!</v>
      </c>
      <c r="K1282" s="7" t="e">
        <f t="shared" ca="1" si="27"/>
        <v>#DIV/0!</v>
      </c>
      <c r="L1282" s="20" t="e">
        <f t="shared" ca="1" si="28"/>
        <v>#DIV/0!</v>
      </c>
      <c r="M1282" s="21" t="e">
        <f t="shared" ca="1" si="29"/>
        <v>#DIV/0!</v>
      </c>
      <c r="N1282" s="20" t="str">
        <f ca="1">IFERROR(__xludf.DUMMYFUNCTION("IF(COUNTIFS($C$2:C1282, C1282, $A$2:A1282, ""&lt;="" &amp; A1282) &lt; 30, STDEV.P(FILTER($G$2:G1282, $C$2:C1282 = C1282)), STDEV.P(FILTER($G$2:G1282, $C$2:C1282 = C1282, $A$2:A1282 &gt;= A1282 - 30)))
"),"#DIV/0!")</f>
        <v>#DIV/0!</v>
      </c>
    </row>
    <row r="1283" spans="1:14" x14ac:dyDescent="0.2">
      <c r="A1283" s="41"/>
      <c r="B1283" s="40"/>
      <c r="C1283" s="40"/>
      <c r="D1283" s="31"/>
      <c r="E1283" s="31"/>
      <c r="F1283" s="31"/>
      <c r="G1283" s="19" t="e">
        <f t="shared" si="25"/>
        <v>#DIV/0!</v>
      </c>
      <c r="H1283" s="20" t="str">
        <f ca="1">IFERROR(__xludf.DUMMYFUNCTION("IF(COUNTIFS($C$2:C1283, C1283, $A$2:A1283, ""&lt;="" &amp; A1283) &lt; 30, AVERAGEIF($C$2:C1283, C1283, $G$2:G1283), AVERAGE(FILTER($G$2:G1283, $C$2:C1283 = C1283, $A$2:A1283 &gt;= A1283 - 30)))
"),"#DIV/0!")</f>
        <v>#DIV/0!</v>
      </c>
      <c r="I1283" s="20" t="e">
        <f t="shared" ca="1" si="26"/>
        <v>#DIV/0!</v>
      </c>
      <c r="J1283" s="20" t="str">
        <f ca="1">IFERROR(__xludf.DUMMYFUNCTION("IF(OR($I1283=2, $I1283=3), 0, IFERROR(COUNTIFS($C$2:C1283, $C1283, $A$2:A1283, ""&gt;""&amp;IFERROR(MAX(FILTER($A$2:A1283, $C$2:C1283=$C1283, $I$2:I1283&lt;&gt;1)), 0), $I$2:I1283, 1),1))
"),"#DIV/0!")</f>
        <v>#DIV/0!</v>
      </c>
      <c r="K1283" s="7" t="e">
        <f t="shared" ca="1" si="27"/>
        <v>#DIV/0!</v>
      </c>
      <c r="L1283" s="20" t="e">
        <f t="shared" ca="1" si="28"/>
        <v>#DIV/0!</v>
      </c>
      <c r="M1283" s="21" t="e">
        <f t="shared" ca="1" si="29"/>
        <v>#DIV/0!</v>
      </c>
      <c r="N1283" s="20" t="str">
        <f ca="1">IFERROR(__xludf.DUMMYFUNCTION("IF(COUNTIFS($C$2:C1283, C1283, $A$2:A1283, ""&lt;="" &amp; A1283) &lt; 30, STDEV.P(FILTER($G$2:G1283, $C$2:C1283 = C1283)), STDEV.P(FILTER($G$2:G1283, $C$2:C1283 = C1283, $A$2:A1283 &gt;= A1283 - 30)))
"),"#DIV/0!")</f>
        <v>#DIV/0!</v>
      </c>
    </row>
    <row r="1284" spans="1:14" x14ac:dyDescent="0.2">
      <c r="A1284" s="41"/>
      <c r="B1284" s="40"/>
      <c r="C1284" s="40"/>
      <c r="D1284" s="31"/>
      <c r="E1284" s="31"/>
      <c r="F1284" s="31"/>
      <c r="G1284" s="19" t="e">
        <f t="shared" si="25"/>
        <v>#DIV/0!</v>
      </c>
      <c r="H1284" s="20" t="str">
        <f ca="1">IFERROR(__xludf.DUMMYFUNCTION("IF(COUNTIFS($C$2:C1284, C1284, $A$2:A1284, ""&lt;="" &amp; A1284) &lt; 30, AVERAGEIF($C$2:C1284, C1284, $G$2:G1284), AVERAGE(FILTER($G$2:G1284, $C$2:C1284 = C1284, $A$2:A1284 &gt;= A1284 - 30)))
"),"#DIV/0!")</f>
        <v>#DIV/0!</v>
      </c>
      <c r="I1284" s="20" t="e">
        <f t="shared" ca="1" si="26"/>
        <v>#DIV/0!</v>
      </c>
      <c r="J1284" s="20" t="str">
        <f ca="1">IFERROR(__xludf.DUMMYFUNCTION("IF(OR($I1284=2, $I1284=3), 0, IFERROR(COUNTIFS($C$2:C1284, $C1284, $A$2:A1284, ""&gt;""&amp;IFERROR(MAX(FILTER($A$2:A1284, $C$2:C1284=$C1284, $I$2:I1284&lt;&gt;1)), 0), $I$2:I1284, 1),1))
"),"#DIV/0!")</f>
        <v>#DIV/0!</v>
      </c>
      <c r="K1284" s="7" t="e">
        <f t="shared" ca="1" si="27"/>
        <v>#DIV/0!</v>
      </c>
      <c r="L1284" s="20" t="e">
        <f t="shared" ca="1" si="28"/>
        <v>#DIV/0!</v>
      </c>
      <c r="M1284" s="21" t="e">
        <f t="shared" ca="1" si="29"/>
        <v>#DIV/0!</v>
      </c>
      <c r="N1284" s="20" t="str">
        <f ca="1">IFERROR(__xludf.DUMMYFUNCTION("IF(COUNTIFS($C$2:C1284, C1284, $A$2:A1284, ""&lt;="" &amp; A1284) &lt; 30, STDEV.P(FILTER($G$2:G1284, $C$2:C1284 = C1284)), STDEV.P(FILTER($G$2:G1284, $C$2:C1284 = C1284, $A$2:A1284 &gt;= A1284 - 30)))
"),"#DIV/0!")</f>
        <v>#DIV/0!</v>
      </c>
    </row>
    <row r="1285" spans="1:14" x14ac:dyDescent="0.2">
      <c r="A1285" s="41"/>
      <c r="B1285" s="40"/>
      <c r="C1285" s="40"/>
      <c r="D1285" s="31"/>
      <c r="E1285" s="31"/>
      <c r="F1285" s="31"/>
      <c r="G1285" s="19" t="e">
        <f t="shared" si="25"/>
        <v>#DIV/0!</v>
      </c>
      <c r="H1285" s="20" t="str">
        <f ca="1">IFERROR(__xludf.DUMMYFUNCTION("IF(COUNTIFS($C$2:C1285, C1285, $A$2:A1285, ""&lt;="" &amp; A1285) &lt; 30, AVERAGEIF($C$2:C1285, C1285, $G$2:G1285), AVERAGE(FILTER($G$2:G1285, $C$2:C1285 = C1285, $A$2:A1285 &gt;= A1285 - 30)))
"),"#DIV/0!")</f>
        <v>#DIV/0!</v>
      </c>
      <c r="I1285" s="20" t="e">
        <f t="shared" ca="1" si="26"/>
        <v>#DIV/0!</v>
      </c>
      <c r="J1285" s="20" t="str">
        <f ca="1">IFERROR(__xludf.DUMMYFUNCTION("IF(OR($I1285=2, $I1285=3), 0, IFERROR(COUNTIFS($C$2:C1285, $C1285, $A$2:A1285, ""&gt;""&amp;IFERROR(MAX(FILTER($A$2:A1285, $C$2:C1285=$C1285, $I$2:I1285&lt;&gt;1)), 0), $I$2:I1285, 1),1))
"),"#DIV/0!")</f>
        <v>#DIV/0!</v>
      </c>
      <c r="K1285" s="7" t="e">
        <f t="shared" ca="1" si="27"/>
        <v>#DIV/0!</v>
      </c>
      <c r="L1285" s="20" t="e">
        <f t="shared" ca="1" si="28"/>
        <v>#DIV/0!</v>
      </c>
      <c r="M1285" s="21" t="e">
        <f t="shared" ca="1" si="29"/>
        <v>#DIV/0!</v>
      </c>
      <c r="N1285" s="20" t="str">
        <f ca="1">IFERROR(__xludf.DUMMYFUNCTION("IF(COUNTIFS($C$2:C1285, C1285, $A$2:A1285, ""&lt;="" &amp; A1285) &lt; 30, STDEV.P(FILTER($G$2:G1285, $C$2:C1285 = C1285)), STDEV.P(FILTER($G$2:G1285, $C$2:C1285 = C1285, $A$2:A1285 &gt;= A1285 - 30)))
"),"#DIV/0!")</f>
        <v>#DIV/0!</v>
      </c>
    </row>
    <row r="1286" spans="1:14" x14ac:dyDescent="0.2">
      <c r="A1286" s="41"/>
      <c r="B1286" s="40"/>
      <c r="C1286" s="40"/>
      <c r="D1286" s="31"/>
      <c r="E1286" s="31"/>
      <c r="F1286" s="31"/>
      <c r="G1286" s="19" t="e">
        <f t="shared" si="25"/>
        <v>#DIV/0!</v>
      </c>
      <c r="H1286" s="20" t="str">
        <f ca="1">IFERROR(__xludf.DUMMYFUNCTION("IF(COUNTIFS($C$2:C1286, C1286, $A$2:A1286, ""&lt;="" &amp; A1286) &lt; 30, AVERAGEIF($C$2:C1286, C1286, $G$2:G1286), AVERAGE(FILTER($G$2:G1286, $C$2:C1286 = C1286, $A$2:A1286 &gt;= A1286 - 30)))
"),"#DIV/0!")</f>
        <v>#DIV/0!</v>
      </c>
      <c r="I1286" s="20" t="e">
        <f t="shared" ca="1" si="26"/>
        <v>#DIV/0!</v>
      </c>
      <c r="J1286" s="20" t="str">
        <f ca="1">IFERROR(__xludf.DUMMYFUNCTION("IF(OR($I1286=2, $I1286=3), 0, IFERROR(COUNTIFS($C$2:C1286, $C1286, $A$2:A1286, ""&gt;""&amp;IFERROR(MAX(FILTER($A$2:A1286, $C$2:C1286=$C1286, $I$2:I1286&lt;&gt;1)), 0), $I$2:I1286, 1),1))
"),"#DIV/0!")</f>
        <v>#DIV/0!</v>
      </c>
      <c r="K1286" s="7" t="e">
        <f t="shared" ca="1" si="27"/>
        <v>#DIV/0!</v>
      </c>
      <c r="L1286" s="20" t="e">
        <f t="shared" ca="1" si="28"/>
        <v>#DIV/0!</v>
      </c>
      <c r="M1286" s="21" t="e">
        <f t="shared" ca="1" si="29"/>
        <v>#DIV/0!</v>
      </c>
      <c r="N1286" s="20" t="str">
        <f ca="1">IFERROR(__xludf.DUMMYFUNCTION("IF(COUNTIFS($C$2:C1286, C1286, $A$2:A1286, ""&lt;="" &amp; A1286) &lt; 30, STDEV.P(FILTER($G$2:G1286, $C$2:C1286 = C1286)), STDEV.P(FILTER($G$2:G1286, $C$2:C1286 = C1286, $A$2:A1286 &gt;= A1286 - 30)))
"),"#DIV/0!")</f>
        <v>#DIV/0!</v>
      </c>
    </row>
    <row r="1287" spans="1:14" x14ac:dyDescent="0.2">
      <c r="A1287" s="41"/>
      <c r="B1287" s="40"/>
      <c r="C1287" s="40"/>
      <c r="D1287" s="31"/>
      <c r="E1287" s="31"/>
      <c r="F1287" s="31"/>
      <c r="G1287" s="19" t="e">
        <f t="shared" si="25"/>
        <v>#DIV/0!</v>
      </c>
      <c r="H1287" s="20" t="str">
        <f ca="1">IFERROR(__xludf.DUMMYFUNCTION("IF(COUNTIFS($C$2:C1287, C1287, $A$2:A1287, ""&lt;="" &amp; A1287) &lt; 30, AVERAGEIF($C$2:C1287, C1287, $G$2:G1287), AVERAGE(FILTER($G$2:G1287, $C$2:C1287 = C1287, $A$2:A1287 &gt;= A1287 - 30)))
"),"#DIV/0!")</f>
        <v>#DIV/0!</v>
      </c>
      <c r="I1287" s="20" t="e">
        <f t="shared" ca="1" si="26"/>
        <v>#DIV/0!</v>
      </c>
      <c r="J1287" s="20" t="str">
        <f ca="1">IFERROR(__xludf.DUMMYFUNCTION("IF(OR($I1287=2, $I1287=3), 0, IFERROR(COUNTIFS($C$2:C1287, $C1287, $A$2:A1287, ""&gt;""&amp;IFERROR(MAX(FILTER($A$2:A1287, $C$2:C1287=$C1287, $I$2:I1287&lt;&gt;1)), 0), $I$2:I1287, 1),1))
"),"#DIV/0!")</f>
        <v>#DIV/0!</v>
      </c>
      <c r="K1287" s="7" t="e">
        <f t="shared" ca="1" si="27"/>
        <v>#DIV/0!</v>
      </c>
      <c r="L1287" s="20" t="e">
        <f t="shared" ca="1" si="28"/>
        <v>#DIV/0!</v>
      </c>
      <c r="M1287" s="21" t="e">
        <f t="shared" ca="1" si="29"/>
        <v>#DIV/0!</v>
      </c>
      <c r="N1287" s="20" t="str">
        <f ca="1">IFERROR(__xludf.DUMMYFUNCTION("IF(COUNTIFS($C$2:C1287, C1287, $A$2:A1287, ""&lt;="" &amp; A1287) &lt; 30, STDEV.P(FILTER($G$2:G1287, $C$2:C1287 = C1287)), STDEV.P(FILTER($G$2:G1287, $C$2:C1287 = C1287, $A$2:A1287 &gt;= A1287 - 30)))
"),"#DIV/0!")</f>
        <v>#DIV/0!</v>
      </c>
    </row>
    <row r="1288" spans="1:14" x14ac:dyDescent="0.2">
      <c r="A1288" s="41"/>
      <c r="B1288" s="40"/>
      <c r="C1288" s="40"/>
      <c r="D1288" s="31"/>
      <c r="E1288" s="31"/>
      <c r="F1288" s="31"/>
      <c r="G1288" s="19" t="e">
        <f t="shared" si="25"/>
        <v>#DIV/0!</v>
      </c>
      <c r="H1288" s="20" t="str">
        <f ca="1">IFERROR(__xludf.DUMMYFUNCTION("IF(COUNTIFS($C$2:C1288, C1288, $A$2:A1288, ""&lt;="" &amp; A1288) &lt; 30, AVERAGEIF($C$2:C1288, C1288, $G$2:G1288), AVERAGE(FILTER($G$2:G1288, $C$2:C1288 = C1288, $A$2:A1288 &gt;= A1288 - 30)))
"),"#DIV/0!")</f>
        <v>#DIV/0!</v>
      </c>
      <c r="I1288" s="20" t="e">
        <f t="shared" ca="1" si="26"/>
        <v>#DIV/0!</v>
      </c>
      <c r="J1288" s="20" t="str">
        <f ca="1">IFERROR(__xludf.DUMMYFUNCTION("IF(OR($I1288=2, $I1288=3), 0, IFERROR(COUNTIFS($C$2:C1288, $C1288, $A$2:A1288, ""&gt;""&amp;IFERROR(MAX(FILTER($A$2:A1288, $C$2:C1288=$C1288, $I$2:I1288&lt;&gt;1)), 0), $I$2:I1288, 1),1))
"),"#DIV/0!")</f>
        <v>#DIV/0!</v>
      </c>
      <c r="K1288" s="7" t="e">
        <f t="shared" ca="1" si="27"/>
        <v>#DIV/0!</v>
      </c>
      <c r="L1288" s="20" t="e">
        <f t="shared" ca="1" si="28"/>
        <v>#DIV/0!</v>
      </c>
      <c r="M1288" s="21" t="e">
        <f t="shared" ca="1" si="29"/>
        <v>#DIV/0!</v>
      </c>
      <c r="N1288" s="20" t="str">
        <f ca="1">IFERROR(__xludf.DUMMYFUNCTION("IF(COUNTIFS($C$2:C1288, C1288, $A$2:A1288, ""&lt;="" &amp; A1288) &lt; 30, STDEV.P(FILTER($G$2:G1288, $C$2:C1288 = C1288)), STDEV.P(FILTER($G$2:G1288, $C$2:C1288 = C1288, $A$2:A1288 &gt;= A1288 - 30)))
"),"#DIV/0!")</f>
        <v>#DIV/0!</v>
      </c>
    </row>
    <row r="1289" spans="1:14" x14ac:dyDescent="0.2">
      <c r="A1289" s="41"/>
      <c r="B1289" s="40"/>
      <c r="C1289" s="40"/>
      <c r="D1289" s="31"/>
      <c r="E1289" s="31"/>
      <c r="F1289" s="31"/>
      <c r="G1289" s="19" t="e">
        <f t="shared" si="25"/>
        <v>#DIV/0!</v>
      </c>
      <c r="H1289" s="20" t="str">
        <f ca="1">IFERROR(__xludf.DUMMYFUNCTION("IF(COUNTIFS($C$2:C1289, C1289, $A$2:A1289, ""&lt;="" &amp; A1289) &lt; 30, AVERAGEIF($C$2:C1289, C1289, $G$2:G1289), AVERAGE(FILTER($G$2:G1289, $C$2:C1289 = C1289, $A$2:A1289 &gt;= A1289 - 30)))
"),"#DIV/0!")</f>
        <v>#DIV/0!</v>
      </c>
      <c r="I1289" s="20" t="e">
        <f t="shared" ca="1" si="26"/>
        <v>#DIV/0!</v>
      </c>
      <c r="J1289" s="20" t="str">
        <f ca="1">IFERROR(__xludf.DUMMYFUNCTION("IF(OR($I1289=2, $I1289=3), 0, IFERROR(COUNTIFS($C$2:C1289, $C1289, $A$2:A1289, ""&gt;""&amp;IFERROR(MAX(FILTER($A$2:A1289, $C$2:C1289=$C1289, $I$2:I1289&lt;&gt;1)), 0), $I$2:I1289, 1),1))
"),"#DIV/0!")</f>
        <v>#DIV/0!</v>
      </c>
      <c r="K1289" s="7" t="e">
        <f t="shared" ca="1" si="27"/>
        <v>#DIV/0!</v>
      </c>
      <c r="L1289" s="20" t="e">
        <f t="shared" ca="1" si="28"/>
        <v>#DIV/0!</v>
      </c>
      <c r="M1289" s="21" t="e">
        <f t="shared" ca="1" si="29"/>
        <v>#DIV/0!</v>
      </c>
      <c r="N1289" s="20" t="str">
        <f ca="1">IFERROR(__xludf.DUMMYFUNCTION("IF(COUNTIFS($C$2:C1289, C1289, $A$2:A1289, ""&lt;="" &amp; A1289) &lt; 30, STDEV.P(FILTER($G$2:G1289, $C$2:C1289 = C1289)), STDEV.P(FILTER($G$2:G1289, $C$2:C1289 = C1289, $A$2:A1289 &gt;= A1289 - 30)))
"),"#DIV/0!")</f>
        <v>#DIV/0!</v>
      </c>
    </row>
    <row r="1290" spans="1:14" x14ac:dyDescent="0.2">
      <c r="A1290" s="41"/>
      <c r="B1290" s="40"/>
      <c r="C1290" s="40"/>
      <c r="D1290" s="31"/>
      <c r="E1290" s="31"/>
      <c r="F1290" s="31"/>
      <c r="G1290" s="19" t="e">
        <f t="shared" si="25"/>
        <v>#DIV/0!</v>
      </c>
      <c r="H1290" s="20" t="str">
        <f ca="1">IFERROR(__xludf.DUMMYFUNCTION("IF(COUNTIFS($C$2:C1290, C1290, $A$2:A1290, ""&lt;="" &amp; A1290) &lt; 30, AVERAGEIF($C$2:C1290, C1290, $G$2:G1290), AVERAGE(FILTER($G$2:G1290, $C$2:C1290 = C1290, $A$2:A1290 &gt;= A1290 - 30)))
"),"#DIV/0!")</f>
        <v>#DIV/0!</v>
      </c>
      <c r="I1290" s="20" t="e">
        <f t="shared" ca="1" si="26"/>
        <v>#DIV/0!</v>
      </c>
      <c r="J1290" s="20" t="str">
        <f ca="1">IFERROR(__xludf.DUMMYFUNCTION("IF(OR($I1290=2, $I1290=3), 0, IFERROR(COUNTIFS($C$2:C1290, $C1290, $A$2:A1290, ""&gt;""&amp;IFERROR(MAX(FILTER($A$2:A1290, $C$2:C1290=$C1290, $I$2:I1290&lt;&gt;1)), 0), $I$2:I1290, 1),1))
"),"#DIV/0!")</f>
        <v>#DIV/0!</v>
      </c>
      <c r="K1290" s="7" t="e">
        <f t="shared" ca="1" si="27"/>
        <v>#DIV/0!</v>
      </c>
      <c r="L1290" s="20" t="e">
        <f t="shared" ca="1" si="28"/>
        <v>#DIV/0!</v>
      </c>
      <c r="M1290" s="21" t="e">
        <f t="shared" ca="1" si="29"/>
        <v>#DIV/0!</v>
      </c>
      <c r="N1290" s="20" t="str">
        <f ca="1">IFERROR(__xludf.DUMMYFUNCTION("IF(COUNTIFS($C$2:C1290, C1290, $A$2:A1290, ""&lt;="" &amp; A1290) &lt; 30, STDEV.P(FILTER($G$2:G1290, $C$2:C1290 = C1290)), STDEV.P(FILTER($G$2:G1290, $C$2:C1290 = C1290, $A$2:A1290 &gt;= A1290 - 30)))
"),"#DIV/0!")</f>
        <v>#DIV/0!</v>
      </c>
    </row>
    <row r="1291" spans="1:14" x14ac:dyDescent="0.2">
      <c r="A1291" s="41"/>
      <c r="B1291" s="40"/>
      <c r="C1291" s="40"/>
      <c r="D1291" s="31"/>
      <c r="E1291" s="31"/>
      <c r="F1291" s="31"/>
      <c r="G1291" s="19" t="e">
        <f t="shared" si="25"/>
        <v>#DIV/0!</v>
      </c>
      <c r="H1291" s="20" t="str">
        <f ca="1">IFERROR(__xludf.DUMMYFUNCTION("IF(COUNTIFS($C$2:C1291, C1291, $A$2:A1291, ""&lt;="" &amp; A1291) &lt; 30, AVERAGEIF($C$2:C1291, C1291, $G$2:G1291), AVERAGE(FILTER($G$2:G1291, $C$2:C1291 = C1291, $A$2:A1291 &gt;= A1291 - 30)))
"),"#DIV/0!")</f>
        <v>#DIV/0!</v>
      </c>
      <c r="I1291" s="20" t="e">
        <f t="shared" ca="1" si="26"/>
        <v>#DIV/0!</v>
      </c>
      <c r="J1291" s="20" t="str">
        <f ca="1">IFERROR(__xludf.DUMMYFUNCTION("IF(OR($I1291=2, $I1291=3), 0, IFERROR(COUNTIFS($C$2:C1291, $C1291, $A$2:A1291, ""&gt;""&amp;IFERROR(MAX(FILTER($A$2:A1291, $C$2:C1291=$C1291, $I$2:I1291&lt;&gt;1)), 0), $I$2:I1291, 1),1))
"),"#DIV/0!")</f>
        <v>#DIV/0!</v>
      </c>
      <c r="K1291" s="7" t="e">
        <f t="shared" ca="1" si="27"/>
        <v>#DIV/0!</v>
      </c>
      <c r="L1291" s="20" t="e">
        <f t="shared" ca="1" si="28"/>
        <v>#DIV/0!</v>
      </c>
      <c r="M1291" s="21" t="e">
        <f t="shared" ca="1" si="29"/>
        <v>#DIV/0!</v>
      </c>
      <c r="N1291" s="20" t="str">
        <f ca="1">IFERROR(__xludf.DUMMYFUNCTION("IF(COUNTIFS($C$2:C1291, C1291, $A$2:A1291, ""&lt;="" &amp; A1291) &lt; 30, STDEV.P(FILTER($G$2:G1291, $C$2:C1291 = C1291)), STDEV.P(FILTER($G$2:G1291, $C$2:C1291 = C1291, $A$2:A1291 &gt;= A1291 - 30)))
"),"#DIV/0!")</f>
        <v>#DIV/0!</v>
      </c>
    </row>
    <row r="1292" spans="1:14" x14ac:dyDescent="0.2">
      <c r="A1292" s="41"/>
      <c r="B1292" s="40"/>
      <c r="C1292" s="40"/>
      <c r="D1292" s="31"/>
      <c r="E1292" s="31"/>
      <c r="F1292" s="31"/>
      <c r="G1292" s="19" t="e">
        <f t="shared" si="25"/>
        <v>#DIV/0!</v>
      </c>
      <c r="H1292" s="20" t="str">
        <f ca="1">IFERROR(__xludf.DUMMYFUNCTION("IF(COUNTIFS($C$2:C1292, C1292, $A$2:A1292, ""&lt;="" &amp; A1292) &lt; 30, AVERAGEIF($C$2:C1292, C1292, $G$2:G1292), AVERAGE(FILTER($G$2:G1292, $C$2:C1292 = C1292, $A$2:A1292 &gt;= A1292 - 30)))
"),"#DIV/0!")</f>
        <v>#DIV/0!</v>
      </c>
      <c r="I1292" s="20" t="e">
        <f t="shared" ca="1" si="26"/>
        <v>#DIV/0!</v>
      </c>
      <c r="J1292" s="20" t="str">
        <f ca="1">IFERROR(__xludf.DUMMYFUNCTION("IF(OR($I1292=2, $I1292=3), 0, IFERROR(COUNTIFS($C$2:C1292, $C1292, $A$2:A1292, ""&gt;""&amp;IFERROR(MAX(FILTER($A$2:A1292, $C$2:C1292=$C1292, $I$2:I1292&lt;&gt;1)), 0), $I$2:I1292, 1),1))
"),"#DIV/0!")</f>
        <v>#DIV/0!</v>
      </c>
      <c r="K1292" s="7" t="e">
        <f t="shared" ca="1" si="27"/>
        <v>#DIV/0!</v>
      </c>
      <c r="L1292" s="20" t="e">
        <f t="shared" ca="1" si="28"/>
        <v>#DIV/0!</v>
      </c>
      <c r="M1292" s="21" t="e">
        <f t="shared" ca="1" si="29"/>
        <v>#DIV/0!</v>
      </c>
      <c r="N1292" s="20" t="str">
        <f ca="1">IFERROR(__xludf.DUMMYFUNCTION("IF(COUNTIFS($C$2:C1292, C1292, $A$2:A1292, ""&lt;="" &amp; A1292) &lt; 30, STDEV.P(FILTER($G$2:G1292, $C$2:C1292 = C1292)), STDEV.P(FILTER($G$2:G1292, $C$2:C1292 = C1292, $A$2:A1292 &gt;= A1292 - 30)))
"),"#DIV/0!")</f>
        <v>#DIV/0!</v>
      </c>
    </row>
    <row r="1293" spans="1:14" x14ac:dyDescent="0.2">
      <c r="A1293" s="41"/>
      <c r="B1293" s="40"/>
      <c r="C1293" s="40"/>
      <c r="D1293" s="31"/>
      <c r="E1293" s="31"/>
      <c r="F1293" s="31"/>
      <c r="G1293" s="19" t="e">
        <f t="shared" si="25"/>
        <v>#DIV/0!</v>
      </c>
      <c r="H1293" s="20" t="str">
        <f ca="1">IFERROR(__xludf.DUMMYFUNCTION("IF(COUNTIFS($C$2:C1293, C1293, $A$2:A1293, ""&lt;="" &amp; A1293) &lt; 30, AVERAGEIF($C$2:C1293, C1293, $G$2:G1293), AVERAGE(FILTER($G$2:G1293, $C$2:C1293 = C1293, $A$2:A1293 &gt;= A1293 - 30)))
"),"#DIV/0!")</f>
        <v>#DIV/0!</v>
      </c>
      <c r="I1293" s="20" t="e">
        <f t="shared" ca="1" si="26"/>
        <v>#DIV/0!</v>
      </c>
      <c r="J1293" s="20" t="str">
        <f ca="1">IFERROR(__xludf.DUMMYFUNCTION("IF(OR($I1293=2, $I1293=3), 0, IFERROR(COUNTIFS($C$2:C1293, $C1293, $A$2:A1293, ""&gt;""&amp;IFERROR(MAX(FILTER($A$2:A1293, $C$2:C1293=$C1293, $I$2:I1293&lt;&gt;1)), 0), $I$2:I1293, 1),1))
"),"#DIV/0!")</f>
        <v>#DIV/0!</v>
      </c>
      <c r="K1293" s="7" t="e">
        <f t="shared" ca="1" si="27"/>
        <v>#DIV/0!</v>
      </c>
      <c r="L1293" s="20" t="e">
        <f t="shared" ca="1" si="28"/>
        <v>#DIV/0!</v>
      </c>
      <c r="M1293" s="21" t="e">
        <f t="shared" ca="1" si="29"/>
        <v>#DIV/0!</v>
      </c>
      <c r="N1293" s="20" t="str">
        <f ca="1">IFERROR(__xludf.DUMMYFUNCTION("IF(COUNTIFS($C$2:C1293, C1293, $A$2:A1293, ""&lt;="" &amp; A1293) &lt; 30, STDEV.P(FILTER($G$2:G1293, $C$2:C1293 = C1293)), STDEV.P(FILTER($G$2:G1293, $C$2:C1293 = C1293, $A$2:A1293 &gt;= A1293 - 30)))
"),"#DIV/0!")</f>
        <v>#DIV/0!</v>
      </c>
    </row>
    <row r="1294" spans="1:14" x14ac:dyDescent="0.2">
      <c r="A1294" s="41"/>
      <c r="B1294" s="40"/>
      <c r="C1294" s="40"/>
      <c r="D1294" s="31"/>
      <c r="E1294" s="31"/>
      <c r="F1294" s="31"/>
      <c r="G1294" s="19" t="e">
        <f t="shared" si="25"/>
        <v>#DIV/0!</v>
      </c>
      <c r="H1294" s="20" t="str">
        <f ca="1">IFERROR(__xludf.DUMMYFUNCTION("IF(COUNTIFS($C$2:C1294, C1294, $A$2:A1294, ""&lt;="" &amp; A1294) &lt; 30, AVERAGEIF($C$2:C1294, C1294, $G$2:G1294), AVERAGE(FILTER($G$2:G1294, $C$2:C1294 = C1294, $A$2:A1294 &gt;= A1294 - 30)))
"),"#DIV/0!")</f>
        <v>#DIV/0!</v>
      </c>
      <c r="I1294" s="20" t="e">
        <f t="shared" ca="1" si="26"/>
        <v>#DIV/0!</v>
      </c>
      <c r="J1294" s="20" t="str">
        <f ca="1">IFERROR(__xludf.DUMMYFUNCTION("IF(OR($I1294=2, $I1294=3), 0, IFERROR(COUNTIFS($C$2:C1294, $C1294, $A$2:A1294, ""&gt;""&amp;IFERROR(MAX(FILTER($A$2:A1294, $C$2:C1294=$C1294, $I$2:I1294&lt;&gt;1)), 0), $I$2:I1294, 1),1))
"),"#DIV/0!")</f>
        <v>#DIV/0!</v>
      </c>
      <c r="K1294" s="7" t="e">
        <f t="shared" ca="1" si="27"/>
        <v>#DIV/0!</v>
      </c>
      <c r="L1294" s="20" t="e">
        <f t="shared" ca="1" si="28"/>
        <v>#DIV/0!</v>
      </c>
      <c r="M1294" s="21" t="e">
        <f t="shared" ca="1" si="29"/>
        <v>#DIV/0!</v>
      </c>
      <c r="N1294" s="20" t="str">
        <f ca="1">IFERROR(__xludf.DUMMYFUNCTION("IF(COUNTIFS($C$2:C1294, C1294, $A$2:A1294, ""&lt;="" &amp; A1294) &lt; 30, STDEV.P(FILTER($G$2:G1294, $C$2:C1294 = C1294)), STDEV.P(FILTER($G$2:G1294, $C$2:C1294 = C1294, $A$2:A1294 &gt;= A1294 - 30)))
"),"#DIV/0!")</f>
        <v>#DIV/0!</v>
      </c>
    </row>
    <row r="1295" spans="1:14" x14ac:dyDescent="0.2">
      <c r="A1295" s="41"/>
      <c r="B1295" s="40"/>
      <c r="C1295" s="40"/>
      <c r="D1295" s="31"/>
      <c r="E1295" s="31"/>
      <c r="F1295" s="31"/>
      <c r="G1295" s="19" t="e">
        <f t="shared" si="25"/>
        <v>#DIV/0!</v>
      </c>
      <c r="H1295" s="20" t="str">
        <f ca="1">IFERROR(__xludf.DUMMYFUNCTION("IF(COUNTIFS($C$2:C1295, C1295, $A$2:A1295, ""&lt;="" &amp; A1295) &lt; 30, AVERAGEIF($C$2:C1295, C1295, $G$2:G1295), AVERAGE(FILTER($G$2:G1295, $C$2:C1295 = C1295, $A$2:A1295 &gt;= A1295 - 30)))
"),"#DIV/0!")</f>
        <v>#DIV/0!</v>
      </c>
      <c r="I1295" s="20" t="e">
        <f t="shared" ca="1" si="26"/>
        <v>#DIV/0!</v>
      </c>
      <c r="J1295" s="20" t="str">
        <f ca="1">IFERROR(__xludf.DUMMYFUNCTION("IF(OR($I1295=2, $I1295=3), 0, IFERROR(COUNTIFS($C$2:C1295, $C1295, $A$2:A1295, ""&gt;""&amp;IFERROR(MAX(FILTER($A$2:A1295, $C$2:C1295=$C1295, $I$2:I1295&lt;&gt;1)), 0), $I$2:I1295, 1),1))
"),"#DIV/0!")</f>
        <v>#DIV/0!</v>
      </c>
      <c r="K1295" s="7" t="e">
        <f t="shared" ca="1" si="27"/>
        <v>#DIV/0!</v>
      </c>
      <c r="L1295" s="20" t="e">
        <f t="shared" ca="1" si="28"/>
        <v>#DIV/0!</v>
      </c>
      <c r="M1295" s="21" t="e">
        <f t="shared" ca="1" si="29"/>
        <v>#DIV/0!</v>
      </c>
      <c r="N1295" s="20" t="str">
        <f ca="1">IFERROR(__xludf.DUMMYFUNCTION("IF(COUNTIFS($C$2:C1295, C1295, $A$2:A1295, ""&lt;="" &amp; A1295) &lt; 30, STDEV.P(FILTER($G$2:G1295, $C$2:C1295 = C1295)), STDEV.P(FILTER($G$2:G1295, $C$2:C1295 = C1295, $A$2:A1295 &gt;= A1295 - 30)))
"),"#DIV/0!")</f>
        <v>#DIV/0!</v>
      </c>
    </row>
    <row r="1296" spans="1:14" x14ac:dyDescent="0.2">
      <c r="A1296" s="41"/>
      <c r="B1296" s="40"/>
      <c r="C1296" s="40"/>
      <c r="D1296" s="31"/>
      <c r="E1296" s="31"/>
      <c r="F1296" s="31"/>
      <c r="G1296" s="19" t="e">
        <f t="shared" si="25"/>
        <v>#DIV/0!</v>
      </c>
      <c r="H1296" s="20" t="str">
        <f ca="1">IFERROR(__xludf.DUMMYFUNCTION("IF(COUNTIFS($C$2:C1296, C1296, $A$2:A1296, ""&lt;="" &amp; A1296) &lt; 30, AVERAGEIF($C$2:C1296, C1296, $G$2:G1296), AVERAGE(FILTER($G$2:G1296, $C$2:C1296 = C1296, $A$2:A1296 &gt;= A1296 - 30)))
"),"#DIV/0!")</f>
        <v>#DIV/0!</v>
      </c>
      <c r="I1296" s="20" t="e">
        <f t="shared" ca="1" si="26"/>
        <v>#DIV/0!</v>
      </c>
      <c r="J1296" s="20" t="str">
        <f ca="1">IFERROR(__xludf.DUMMYFUNCTION("IF(OR($I1296=2, $I1296=3), 0, IFERROR(COUNTIFS($C$2:C1296, $C1296, $A$2:A1296, ""&gt;""&amp;IFERROR(MAX(FILTER($A$2:A1296, $C$2:C1296=$C1296, $I$2:I1296&lt;&gt;1)), 0), $I$2:I1296, 1),1))
"),"#DIV/0!")</f>
        <v>#DIV/0!</v>
      </c>
      <c r="K1296" s="7" t="e">
        <f t="shared" ca="1" si="27"/>
        <v>#DIV/0!</v>
      </c>
      <c r="L1296" s="20" t="e">
        <f t="shared" ca="1" si="28"/>
        <v>#DIV/0!</v>
      </c>
      <c r="M1296" s="21" t="e">
        <f t="shared" ca="1" si="29"/>
        <v>#DIV/0!</v>
      </c>
      <c r="N1296" s="20" t="str">
        <f ca="1">IFERROR(__xludf.DUMMYFUNCTION("IF(COUNTIFS($C$2:C1296, C1296, $A$2:A1296, ""&lt;="" &amp; A1296) &lt; 30, STDEV.P(FILTER($G$2:G1296, $C$2:C1296 = C1296)), STDEV.P(FILTER($G$2:G1296, $C$2:C1296 = C1296, $A$2:A1296 &gt;= A1296 - 30)))
"),"#DIV/0!")</f>
        <v>#DIV/0!</v>
      </c>
    </row>
    <row r="1297" spans="1:14" x14ac:dyDescent="0.2">
      <c r="A1297" s="41"/>
      <c r="B1297" s="40"/>
      <c r="C1297" s="40"/>
      <c r="D1297" s="31"/>
      <c r="E1297" s="31"/>
      <c r="F1297" s="31"/>
      <c r="G1297" s="19" t="e">
        <f t="shared" si="25"/>
        <v>#DIV/0!</v>
      </c>
      <c r="H1297" s="20" t="str">
        <f ca="1">IFERROR(__xludf.DUMMYFUNCTION("IF(COUNTIFS($C$2:C1297, C1297, $A$2:A1297, ""&lt;="" &amp; A1297) &lt; 30, AVERAGEIF($C$2:C1297, C1297, $G$2:G1297), AVERAGE(FILTER($G$2:G1297, $C$2:C1297 = C1297, $A$2:A1297 &gt;= A1297 - 30)))
"),"#DIV/0!")</f>
        <v>#DIV/0!</v>
      </c>
      <c r="I1297" s="20" t="e">
        <f t="shared" ca="1" si="26"/>
        <v>#DIV/0!</v>
      </c>
      <c r="J1297" s="20" t="str">
        <f ca="1">IFERROR(__xludf.DUMMYFUNCTION("IF(OR($I1297=2, $I1297=3), 0, IFERROR(COUNTIFS($C$2:C1297, $C1297, $A$2:A1297, ""&gt;""&amp;IFERROR(MAX(FILTER($A$2:A1297, $C$2:C1297=$C1297, $I$2:I1297&lt;&gt;1)), 0), $I$2:I1297, 1),1))
"),"#DIV/0!")</f>
        <v>#DIV/0!</v>
      </c>
      <c r="K1297" s="7" t="e">
        <f t="shared" ca="1" si="27"/>
        <v>#DIV/0!</v>
      </c>
      <c r="L1297" s="20" t="e">
        <f t="shared" ca="1" si="28"/>
        <v>#DIV/0!</v>
      </c>
      <c r="M1297" s="21" t="e">
        <f t="shared" ca="1" si="29"/>
        <v>#DIV/0!</v>
      </c>
      <c r="N1297" s="20" t="str">
        <f ca="1">IFERROR(__xludf.DUMMYFUNCTION("IF(COUNTIFS($C$2:C1297, C1297, $A$2:A1297, ""&lt;="" &amp; A1297) &lt; 30, STDEV.P(FILTER($G$2:G1297, $C$2:C1297 = C1297)), STDEV.P(FILTER($G$2:G1297, $C$2:C1297 = C1297, $A$2:A1297 &gt;= A1297 - 30)))
"),"#DIV/0!")</f>
        <v>#DIV/0!</v>
      </c>
    </row>
    <row r="1298" spans="1:14" x14ac:dyDescent="0.2">
      <c r="A1298" s="41"/>
      <c r="B1298" s="40"/>
      <c r="C1298" s="40"/>
      <c r="D1298" s="31"/>
      <c r="E1298" s="31"/>
      <c r="F1298" s="31"/>
      <c r="G1298" s="19" t="e">
        <f t="shared" si="25"/>
        <v>#DIV/0!</v>
      </c>
      <c r="H1298" s="20" t="str">
        <f ca="1">IFERROR(__xludf.DUMMYFUNCTION("IF(COUNTIFS($C$2:C1298, C1298, $A$2:A1298, ""&lt;="" &amp; A1298) &lt; 30, AVERAGEIF($C$2:C1298, C1298, $G$2:G1298), AVERAGE(FILTER($G$2:G1298, $C$2:C1298 = C1298, $A$2:A1298 &gt;= A1298 - 30)))
"),"#DIV/0!")</f>
        <v>#DIV/0!</v>
      </c>
      <c r="I1298" s="20" t="e">
        <f t="shared" ca="1" si="26"/>
        <v>#DIV/0!</v>
      </c>
      <c r="J1298" s="20" t="str">
        <f ca="1">IFERROR(__xludf.DUMMYFUNCTION("IF(OR($I1298=2, $I1298=3), 0, IFERROR(COUNTIFS($C$2:C1298, $C1298, $A$2:A1298, ""&gt;""&amp;IFERROR(MAX(FILTER($A$2:A1298, $C$2:C1298=$C1298, $I$2:I1298&lt;&gt;1)), 0), $I$2:I1298, 1),1))
"),"#DIV/0!")</f>
        <v>#DIV/0!</v>
      </c>
      <c r="K1298" s="7" t="e">
        <f t="shared" ca="1" si="27"/>
        <v>#DIV/0!</v>
      </c>
      <c r="L1298" s="20" t="e">
        <f t="shared" ca="1" si="28"/>
        <v>#DIV/0!</v>
      </c>
      <c r="M1298" s="21" t="e">
        <f t="shared" ca="1" si="29"/>
        <v>#DIV/0!</v>
      </c>
      <c r="N1298" s="20" t="str">
        <f ca="1">IFERROR(__xludf.DUMMYFUNCTION("IF(COUNTIFS($C$2:C1298, C1298, $A$2:A1298, ""&lt;="" &amp; A1298) &lt; 30, STDEV.P(FILTER($G$2:G1298, $C$2:C1298 = C1298)), STDEV.P(FILTER($G$2:G1298, $C$2:C1298 = C1298, $A$2:A1298 &gt;= A1298 - 30)))
"),"#DIV/0!")</f>
        <v>#DIV/0!</v>
      </c>
    </row>
    <row r="1299" spans="1:14" x14ac:dyDescent="0.2">
      <c r="A1299" s="41"/>
      <c r="B1299" s="40"/>
      <c r="C1299" s="40"/>
      <c r="D1299" s="31"/>
      <c r="E1299" s="31"/>
      <c r="F1299" s="31"/>
      <c r="G1299" s="19" t="e">
        <f t="shared" si="25"/>
        <v>#DIV/0!</v>
      </c>
      <c r="H1299" s="20" t="str">
        <f ca="1">IFERROR(__xludf.DUMMYFUNCTION("IF(COUNTIFS($C$2:C1299, C1299, $A$2:A1299, ""&lt;="" &amp; A1299) &lt; 30, AVERAGEIF($C$2:C1299, C1299, $G$2:G1299), AVERAGE(FILTER($G$2:G1299, $C$2:C1299 = C1299, $A$2:A1299 &gt;= A1299 - 30)))
"),"#DIV/0!")</f>
        <v>#DIV/0!</v>
      </c>
      <c r="I1299" s="20" t="e">
        <f t="shared" ca="1" si="26"/>
        <v>#DIV/0!</v>
      </c>
      <c r="J1299" s="20" t="str">
        <f ca="1">IFERROR(__xludf.DUMMYFUNCTION("IF(OR($I1299=2, $I1299=3), 0, IFERROR(COUNTIFS($C$2:C1299, $C1299, $A$2:A1299, ""&gt;""&amp;IFERROR(MAX(FILTER($A$2:A1299, $C$2:C1299=$C1299, $I$2:I1299&lt;&gt;1)), 0), $I$2:I1299, 1),1))
"),"#DIV/0!")</f>
        <v>#DIV/0!</v>
      </c>
      <c r="K1299" s="7" t="e">
        <f t="shared" ca="1" si="27"/>
        <v>#DIV/0!</v>
      </c>
      <c r="L1299" s="20" t="e">
        <f t="shared" ca="1" si="28"/>
        <v>#DIV/0!</v>
      </c>
      <c r="M1299" s="21" t="e">
        <f t="shared" ca="1" si="29"/>
        <v>#DIV/0!</v>
      </c>
      <c r="N1299" s="20" t="str">
        <f ca="1">IFERROR(__xludf.DUMMYFUNCTION("IF(COUNTIFS($C$2:C1299, C1299, $A$2:A1299, ""&lt;="" &amp; A1299) &lt; 30, STDEV.P(FILTER($G$2:G1299, $C$2:C1299 = C1299)), STDEV.P(FILTER($G$2:G1299, $C$2:C1299 = C1299, $A$2:A1299 &gt;= A1299 - 30)))
"),"#DIV/0!")</f>
        <v>#DIV/0!</v>
      </c>
    </row>
    <row r="1300" spans="1:14" x14ac:dyDescent="0.2">
      <c r="A1300" s="41"/>
      <c r="B1300" s="40"/>
      <c r="C1300" s="40"/>
      <c r="D1300" s="31"/>
      <c r="E1300" s="31"/>
      <c r="F1300" s="31"/>
      <c r="G1300" s="19" t="e">
        <f t="shared" si="25"/>
        <v>#DIV/0!</v>
      </c>
      <c r="H1300" s="20" t="str">
        <f ca="1">IFERROR(__xludf.DUMMYFUNCTION("IF(COUNTIFS($C$2:C1300, C1300, $A$2:A1300, ""&lt;="" &amp; A1300) &lt; 30, AVERAGEIF($C$2:C1300, C1300, $G$2:G1300), AVERAGE(FILTER($G$2:G1300, $C$2:C1300 = C1300, $A$2:A1300 &gt;= A1300 - 30)))
"),"#DIV/0!")</f>
        <v>#DIV/0!</v>
      </c>
      <c r="I1300" s="20" t="e">
        <f t="shared" ca="1" si="26"/>
        <v>#DIV/0!</v>
      </c>
      <c r="J1300" s="20" t="str">
        <f ca="1">IFERROR(__xludf.DUMMYFUNCTION("IF(OR($I1300=2, $I1300=3), 0, IFERROR(COUNTIFS($C$2:C1300, $C1300, $A$2:A1300, ""&gt;""&amp;IFERROR(MAX(FILTER($A$2:A1300, $C$2:C1300=$C1300, $I$2:I1300&lt;&gt;1)), 0), $I$2:I1300, 1),1))
"),"#DIV/0!")</f>
        <v>#DIV/0!</v>
      </c>
      <c r="K1300" s="7" t="e">
        <f t="shared" ca="1" si="27"/>
        <v>#DIV/0!</v>
      </c>
      <c r="L1300" s="20" t="e">
        <f t="shared" ca="1" si="28"/>
        <v>#DIV/0!</v>
      </c>
      <c r="M1300" s="21" t="e">
        <f t="shared" ca="1" si="29"/>
        <v>#DIV/0!</v>
      </c>
      <c r="N1300" s="20" t="str">
        <f ca="1">IFERROR(__xludf.DUMMYFUNCTION("IF(COUNTIFS($C$2:C1300, C1300, $A$2:A1300, ""&lt;="" &amp; A1300) &lt; 30, STDEV.P(FILTER($G$2:G1300, $C$2:C1300 = C1300)), STDEV.P(FILTER($G$2:G1300, $C$2:C1300 = C1300, $A$2:A1300 &gt;= A1300 - 30)))
"),"#DIV/0!")</f>
        <v>#DIV/0!</v>
      </c>
    </row>
    <row r="1301" spans="1:14" x14ac:dyDescent="0.2">
      <c r="A1301" s="41"/>
      <c r="B1301" s="40"/>
      <c r="C1301" s="40"/>
      <c r="D1301" s="31"/>
      <c r="E1301" s="31"/>
      <c r="F1301" s="31"/>
      <c r="G1301" s="19" t="e">
        <f t="shared" si="25"/>
        <v>#DIV/0!</v>
      </c>
      <c r="H1301" s="20" t="str">
        <f ca="1">IFERROR(__xludf.DUMMYFUNCTION("IF(COUNTIFS($C$2:C1301, C1301, $A$2:A1301, ""&lt;="" &amp; A1301) &lt; 30, AVERAGEIF($C$2:C1301, C1301, $G$2:G1301), AVERAGE(FILTER($G$2:G1301, $C$2:C1301 = C1301, $A$2:A1301 &gt;= A1301 - 30)))
"),"#DIV/0!")</f>
        <v>#DIV/0!</v>
      </c>
      <c r="I1301" s="20" t="e">
        <f t="shared" ca="1" si="26"/>
        <v>#DIV/0!</v>
      </c>
      <c r="J1301" s="20" t="str">
        <f ca="1">IFERROR(__xludf.DUMMYFUNCTION("IF(OR($I1301=2, $I1301=3), 0, IFERROR(COUNTIFS($C$2:C1301, $C1301, $A$2:A1301, ""&gt;""&amp;IFERROR(MAX(FILTER($A$2:A1301, $C$2:C1301=$C1301, $I$2:I1301&lt;&gt;1)), 0), $I$2:I1301, 1),1))
"),"#DIV/0!")</f>
        <v>#DIV/0!</v>
      </c>
      <c r="K1301" s="7" t="e">
        <f t="shared" ca="1" si="27"/>
        <v>#DIV/0!</v>
      </c>
      <c r="L1301" s="20" t="e">
        <f t="shared" ca="1" si="28"/>
        <v>#DIV/0!</v>
      </c>
      <c r="M1301" s="21" t="e">
        <f t="shared" ca="1" si="29"/>
        <v>#DIV/0!</v>
      </c>
      <c r="N1301" s="20" t="str">
        <f ca="1">IFERROR(__xludf.DUMMYFUNCTION("IF(COUNTIFS($C$2:C1301, C1301, $A$2:A1301, ""&lt;="" &amp; A1301) &lt; 30, STDEV.P(FILTER($G$2:G1301, $C$2:C1301 = C1301)), STDEV.P(FILTER($G$2:G1301, $C$2:C1301 = C1301, $A$2:A1301 &gt;= A1301 - 30)))
"),"#DIV/0!")</f>
        <v>#DIV/0!</v>
      </c>
    </row>
    <row r="1302" spans="1:14" x14ac:dyDescent="0.2">
      <c r="A1302" s="41"/>
      <c r="B1302" s="40"/>
      <c r="C1302" s="40"/>
      <c r="D1302" s="31"/>
      <c r="E1302" s="31"/>
      <c r="F1302" s="31"/>
      <c r="G1302" s="19" t="e">
        <f t="shared" si="25"/>
        <v>#DIV/0!</v>
      </c>
      <c r="H1302" s="20" t="str">
        <f ca="1">IFERROR(__xludf.DUMMYFUNCTION("IF(COUNTIFS($C$2:C1302, C1302, $A$2:A1302, ""&lt;="" &amp; A1302) &lt; 30, AVERAGEIF($C$2:C1302, C1302, $G$2:G1302), AVERAGE(FILTER($G$2:G1302, $C$2:C1302 = C1302, $A$2:A1302 &gt;= A1302 - 30)))
"),"#DIV/0!")</f>
        <v>#DIV/0!</v>
      </c>
      <c r="I1302" s="20" t="e">
        <f t="shared" ca="1" si="26"/>
        <v>#DIV/0!</v>
      </c>
      <c r="J1302" s="20" t="str">
        <f ca="1">IFERROR(__xludf.DUMMYFUNCTION("IF(OR($I1302=2, $I1302=3), 0, IFERROR(COUNTIFS($C$2:C1302, $C1302, $A$2:A1302, ""&gt;""&amp;IFERROR(MAX(FILTER($A$2:A1302, $C$2:C1302=$C1302, $I$2:I1302&lt;&gt;1)), 0), $I$2:I1302, 1),1))
"),"#DIV/0!")</f>
        <v>#DIV/0!</v>
      </c>
      <c r="K1302" s="7" t="e">
        <f t="shared" ca="1" si="27"/>
        <v>#DIV/0!</v>
      </c>
      <c r="L1302" s="20" t="e">
        <f t="shared" ca="1" si="28"/>
        <v>#DIV/0!</v>
      </c>
      <c r="M1302" s="21" t="e">
        <f t="shared" ca="1" si="29"/>
        <v>#DIV/0!</v>
      </c>
      <c r="N1302" s="20" t="str">
        <f ca="1">IFERROR(__xludf.DUMMYFUNCTION("IF(COUNTIFS($C$2:C1302, C1302, $A$2:A1302, ""&lt;="" &amp; A1302) &lt; 30, STDEV.P(FILTER($G$2:G1302, $C$2:C1302 = C1302)), STDEV.P(FILTER($G$2:G1302, $C$2:C1302 = C1302, $A$2:A1302 &gt;= A1302 - 30)))
"),"#DIV/0!")</f>
        <v>#DIV/0!</v>
      </c>
    </row>
    <row r="1303" spans="1:14" x14ac:dyDescent="0.2">
      <c r="A1303" s="41"/>
      <c r="B1303" s="40"/>
      <c r="C1303" s="40"/>
      <c r="D1303" s="31"/>
      <c r="E1303" s="31"/>
      <c r="F1303" s="31"/>
      <c r="G1303" s="19" t="e">
        <f t="shared" si="25"/>
        <v>#DIV/0!</v>
      </c>
      <c r="H1303" s="20" t="str">
        <f ca="1">IFERROR(__xludf.DUMMYFUNCTION("IF(COUNTIFS($C$2:C1303, C1303, $A$2:A1303, ""&lt;="" &amp; A1303) &lt; 30, AVERAGEIF($C$2:C1303, C1303, $G$2:G1303), AVERAGE(FILTER($G$2:G1303, $C$2:C1303 = C1303, $A$2:A1303 &gt;= A1303 - 30)))
"),"#DIV/0!")</f>
        <v>#DIV/0!</v>
      </c>
      <c r="I1303" s="20" t="e">
        <f t="shared" ca="1" si="26"/>
        <v>#DIV/0!</v>
      </c>
      <c r="J1303" s="20" t="str">
        <f ca="1">IFERROR(__xludf.DUMMYFUNCTION("IF(OR($I1303=2, $I1303=3), 0, IFERROR(COUNTIFS($C$2:C1303, $C1303, $A$2:A1303, ""&gt;""&amp;IFERROR(MAX(FILTER($A$2:A1303, $C$2:C1303=$C1303, $I$2:I1303&lt;&gt;1)), 0), $I$2:I1303, 1),1))
"),"#DIV/0!")</f>
        <v>#DIV/0!</v>
      </c>
      <c r="K1303" s="7" t="e">
        <f t="shared" ca="1" si="27"/>
        <v>#DIV/0!</v>
      </c>
      <c r="L1303" s="20" t="e">
        <f t="shared" ca="1" si="28"/>
        <v>#DIV/0!</v>
      </c>
      <c r="M1303" s="21" t="e">
        <f t="shared" ca="1" si="29"/>
        <v>#DIV/0!</v>
      </c>
      <c r="N1303" s="20" t="str">
        <f ca="1">IFERROR(__xludf.DUMMYFUNCTION("IF(COUNTIFS($C$2:C1303, C1303, $A$2:A1303, ""&lt;="" &amp; A1303) &lt; 30, STDEV.P(FILTER($G$2:G1303, $C$2:C1303 = C1303)), STDEV.P(FILTER($G$2:G1303, $C$2:C1303 = C1303, $A$2:A1303 &gt;= A1303 - 30)))
"),"#DIV/0!")</f>
        <v>#DIV/0!</v>
      </c>
    </row>
    <row r="1304" spans="1:14" x14ac:dyDescent="0.2">
      <c r="A1304" s="41"/>
      <c r="B1304" s="40"/>
      <c r="C1304" s="40"/>
      <c r="D1304" s="31"/>
      <c r="E1304" s="31"/>
      <c r="F1304" s="31"/>
      <c r="G1304" s="19" t="e">
        <f t="shared" si="25"/>
        <v>#DIV/0!</v>
      </c>
      <c r="H1304" s="20" t="str">
        <f ca="1">IFERROR(__xludf.DUMMYFUNCTION("IF(COUNTIFS($C$2:C1304, C1304, $A$2:A1304, ""&lt;="" &amp; A1304) &lt; 30, AVERAGEIF($C$2:C1304, C1304, $G$2:G1304), AVERAGE(FILTER($G$2:G1304, $C$2:C1304 = C1304, $A$2:A1304 &gt;= A1304 - 30)))
"),"#DIV/0!")</f>
        <v>#DIV/0!</v>
      </c>
      <c r="I1304" s="20" t="e">
        <f t="shared" ca="1" si="26"/>
        <v>#DIV/0!</v>
      </c>
      <c r="J1304" s="20" t="str">
        <f ca="1">IFERROR(__xludf.DUMMYFUNCTION("IF(OR($I1304=2, $I1304=3), 0, IFERROR(COUNTIFS($C$2:C1304, $C1304, $A$2:A1304, ""&gt;""&amp;IFERROR(MAX(FILTER($A$2:A1304, $C$2:C1304=$C1304, $I$2:I1304&lt;&gt;1)), 0), $I$2:I1304, 1),1))
"),"#DIV/0!")</f>
        <v>#DIV/0!</v>
      </c>
      <c r="K1304" s="7" t="e">
        <f t="shared" ca="1" si="27"/>
        <v>#DIV/0!</v>
      </c>
      <c r="L1304" s="20" t="e">
        <f t="shared" ca="1" si="28"/>
        <v>#DIV/0!</v>
      </c>
      <c r="M1304" s="21" t="e">
        <f t="shared" ca="1" si="29"/>
        <v>#DIV/0!</v>
      </c>
      <c r="N1304" s="20" t="str">
        <f ca="1">IFERROR(__xludf.DUMMYFUNCTION("IF(COUNTIFS($C$2:C1304, C1304, $A$2:A1304, ""&lt;="" &amp; A1304) &lt; 30, STDEV.P(FILTER($G$2:G1304, $C$2:C1304 = C1304)), STDEV.P(FILTER($G$2:G1304, $C$2:C1304 = C1304, $A$2:A1304 &gt;= A1304 - 30)))
"),"#DIV/0!")</f>
        <v>#DIV/0!</v>
      </c>
    </row>
    <row r="1305" spans="1:14" x14ac:dyDescent="0.2">
      <c r="A1305" s="41"/>
      <c r="B1305" s="40"/>
      <c r="C1305" s="40"/>
      <c r="D1305" s="31"/>
      <c r="E1305" s="31"/>
      <c r="F1305" s="31"/>
      <c r="G1305" s="19" t="e">
        <f t="shared" si="25"/>
        <v>#DIV/0!</v>
      </c>
      <c r="H1305" s="20" t="str">
        <f ca="1">IFERROR(__xludf.DUMMYFUNCTION("IF(COUNTIFS($C$2:C1305, C1305, $A$2:A1305, ""&lt;="" &amp; A1305) &lt; 30, AVERAGEIF($C$2:C1305, C1305, $G$2:G1305), AVERAGE(FILTER($G$2:G1305, $C$2:C1305 = C1305, $A$2:A1305 &gt;= A1305 - 30)))
"),"#DIV/0!")</f>
        <v>#DIV/0!</v>
      </c>
      <c r="I1305" s="20" t="e">
        <f t="shared" ca="1" si="26"/>
        <v>#DIV/0!</v>
      </c>
      <c r="J1305" s="20" t="str">
        <f ca="1">IFERROR(__xludf.DUMMYFUNCTION("IF(OR($I1305=2, $I1305=3), 0, IFERROR(COUNTIFS($C$2:C1305, $C1305, $A$2:A1305, ""&gt;""&amp;IFERROR(MAX(FILTER($A$2:A1305, $C$2:C1305=$C1305, $I$2:I1305&lt;&gt;1)), 0), $I$2:I1305, 1),1))
"),"#DIV/0!")</f>
        <v>#DIV/0!</v>
      </c>
      <c r="K1305" s="7" t="e">
        <f t="shared" ca="1" si="27"/>
        <v>#DIV/0!</v>
      </c>
      <c r="L1305" s="20" t="e">
        <f t="shared" ca="1" si="28"/>
        <v>#DIV/0!</v>
      </c>
      <c r="M1305" s="21" t="e">
        <f t="shared" ca="1" si="29"/>
        <v>#DIV/0!</v>
      </c>
      <c r="N1305" s="20" t="str">
        <f ca="1">IFERROR(__xludf.DUMMYFUNCTION("IF(COUNTIFS($C$2:C1305, C1305, $A$2:A1305, ""&lt;="" &amp; A1305) &lt; 30, STDEV.P(FILTER($G$2:G1305, $C$2:C1305 = C1305)), STDEV.P(FILTER($G$2:G1305, $C$2:C1305 = C1305, $A$2:A1305 &gt;= A1305 - 30)))
"),"#DIV/0!")</f>
        <v>#DIV/0!</v>
      </c>
    </row>
    <row r="1306" spans="1:14" x14ac:dyDescent="0.2">
      <c r="A1306" s="41"/>
      <c r="B1306" s="40"/>
      <c r="C1306" s="40"/>
      <c r="D1306" s="31"/>
      <c r="E1306" s="31"/>
      <c r="F1306" s="31"/>
      <c r="G1306" s="19" t="e">
        <f t="shared" si="25"/>
        <v>#DIV/0!</v>
      </c>
      <c r="H1306" s="20" t="str">
        <f ca="1">IFERROR(__xludf.DUMMYFUNCTION("IF(COUNTIFS($C$2:C1306, C1306, $A$2:A1306, ""&lt;="" &amp; A1306) &lt; 30, AVERAGEIF($C$2:C1306, C1306, $G$2:G1306), AVERAGE(FILTER($G$2:G1306, $C$2:C1306 = C1306, $A$2:A1306 &gt;= A1306 - 30)))
"),"#DIV/0!")</f>
        <v>#DIV/0!</v>
      </c>
      <c r="I1306" s="20" t="e">
        <f t="shared" ca="1" si="26"/>
        <v>#DIV/0!</v>
      </c>
      <c r="J1306" s="20" t="str">
        <f ca="1">IFERROR(__xludf.DUMMYFUNCTION("IF(OR($I1306=2, $I1306=3), 0, IFERROR(COUNTIFS($C$2:C1306, $C1306, $A$2:A1306, ""&gt;""&amp;IFERROR(MAX(FILTER($A$2:A1306, $C$2:C1306=$C1306, $I$2:I1306&lt;&gt;1)), 0), $I$2:I1306, 1),1))
"),"#DIV/0!")</f>
        <v>#DIV/0!</v>
      </c>
      <c r="K1306" s="7" t="e">
        <f t="shared" ca="1" si="27"/>
        <v>#DIV/0!</v>
      </c>
      <c r="L1306" s="20" t="e">
        <f t="shared" ca="1" si="28"/>
        <v>#DIV/0!</v>
      </c>
      <c r="M1306" s="21" t="e">
        <f t="shared" ca="1" si="29"/>
        <v>#DIV/0!</v>
      </c>
      <c r="N1306" s="20" t="str">
        <f ca="1">IFERROR(__xludf.DUMMYFUNCTION("IF(COUNTIFS($C$2:C1306, C1306, $A$2:A1306, ""&lt;="" &amp; A1306) &lt; 30, STDEV.P(FILTER($G$2:G1306, $C$2:C1306 = C1306)), STDEV.P(FILTER($G$2:G1306, $C$2:C1306 = C1306, $A$2:A1306 &gt;= A1306 - 30)))
"),"#DIV/0!")</f>
        <v>#DIV/0!</v>
      </c>
    </row>
    <row r="1307" spans="1:14" x14ac:dyDescent="0.2">
      <c r="A1307" s="41"/>
      <c r="B1307" s="40"/>
      <c r="C1307" s="40"/>
      <c r="D1307" s="31"/>
      <c r="E1307" s="31"/>
      <c r="F1307" s="31"/>
      <c r="G1307" s="19" t="e">
        <f t="shared" si="25"/>
        <v>#DIV/0!</v>
      </c>
      <c r="H1307" s="20" t="str">
        <f ca="1">IFERROR(__xludf.DUMMYFUNCTION("IF(COUNTIFS($C$2:C1307, C1307, $A$2:A1307, ""&lt;="" &amp; A1307) &lt; 30, AVERAGEIF($C$2:C1307, C1307, $G$2:G1307), AVERAGE(FILTER($G$2:G1307, $C$2:C1307 = C1307, $A$2:A1307 &gt;= A1307 - 30)))
"),"#DIV/0!")</f>
        <v>#DIV/0!</v>
      </c>
      <c r="I1307" s="20" t="e">
        <f t="shared" ca="1" si="26"/>
        <v>#DIV/0!</v>
      </c>
      <c r="J1307" s="20" t="str">
        <f ca="1">IFERROR(__xludf.DUMMYFUNCTION("IF(OR($I1307=2, $I1307=3), 0, IFERROR(COUNTIFS($C$2:C1307, $C1307, $A$2:A1307, ""&gt;""&amp;IFERROR(MAX(FILTER($A$2:A1307, $C$2:C1307=$C1307, $I$2:I1307&lt;&gt;1)), 0), $I$2:I1307, 1),1))
"),"#DIV/0!")</f>
        <v>#DIV/0!</v>
      </c>
      <c r="K1307" s="7" t="e">
        <f t="shared" ca="1" si="27"/>
        <v>#DIV/0!</v>
      </c>
      <c r="L1307" s="20" t="e">
        <f t="shared" ca="1" si="28"/>
        <v>#DIV/0!</v>
      </c>
      <c r="M1307" s="21" t="e">
        <f t="shared" ca="1" si="29"/>
        <v>#DIV/0!</v>
      </c>
      <c r="N1307" s="20" t="str">
        <f ca="1">IFERROR(__xludf.DUMMYFUNCTION("IF(COUNTIFS($C$2:C1307, C1307, $A$2:A1307, ""&lt;="" &amp; A1307) &lt; 30, STDEV.P(FILTER($G$2:G1307, $C$2:C1307 = C1307)), STDEV.P(FILTER($G$2:G1307, $C$2:C1307 = C1307, $A$2:A1307 &gt;= A1307 - 30)))
"),"#DIV/0!")</f>
        <v>#DIV/0!</v>
      </c>
    </row>
    <row r="1308" spans="1:14" x14ac:dyDescent="0.2">
      <c r="A1308" s="41"/>
      <c r="B1308" s="40"/>
      <c r="C1308" s="40"/>
      <c r="D1308" s="31"/>
      <c r="E1308" s="31"/>
      <c r="F1308" s="31"/>
      <c r="G1308" s="19" t="e">
        <f t="shared" si="25"/>
        <v>#DIV/0!</v>
      </c>
      <c r="H1308" s="20" t="str">
        <f ca="1">IFERROR(__xludf.DUMMYFUNCTION("IF(COUNTIFS($C$2:C1308, C1308, $A$2:A1308, ""&lt;="" &amp; A1308) &lt; 30, AVERAGEIF($C$2:C1308, C1308, $G$2:G1308), AVERAGE(FILTER($G$2:G1308, $C$2:C1308 = C1308, $A$2:A1308 &gt;= A1308 - 30)))
"),"#DIV/0!")</f>
        <v>#DIV/0!</v>
      </c>
      <c r="I1308" s="20" t="e">
        <f t="shared" ca="1" si="26"/>
        <v>#DIV/0!</v>
      </c>
      <c r="J1308" s="20" t="str">
        <f ca="1">IFERROR(__xludf.DUMMYFUNCTION("IF(OR($I1308=2, $I1308=3), 0, IFERROR(COUNTIFS($C$2:C1308, $C1308, $A$2:A1308, ""&gt;""&amp;IFERROR(MAX(FILTER($A$2:A1308, $C$2:C1308=$C1308, $I$2:I1308&lt;&gt;1)), 0), $I$2:I1308, 1),1))
"),"#DIV/0!")</f>
        <v>#DIV/0!</v>
      </c>
      <c r="K1308" s="7" t="e">
        <f t="shared" ca="1" si="27"/>
        <v>#DIV/0!</v>
      </c>
      <c r="L1308" s="20" t="e">
        <f t="shared" ca="1" si="28"/>
        <v>#DIV/0!</v>
      </c>
      <c r="M1308" s="21" t="e">
        <f t="shared" ca="1" si="29"/>
        <v>#DIV/0!</v>
      </c>
      <c r="N1308" s="20" t="str">
        <f ca="1">IFERROR(__xludf.DUMMYFUNCTION("IF(COUNTIFS($C$2:C1308, C1308, $A$2:A1308, ""&lt;="" &amp; A1308) &lt; 30, STDEV.P(FILTER($G$2:G1308, $C$2:C1308 = C1308)), STDEV.P(FILTER($G$2:G1308, $C$2:C1308 = C1308, $A$2:A1308 &gt;= A1308 - 30)))
"),"#DIV/0!")</f>
        <v>#DIV/0!</v>
      </c>
    </row>
    <row r="1309" spans="1:14" x14ac:dyDescent="0.2">
      <c r="A1309" s="41"/>
      <c r="B1309" s="40"/>
      <c r="C1309" s="40"/>
      <c r="D1309" s="31"/>
      <c r="E1309" s="31"/>
      <c r="F1309" s="31"/>
      <c r="G1309" s="19" t="e">
        <f t="shared" si="25"/>
        <v>#DIV/0!</v>
      </c>
      <c r="H1309" s="20" t="str">
        <f ca="1">IFERROR(__xludf.DUMMYFUNCTION("IF(COUNTIFS($C$2:C1309, C1309, $A$2:A1309, ""&lt;="" &amp; A1309) &lt; 30, AVERAGEIF($C$2:C1309, C1309, $G$2:G1309), AVERAGE(FILTER($G$2:G1309, $C$2:C1309 = C1309, $A$2:A1309 &gt;= A1309 - 30)))
"),"#DIV/0!")</f>
        <v>#DIV/0!</v>
      </c>
      <c r="I1309" s="20" t="e">
        <f t="shared" ca="1" si="26"/>
        <v>#DIV/0!</v>
      </c>
      <c r="J1309" s="20" t="str">
        <f ca="1">IFERROR(__xludf.DUMMYFUNCTION("IF(OR($I1309=2, $I1309=3), 0, IFERROR(COUNTIFS($C$2:C1309, $C1309, $A$2:A1309, ""&gt;""&amp;IFERROR(MAX(FILTER($A$2:A1309, $C$2:C1309=$C1309, $I$2:I1309&lt;&gt;1)), 0), $I$2:I1309, 1),1))
"),"#DIV/0!")</f>
        <v>#DIV/0!</v>
      </c>
      <c r="K1309" s="7" t="e">
        <f t="shared" ca="1" si="27"/>
        <v>#DIV/0!</v>
      </c>
      <c r="L1309" s="20" t="e">
        <f t="shared" ca="1" si="28"/>
        <v>#DIV/0!</v>
      </c>
      <c r="M1309" s="21" t="e">
        <f t="shared" ca="1" si="29"/>
        <v>#DIV/0!</v>
      </c>
      <c r="N1309" s="20" t="str">
        <f ca="1">IFERROR(__xludf.DUMMYFUNCTION("IF(COUNTIFS($C$2:C1309, C1309, $A$2:A1309, ""&lt;="" &amp; A1309) &lt; 30, STDEV.P(FILTER($G$2:G1309, $C$2:C1309 = C1309)), STDEV.P(FILTER($G$2:G1309, $C$2:C1309 = C1309, $A$2:A1309 &gt;= A1309 - 30)))
"),"#DIV/0!")</f>
        <v>#DIV/0!</v>
      </c>
    </row>
    <row r="1310" spans="1:14" x14ac:dyDescent="0.2">
      <c r="A1310" s="41"/>
      <c r="B1310" s="40"/>
      <c r="C1310" s="40"/>
      <c r="D1310" s="31"/>
      <c r="E1310" s="31"/>
      <c r="F1310" s="31"/>
      <c r="G1310" s="19" t="e">
        <f t="shared" si="25"/>
        <v>#DIV/0!</v>
      </c>
      <c r="H1310" s="20" t="str">
        <f ca="1">IFERROR(__xludf.DUMMYFUNCTION("IF(COUNTIFS($C$2:C1310, C1310, $A$2:A1310, ""&lt;="" &amp; A1310) &lt; 30, AVERAGEIF($C$2:C1310, C1310, $G$2:G1310), AVERAGE(FILTER($G$2:G1310, $C$2:C1310 = C1310, $A$2:A1310 &gt;= A1310 - 30)))
"),"#DIV/0!")</f>
        <v>#DIV/0!</v>
      </c>
      <c r="I1310" s="20" t="e">
        <f t="shared" ca="1" si="26"/>
        <v>#DIV/0!</v>
      </c>
      <c r="J1310" s="20" t="str">
        <f ca="1">IFERROR(__xludf.DUMMYFUNCTION("IF(OR($I1310=2, $I1310=3), 0, IFERROR(COUNTIFS($C$2:C1310, $C1310, $A$2:A1310, ""&gt;""&amp;IFERROR(MAX(FILTER($A$2:A1310, $C$2:C1310=$C1310, $I$2:I1310&lt;&gt;1)), 0), $I$2:I1310, 1),1))
"),"#DIV/0!")</f>
        <v>#DIV/0!</v>
      </c>
      <c r="K1310" s="7" t="e">
        <f t="shared" ca="1" si="27"/>
        <v>#DIV/0!</v>
      </c>
      <c r="L1310" s="20" t="e">
        <f t="shared" ca="1" si="28"/>
        <v>#DIV/0!</v>
      </c>
      <c r="M1310" s="21" t="e">
        <f t="shared" ca="1" si="29"/>
        <v>#DIV/0!</v>
      </c>
      <c r="N1310" s="20" t="str">
        <f ca="1">IFERROR(__xludf.DUMMYFUNCTION("IF(COUNTIFS($C$2:C1310, C1310, $A$2:A1310, ""&lt;="" &amp; A1310) &lt; 30, STDEV.P(FILTER($G$2:G1310, $C$2:C1310 = C1310)), STDEV.P(FILTER($G$2:G1310, $C$2:C1310 = C1310, $A$2:A1310 &gt;= A1310 - 30)))
"),"#DIV/0!")</f>
        <v>#DIV/0!</v>
      </c>
    </row>
    <row r="1311" spans="1:14" x14ac:dyDescent="0.2">
      <c r="A1311" s="41"/>
      <c r="B1311" s="40"/>
      <c r="C1311" s="40"/>
      <c r="D1311" s="31"/>
      <c r="E1311" s="31"/>
      <c r="F1311" s="31"/>
      <c r="G1311" s="19" t="e">
        <f t="shared" si="25"/>
        <v>#DIV/0!</v>
      </c>
      <c r="H1311" s="20" t="str">
        <f ca="1">IFERROR(__xludf.DUMMYFUNCTION("IF(COUNTIFS($C$2:C1311, C1311, $A$2:A1311, ""&lt;="" &amp; A1311) &lt; 30, AVERAGEIF($C$2:C1311, C1311, $G$2:G1311), AVERAGE(FILTER($G$2:G1311, $C$2:C1311 = C1311, $A$2:A1311 &gt;= A1311 - 30)))
"),"#DIV/0!")</f>
        <v>#DIV/0!</v>
      </c>
      <c r="I1311" s="20" t="e">
        <f t="shared" ca="1" si="26"/>
        <v>#DIV/0!</v>
      </c>
      <c r="J1311" s="20" t="str">
        <f ca="1">IFERROR(__xludf.DUMMYFUNCTION("IF(OR($I1311=2, $I1311=3), 0, IFERROR(COUNTIFS($C$2:C1311, $C1311, $A$2:A1311, ""&gt;""&amp;IFERROR(MAX(FILTER($A$2:A1311, $C$2:C1311=$C1311, $I$2:I1311&lt;&gt;1)), 0), $I$2:I1311, 1),1))
"),"#DIV/0!")</f>
        <v>#DIV/0!</v>
      </c>
      <c r="K1311" s="7" t="e">
        <f t="shared" ca="1" si="27"/>
        <v>#DIV/0!</v>
      </c>
      <c r="L1311" s="20" t="e">
        <f t="shared" ca="1" si="28"/>
        <v>#DIV/0!</v>
      </c>
      <c r="M1311" s="21" t="e">
        <f t="shared" ca="1" si="29"/>
        <v>#DIV/0!</v>
      </c>
      <c r="N1311" s="20" t="str">
        <f ca="1">IFERROR(__xludf.DUMMYFUNCTION("IF(COUNTIFS($C$2:C1311, C1311, $A$2:A1311, ""&lt;="" &amp; A1311) &lt; 30, STDEV.P(FILTER($G$2:G1311, $C$2:C1311 = C1311)), STDEV.P(FILTER($G$2:G1311, $C$2:C1311 = C1311, $A$2:A1311 &gt;= A1311 - 30)))
"),"#DIV/0!")</f>
        <v>#DIV/0!</v>
      </c>
    </row>
    <row r="1312" spans="1:14" x14ac:dyDescent="0.2">
      <c r="A1312" s="41"/>
      <c r="B1312" s="40"/>
      <c r="C1312" s="40"/>
      <c r="D1312" s="31"/>
      <c r="E1312" s="31"/>
      <c r="F1312" s="31"/>
      <c r="G1312" s="19" t="e">
        <f t="shared" si="25"/>
        <v>#DIV/0!</v>
      </c>
      <c r="H1312" s="20" t="str">
        <f ca="1">IFERROR(__xludf.DUMMYFUNCTION("IF(COUNTIFS($C$2:C1312, C1312, $A$2:A1312, ""&lt;="" &amp; A1312) &lt; 30, AVERAGEIF($C$2:C1312, C1312, $G$2:G1312), AVERAGE(FILTER($G$2:G1312, $C$2:C1312 = C1312, $A$2:A1312 &gt;= A1312 - 30)))
"),"#DIV/0!")</f>
        <v>#DIV/0!</v>
      </c>
      <c r="I1312" s="20" t="e">
        <f t="shared" ca="1" si="26"/>
        <v>#DIV/0!</v>
      </c>
      <c r="J1312" s="20" t="str">
        <f ca="1">IFERROR(__xludf.DUMMYFUNCTION("IF(OR($I1312=2, $I1312=3), 0, IFERROR(COUNTIFS($C$2:C1312, $C1312, $A$2:A1312, ""&gt;""&amp;IFERROR(MAX(FILTER($A$2:A1312, $C$2:C1312=$C1312, $I$2:I1312&lt;&gt;1)), 0), $I$2:I1312, 1),1))
"),"#DIV/0!")</f>
        <v>#DIV/0!</v>
      </c>
      <c r="K1312" s="7" t="e">
        <f t="shared" ca="1" si="27"/>
        <v>#DIV/0!</v>
      </c>
      <c r="L1312" s="20" t="e">
        <f t="shared" ca="1" si="28"/>
        <v>#DIV/0!</v>
      </c>
      <c r="M1312" s="21" t="e">
        <f t="shared" ca="1" si="29"/>
        <v>#DIV/0!</v>
      </c>
      <c r="N1312" s="20" t="str">
        <f ca="1">IFERROR(__xludf.DUMMYFUNCTION("IF(COUNTIFS($C$2:C1312, C1312, $A$2:A1312, ""&lt;="" &amp; A1312) &lt; 30, STDEV.P(FILTER($G$2:G1312, $C$2:C1312 = C1312)), STDEV.P(FILTER($G$2:G1312, $C$2:C1312 = C1312, $A$2:A1312 &gt;= A1312 - 30)))
"),"#DIV/0!")</f>
        <v>#DIV/0!</v>
      </c>
    </row>
    <row r="1313" spans="1:14" x14ac:dyDescent="0.2">
      <c r="A1313" s="41"/>
      <c r="B1313" s="40"/>
      <c r="C1313" s="40"/>
      <c r="D1313" s="31"/>
      <c r="E1313" s="31"/>
      <c r="F1313" s="31"/>
      <c r="G1313" s="19" t="e">
        <f t="shared" si="25"/>
        <v>#DIV/0!</v>
      </c>
      <c r="H1313" s="20" t="str">
        <f ca="1">IFERROR(__xludf.DUMMYFUNCTION("IF(COUNTIFS($C$2:C1313, C1313, $A$2:A1313, ""&lt;="" &amp; A1313) &lt; 30, AVERAGEIF($C$2:C1313, C1313, $G$2:G1313), AVERAGE(FILTER($G$2:G1313, $C$2:C1313 = C1313, $A$2:A1313 &gt;= A1313 - 30)))
"),"#DIV/0!")</f>
        <v>#DIV/0!</v>
      </c>
      <c r="I1313" s="20" t="e">
        <f t="shared" ca="1" si="26"/>
        <v>#DIV/0!</v>
      </c>
      <c r="J1313" s="20" t="str">
        <f ca="1">IFERROR(__xludf.DUMMYFUNCTION("IF(OR($I1313=2, $I1313=3), 0, IFERROR(COUNTIFS($C$2:C1313, $C1313, $A$2:A1313, ""&gt;""&amp;IFERROR(MAX(FILTER($A$2:A1313, $C$2:C1313=$C1313, $I$2:I1313&lt;&gt;1)), 0), $I$2:I1313, 1),1))
"),"#DIV/0!")</f>
        <v>#DIV/0!</v>
      </c>
      <c r="K1313" s="7" t="e">
        <f t="shared" ca="1" si="27"/>
        <v>#DIV/0!</v>
      </c>
      <c r="L1313" s="20" t="e">
        <f t="shared" ca="1" si="28"/>
        <v>#DIV/0!</v>
      </c>
      <c r="M1313" s="21" t="e">
        <f t="shared" ca="1" si="29"/>
        <v>#DIV/0!</v>
      </c>
      <c r="N1313" s="20" t="str">
        <f ca="1">IFERROR(__xludf.DUMMYFUNCTION("IF(COUNTIFS($C$2:C1313, C1313, $A$2:A1313, ""&lt;="" &amp; A1313) &lt; 30, STDEV.P(FILTER($G$2:G1313, $C$2:C1313 = C1313)), STDEV.P(FILTER($G$2:G1313, $C$2:C1313 = C1313, $A$2:A1313 &gt;= A1313 - 30)))
"),"#DIV/0!")</f>
        <v>#DIV/0!</v>
      </c>
    </row>
    <row r="1314" spans="1:14" x14ac:dyDescent="0.2">
      <c r="A1314" s="41"/>
      <c r="B1314" s="40"/>
      <c r="C1314" s="40"/>
      <c r="D1314" s="31"/>
      <c r="E1314" s="31"/>
      <c r="F1314" s="31"/>
      <c r="G1314" s="19" t="e">
        <f t="shared" si="25"/>
        <v>#DIV/0!</v>
      </c>
      <c r="H1314" s="20" t="str">
        <f ca="1">IFERROR(__xludf.DUMMYFUNCTION("IF(COUNTIFS($C$2:C1314, C1314, $A$2:A1314, ""&lt;="" &amp; A1314) &lt; 30, AVERAGEIF($C$2:C1314, C1314, $G$2:G1314), AVERAGE(FILTER($G$2:G1314, $C$2:C1314 = C1314, $A$2:A1314 &gt;= A1314 - 30)))
"),"#DIV/0!")</f>
        <v>#DIV/0!</v>
      </c>
      <c r="I1314" s="20" t="e">
        <f t="shared" ca="1" si="26"/>
        <v>#DIV/0!</v>
      </c>
      <c r="J1314" s="20" t="str">
        <f ca="1">IFERROR(__xludf.DUMMYFUNCTION("IF(OR($I1314=2, $I1314=3), 0, IFERROR(COUNTIFS($C$2:C1314, $C1314, $A$2:A1314, ""&gt;""&amp;IFERROR(MAX(FILTER($A$2:A1314, $C$2:C1314=$C1314, $I$2:I1314&lt;&gt;1)), 0), $I$2:I1314, 1),1))
"),"#DIV/0!")</f>
        <v>#DIV/0!</v>
      </c>
      <c r="K1314" s="7" t="e">
        <f t="shared" ca="1" si="27"/>
        <v>#DIV/0!</v>
      </c>
      <c r="L1314" s="20" t="e">
        <f t="shared" ca="1" si="28"/>
        <v>#DIV/0!</v>
      </c>
      <c r="M1314" s="21" t="e">
        <f t="shared" ca="1" si="29"/>
        <v>#DIV/0!</v>
      </c>
      <c r="N1314" s="20" t="str">
        <f ca="1">IFERROR(__xludf.DUMMYFUNCTION("IF(COUNTIFS($C$2:C1314, C1314, $A$2:A1314, ""&lt;="" &amp; A1314) &lt; 30, STDEV.P(FILTER($G$2:G1314, $C$2:C1314 = C1314)), STDEV.P(FILTER($G$2:G1314, $C$2:C1314 = C1314, $A$2:A1314 &gt;= A1314 - 30)))
"),"#DIV/0!")</f>
        <v>#DIV/0!</v>
      </c>
    </row>
    <row r="1315" spans="1:14" x14ac:dyDescent="0.2">
      <c r="A1315" s="41"/>
      <c r="B1315" s="40"/>
      <c r="C1315" s="40"/>
      <c r="D1315" s="31"/>
      <c r="E1315" s="31"/>
      <c r="F1315" s="31"/>
      <c r="G1315" s="19" t="e">
        <f t="shared" si="25"/>
        <v>#DIV/0!</v>
      </c>
      <c r="H1315" s="20" t="str">
        <f ca="1">IFERROR(__xludf.DUMMYFUNCTION("IF(COUNTIFS($C$2:C1315, C1315, $A$2:A1315, ""&lt;="" &amp; A1315) &lt; 30, AVERAGEIF($C$2:C1315, C1315, $G$2:G1315), AVERAGE(FILTER($G$2:G1315, $C$2:C1315 = C1315, $A$2:A1315 &gt;= A1315 - 30)))
"),"#DIV/0!")</f>
        <v>#DIV/0!</v>
      </c>
      <c r="I1315" s="20" t="e">
        <f t="shared" ca="1" si="26"/>
        <v>#DIV/0!</v>
      </c>
      <c r="J1315" s="20" t="str">
        <f ca="1">IFERROR(__xludf.DUMMYFUNCTION("IF(OR($I1315=2, $I1315=3), 0, IFERROR(COUNTIFS($C$2:C1315, $C1315, $A$2:A1315, ""&gt;""&amp;IFERROR(MAX(FILTER($A$2:A1315, $C$2:C1315=$C1315, $I$2:I1315&lt;&gt;1)), 0), $I$2:I1315, 1),1))
"),"#DIV/0!")</f>
        <v>#DIV/0!</v>
      </c>
      <c r="K1315" s="7" t="e">
        <f t="shared" ca="1" si="27"/>
        <v>#DIV/0!</v>
      </c>
      <c r="L1315" s="20" t="e">
        <f t="shared" ca="1" si="28"/>
        <v>#DIV/0!</v>
      </c>
      <c r="M1315" s="21" t="e">
        <f t="shared" ca="1" si="29"/>
        <v>#DIV/0!</v>
      </c>
      <c r="N1315" s="20" t="str">
        <f ca="1">IFERROR(__xludf.DUMMYFUNCTION("IF(COUNTIFS($C$2:C1315, C1315, $A$2:A1315, ""&lt;="" &amp; A1315) &lt; 30, STDEV.P(FILTER($G$2:G1315, $C$2:C1315 = C1315)), STDEV.P(FILTER($G$2:G1315, $C$2:C1315 = C1315, $A$2:A1315 &gt;= A1315 - 30)))
"),"#DIV/0!")</f>
        <v>#DIV/0!</v>
      </c>
    </row>
    <row r="1316" spans="1:14" x14ac:dyDescent="0.2">
      <c r="A1316" s="41"/>
      <c r="B1316" s="40"/>
      <c r="C1316" s="40"/>
      <c r="D1316" s="31"/>
      <c r="E1316" s="31"/>
      <c r="F1316" s="31"/>
      <c r="G1316" s="19" t="e">
        <f t="shared" si="25"/>
        <v>#DIV/0!</v>
      </c>
      <c r="H1316" s="20" t="str">
        <f ca="1">IFERROR(__xludf.DUMMYFUNCTION("IF(COUNTIFS($C$2:C1316, C1316, $A$2:A1316, ""&lt;="" &amp; A1316) &lt; 30, AVERAGEIF($C$2:C1316, C1316, $G$2:G1316), AVERAGE(FILTER($G$2:G1316, $C$2:C1316 = C1316, $A$2:A1316 &gt;= A1316 - 30)))
"),"#DIV/0!")</f>
        <v>#DIV/0!</v>
      </c>
      <c r="I1316" s="20" t="e">
        <f t="shared" ca="1" si="26"/>
        <v>#DIV/0!</v>
      </c>
      <c r="J1316" s="20" t="str">
        <f ca="1">IFERROR(__xludf.DUMMYFUNCTION("IF(OR($I1316=2, $I1316=3), 0, IFERROR(COUNTIFS($C$2:C1316, $C1316, $A$2:A1316, ""&gt;""&amp;IFERROR(MAX(FILTER($A$2:A1316, $C$2:C1316=$C1316, $I$2:I1316&lt;&gt;1)), 0), $I$2:I1316, 1),1))
"),"#DIV/0!")</f>
        <v>#DIV/0!</v>
      </c>
      <c r="K1316" s="7" t="e">
        <f t="shared" ca="1" si="27"/>
        <v>#DIV/0!</v>
      </c>
      <c r="L1316" s="20" t="e">
        <f t="shared" ca="1" si="28"/>
        <v>#DIV/0!</v>
      </c>
      <c r="M1316" s="21" t="e">
        <f t="shared" ca="1" si="29"/>
        <v>#DIV/0!</v>
      </c>
      <c r="N1316" s="20" t="str">
        <f ca="1">IFERROR(__xludf.DUMMYFUNCTION("IF(COUNTIFS($C$2:C1316, C1316, $A$2:A1316, ""&lt;="" &amp; A1316) &lt; 30, STDEV.P(FILTER($G$2:G1316, $C$2:C1316 = C1316)), STDEV.P(FILTER($G$2:G1316, $C$2:C1316 = C1316, $A$2:A1316 &gt;= A1316 - 30)))
"),"#DIV/0!")</f>
        <v>#DIV/0!</v>
      </c>
    </row>
    <row r="1317" spans="1:14" x14ac:dyDescent="0.2">
      <c r="A1317" s="41"/>
      <c r="B1317" s="40"/>
      <c r="C1317" s="40"/>
      <c r="D1317" s="31"/>
      <c r="E1317" s="31"/>
      <c r="F1317" s="31"/>
      <c r="G1317" s="19" t="e">
        <f t="shared" si="25"/>
        <v>#DIV/0!</v>
      </c>
      <c r="H1317" s="20" t="str">
        <f ca="1">IFERROR(__xludf.DUMMYFUNCTION("IF(COUNTIFS($C$2:C1317, C1317, $A$2:A1317, ""&lt;="" &amp; A1317) &lt; 30, AVERAGEIF($C$2:C1317, C1317, $G$2:G1317), AVERAGE(FILTER($G$2:G1317, $C$2:C1317 = C1317, $A$2:A1317 &gt;= A1317 - 30)))
"),"#DIV/0!")</f>
        <v>#DIV/0!</v>
      </c>
      <c r="I1317" s="20" t="e">
        <f t="shared" ca="1" si="26"/>
        <v>#DIV/0!</v>
      </c>
      <c r="J1317" s="20" t="str">
        <f ca="1">IFERROR(__xludf.DUMMYFUNCTION("IF(OR($I1317=2, $I1317=3), 0, IFERROR(COUNTIFS($C$2:C1317, $C1317, $A$2:A1317, ""&gt;""&amp;IFERROR(MAX(FILTER($A$2:A1317, $C$2:C1317=$C1317, $I$2:I1317&lt;&gt;1)), 0), $I$2:I1317, 1),1))
"),"#DIV/0!")</f>
        <v>#DIV/0!</v>
      </c>
      <c r="K1317" s="7" t="e">
        <f t="shared" ca="1" si="27"/>
        <v>#DIV/0!</v>
      </c>
      <c r="L1317" s="20" t="e">
        <f t="shared" ca="1" si="28"/>
        <v>#DIV/0!</v>
      </c>
      <c r="M1317" s="21" t="e">
        <f t="shared" ca="1" si="29"/>
        <v>#DIV/0!</v>
      </c>
      <c r="N1317" s="20" t="str">
        <f ca="1">IFERROR(__xludf.DUMMYFUNCTION("IF(COUNTIFS($C$2:C1317, C1317, $A$2:A1317, ""&lt;="" &amp; A1317) &lt; 30, STDEV.P(FILTER($G$2:G1317, $C$2:C1317 = C1317)), STDEV.P(FILTER($G$2:G1317, $C$2:C1317 = C1317, $A$2:A1317 &gt;= A1317 - 30)))
"),"#DIV/0!")</f>
        <v>#DIV/0!</v>
      </c>
    </row>
    <row r="1318" spans="1:14" x14ac:dyDescent="0.2">
      <c r="A1318" s="41"/>
      <c r="B1318" s="40"/>
      <c r="C1318" s="40"/>
      <c r="D1318" s="31"/>
      <c r="E1318" s="31"/>
      <c r="F1318" s="31"/>
      <c r="G1318" s="19" t="e">
        <f t="shared" si="25"/>
        <v>#DIV/0!</v>
      </c>
      <c r="H1318" s="20" t="str">
        <f ca="1">IFERROR(__xludf.DUMMYFUNCTION("IF(COUNTIFS($C$2:C1318, C1318, $A$2:A1318, ""&lt;="" &amp; A1318) &lt; 30, AVERAGEIF($C$2:C1318, C1318, $G$2:G1318), AVERAGE(FILTER($G$2:G1318, $C$2:C1318 = C1318, $A$2:A1318 &gt;= A1318 - 30)))
"),"#DIV/0!")</f>
        <v>#DIV/0!</v>
      </c>
      <c r="I1318" s="20" t="e">
        <f t="shared" ca="1" si="26"/>
        <v>#DIV/0!</v>
      </c>
      <c r="J1318" s="20" t="str">
        <f ca="1">IFERROR(__xludf.DUMMYFUNCTION("IF(OR($I1318=2, $I1318=3), 0, IFERROR(COUNTIFS($C$2:C1318, $C1318, $A$2:A1318, ""&gt;""&amp;IFERROR(MAX(FILTER($A$2:A1318, $C$2:C1318=$C1318, $I$2:I1318&lt;&gt;1)), 0), $I$2:I1318, 1),1))
"),"#DIV/0!")</f>
        <v>#DIV/0!</v>
      </c>
      <c r="K1318" s="7" t="e">
        <f t="shared" ca="1" si="27"/>
        <v>#DIV/0!</v>
      </c>
      <c r="L1318" s="20" t="e">
        <f t="shared" ca="1" si="28"/>
        <v>#DIV/0!</v>
      </c>
      <c r="M1318" s="21" t="e">
        <f t="shared" ca="1" si="29"/>
        <v>#DIV/0!</v>
      </c>
      <c r="N1318" s="20" t="str">
        <f ca="1">IFERROR(__xludf.DUMMYFUNCTION("IF(COUNTIFS($C$2:C1318, C1318, $A$2:A1318, ""&lt;="" &amp; A1318) &lt; 30, STDEV.P(FILTER($G$2:G1318, $C$2:C1318 = C1318)), STDEV.P(FILTER($G$2:G1318, $C$2:C1318 = C1318, $A$2:A1318 &gt;= A1318 - 30)))
"),"#DIV/0!")</f>
        <v>#DIV/0!</v>
      </c>
    </row>
    <row r="1319" spans="1:14" x14ac:dyDescent="0.2">
      <c r="A1319" s="41"/>
      <c r="B1319" s="40"/>
      <c r="C1319" s="40"/>
      <c r="D1319" s="31"/>
      <c r="E1319" s="31"/>
      <c r="F1319" s="31"/>
      <c r="G1319" s="19" t="e">
        <f t="shared" si="25"/>
        <v>#DIV/0!</v>
      </c>
      <c r="H1319" s="20" t="str">
        <f ca="1">IFERROR(__xludf.DUMMYFUNCTION("IF(COUNTIFS($C$2:C1319, C1319, $A$2:A1319, ""&lt;="" &amp; A1319) &lt; 30, AVERAGEIF($C$2:C1319, C1319, $G$2:G1319), AVERAGE(FILTER($G$2:G1319, $C$2:C1319 = C1319, $A$2:A1319 &gt;= A1319 - 30)))
"),"#DIV/0!")</f>
        <v>#DIV/0!</v>
      </c>
      <c r="I1319" s="20" t="e">
        <f t="shared" ca="1" si="26"/>
        <v>#DIV/0!</v>
      </c>
      <c r="J1319" s="20" t="str">
        <f ca="1">IFERROR(__xludf.DUMMYFUNCTION("IF(OR($I1319=2, $I1319=3), 0, IFERROR(COUNTIFS($C$2:C1319, $C1319, $A$2:A1319, ""&gt;""&amp;IFERROR(MAX(FILTER($A$2:A1319, $C$2:C1319=$C1319, $I$2:I1319&lt;&gt;1)), 0), $I$2:I1319, 1),1))
"),"#DIV/0!")</f>
        <v>#DIV/0!</v>
      </c>
      <c r="K1319" s="7" t="e">
        <f t="shared" ca="1" si="27"/>
        <v>#DIV/0!</v>
      </c>
      <c r="L1319" s="20" t="e">
        <f t="shared" ca="1" si="28"/>
        <v>#DIV/0!</v>
      </c>
      <c r="M1319" s="21" t="e">
        <f t="shared" ca="1" si="29"/>
        <v>#DIV/0!</v>
      </c>
      <c r="N1319" s="20" t="str">
        <f ca="1">IFERROR(__xludf.DUMMYFUNCTION("IF(COUNTIFS($C$2:C1319, C1319, $A$2:A1319, ""&lt;="" &amp; A1319) &lt; 30, STDEV.P(FILTER($G$2:G1319, $C$2:C1319 = C1319)), STDEV.P(FILTER($G$2:G1319, $C$2:C1319 = C1319, $A$2:A1319 &gt;= A1319 - 30)))
"),"#DIV/0!")</f>
        <v>#DIV/0!</v>
      </c>
    </row>
    <row r="1320" spans="1:14" x14ac:dyDescent="0.2">
      <c r="A1320" s="41"/>
      <c r="B1320" s="40"/>
      <c r="C1320" s="40"/>
      <c r="D1320" s="31"/>
      <c r="E1320" s="31"/>
      <c r="F1320" s="31"/>
      <c r="G1320" s="19" t="e">
        <f t="shared" si="25"/>
        <v>#DIV/0!</v>
      </c>
      <c r="H1320" s="20" t="str">
        <f ca="1">IFERROR(__xludf.DUMMYFUNCTION("IF(COUNTIFS($C$2:C1320, C1320, $A$2:A1320, ""&lt;="" &amp; A1320) &lt; 30, AVERAGEIF($C$2:C1320, C1320, $G$2:G1320), AVERAGE(FILTER($G$2:G1320, $C$2:C1320 = C1320, $A$2:A1320 &gt;= A1320 - 30)))
"),"#DIV/0!")</f>
        <v>#DIV/0!</v>
      </c>
      <c r="I1320" s="20" t="e">
        <f t="shared" ca="1" si="26"/>
        <v>#DIV/0!</v>
      </c>
      <c r="J1320" s="20" t="str">
        <f ca="1">IFERROR(__xludf.DUMMYFUNCTION("IF(OR($I1320=2, $I1320=3), 0, IFERROR(COUNTIFS($C$2:C1320, $C1320, $A$2:A1320, ""&gt;""&amp;IFERROR(MAX(FILTER($A$2:A1320, $C$2:C1320=$C1320, $I$2:I1320&lt;&gt;1)), 0), $I$2:I1320, 1),1))
"),"#DIV/0!")</f>
        <v>#DIV/0!</v>
      </c>
      <c r="K1320" s="7" t="e">
        <f t="shared" ca="1" si="27"/>
        <v>#DIV/0!</v>
      </c>
      <c r="L1320" s="20" t="e">
        <f t="shared" ca="1" si="28"/>
        <v>#DIV/0!</v>
      </c>
      <c r="M1320" s="21" t="e">
        <f t="shared" ca="1" si="29"/>
        <v>#DIV/0!</v>
      </c>
      <c r="N1320" s="20" t="str">
        <f ca="1">IFERROR(__xludf.DUMMYFUNCTION("IF(COUNTIFS($C$2:C1320, C1320, $A$2:A1320, ""&lt;="" &amp; A1320) &lt; 30, STDEV.P(FILTER($G$2:G1320, $C$2:C1320 = C1320)), STDEV.P(FILTER($G$2:G1320, $C$2:C1320 = C1320, $A$2:A1320 &gt;= A1320 - 30)))
"),"#DIV/0!")</f>
        <v>#DIV/0!</v>
      </c>
    </row>
    <row r="1321" spans="1:14" x14ac:dyDescent="0.2">
      <c r="A1321" s="41"/>
      <c r="B1321" s="40"/>
      <c r="C1321" s="40"/>
      <c r="D1321" s="31"/>
      <c r="E1321" s="31"/>
      <c r="F1321" s="31"/>
      <c r="G1321" s="19" t="e">
        <f t="shared" si="25"/>
        <v>#DIV/0!</v>
      </c>
      <c r="H1321" s="20" t="str">
        <f ca="1">IFERROR(__xludf.DUMMYFUNCTION("IF(COUNTIFS($C$2:C1321, C1321, $A$2:A1321, ""&lt;="" &amp; A1321) &lt; 30, AVERAGEIF($C$2:C1321, C1321, $G$2:G1321), AVERAGE(FILTER($G$2:G1321, $C$2:C1321 = C1321, $A$2:A1321 &gt;= A1321 - 30)))
"),"#DIV/0!")</f>
        <v>#DIV/0!</v>
      </c>
      <c r="I1321" s="20" t="e">
        <f t="shared" ca="1" si="26"/>
        <v>#DIV/0!</v>
      </c>
      <c r="J1321" s="20" t="str">
        <f ca="1">IFERROR(__xludf.DUMMYFUNCTION("IF(OR($I1321=2, $I1321=3), 0, IFERROR(COUNTIFS($C$2:C1321, $C1321, $A$2:A1321, ""&gt;""&amp;IFERROR(MAX(FILTER($A$2:A1321, $C$2:C1321=$C1321, $I$2:I1321&lt;&gt;1)), 0), $I$2:I1321, 1),1))
"),"#DIV/0!")</f>
        <v>#DIV/0!</v>
      </c>
      <c r="K1321" s="7" t="e">
        <f t="shared" ca="1" si="27"/>
        <v>#DIV/0!</v>
      </c>
      <c r="L1321" s="20" t="e">
        <f t="shared" ca="1" si="28"/>
        <v>#DIV/0!</v>
      </c>
      <c r="M1321" s="21" t="e">
        <f t="shared" ca="1" si="29"/>
        <v>#DIV/0!</v>
      </c>
      <c r="N1321" s="20" t="str">
        <f ca="1">IFERROR(__xludf.DUMMYFUNCTION("IF(COUNTIFS($C$2:C1321, C1321, $A$2:A1321, ""&lt;="" &amp; A1321) &lt; 30, STDEV.P(FILTER($G$2:G1321, $C$2:C1321 = C1321)), STDEV.P(FILTER($G$2:G1321, $C$2:C1321 = C1321, $A$2:A1321 &gt;= A1321 - 30)))
"),"#DIV/0!")</f>
        <v>#DIV/0!</v>
      </c>
    </row>
    <row r="1322" spans="1:14" x14ac:dyDescent="0.2">
      <c r="A1322" s="41"/>
      <c r="B1322" s="40"/>
      <c r="C1322" s="40"/>
      <c r="D1322" s="31"/>
      <c r="E1322" s="31"/>
      <c r="F1322" s="31"/>
      <c r="G1322" s="19" t="e">
        <f t="shared" si="25"/>
        <v>#DIV/0!</v>
      </c>
      <c r="H1322" s="20" t="str">
        <f ca="1">IFERROR(__xludf.DUMMYFUNCTION("IF(COUNTIFS($C$2:C1322, C1322, $A$2:A1322, ""&lt;="" &amp; A1322) &lt; 30, AVERAGEIF($C$2:C1322, C1322, $G$2:G1322), AVERAGE(FILTER($G$2:G1322, $C$2:C1322 = C1322, $A$2:A1322 &gt;= A1322 - 30)))
"),"#DIV/0!")</f>
        <v>#DIV/0!</v>
      </c>
      <c r="I1322" s="20" t="e">
        <f t="shared" ca="1" si="26"/>
        <v>#DIV/0!</v>
      </c>
      <c r="J1322" s="20" t="str">
        <f ca="1">IFERROR(__xludf.DUMMYFUNCTION("IF(OR($I1322=2, $I1322=3), 0, IFERROR(COUNTIFS($C$2:C1322, $C1322, $A$2:A1322, ""&gt;""&amp;IFERROR(MAX(FILTER($A$2:A1322, $C$2:C1322=$C1322, $I$2:I1322&lt;&gt;1)), 0), $I$2:I1322, 1),1))
"),"#DIV/0!")</f>
        <v>#DIV/0!</v>
      </c>
      <c r="K1322" s="7" t="e">
        <f t="shared" ca="1" si="27"/>
        <v>#DIV/0!</v>
      </c>
      <c r="L1322" s="20" t="e">
        <f t="shared" ca="1" si="28"/>
        <v>#DIV/0!</v>
      </c>
      <c r="M1322" s="21" t="e">
        <f t="shared" ca="1" si="29"/>
        <v>#DIV/0!</v>
      </c>
      <c r="N1322" s="20" t="str">
        <f ca="1">IFERROR(__xludf.DUMMYFUNCTION("IF(COUNTIFS($C$2:C1322, C1322, $A$2:A1322, ""&lt;="" &amp; A1322) &lt; 30, STDEV.P(FILTER($G$2:G1322, $C$2:C1322 = C1322)), STDEV.P(FILTER($G$2:G1322, $C$2:C1322 = C1322, $A$2:A1322 &gt;= A1322 - 30)))
"),"#DIV/0!")</f>
        <v>#DIV/0!</v>
      </c>
    </row>
    <row r="1323" spans="1:14" x14ac:dyDescent="0.2">
      <c r="A1323" s="41"/>
      <c r="B1323" s="40"/>
      <c r="C1323" s="40"/>
      <c r="D1323" s="31"/>
      <c r="E1323" s="31"/>
      <c r="F1323" s="31"/>
      <c r="G1323" s="19" t="e">
        <f t="shared" si="25"/>
        <v>#DIV/0!</v>
      </c>
      <c r="H1323" s="20" t="str">
        <f ca="1">IFERROR(__xludf.DUMMYFUNCTION("IF(COUNTIFS($C$2:C1323, C1323, $A$2:A1323, ""&lt;="" &amp; A1323) &lt; 30, AVERAGEIF($C$2:C1323, C1323, $G$2:G1323), AVERAGE(FILTER($G$2:G1323, $C$2:C1323 = C1323, $A$2:A1323 &gt;= A1323 - 30)))
"),"#DIV/0!")</f>
        <v>#DIV/0!</v>
      </c>
      <c r="I1323" s="20" t="e">
        <f t="shared" ca="1" si="26"/>
        <v>#DIV/0!</v>
      </c>
      <c r="J1323" s="20" t="str">
        <f ca="1">IFERROR(__xludf.DUMMYFUNCTION("IF(OR($I1323=2, $I1323=3), 0, IFERROR(COUNTIFS($C$2:C1323, $C1323, $A$2:A1323, ""&gt;""&amp;IFERROR(MAX(FILTER($A$2:A1323, $C$2:C1323=$C1323, $I$2:I1323&lt;&gt;1)), 0), $I$2:I1323, 1),1))
"),"#DIV/0!")</f>
        <v>#DIV/0!</v>
      </c>
      <c r="K1323" s="7" t="e">
        <f t="shared" ca="1" si="27"/>
        <v>#DIV/0!</v>
      </c>
      <c r="L1323" s="20" t="e">
        <f t="shared" ca="1" si="28"/>
        <v>#DIV/0!</v>
      </c>
      <c r="M1323" s="21" t="e">
        <f t="shared" ca="1" si="29"/>
        <v>#DIV/0!</v>
      </c>
      <c r="N1323" s="20" t="str">
        <f ca="1">IFERROR(__xludf.DUMMYFUNCTION("IF(COUNTIFS($C$2:C1323, C1323, $A$2:A1323, ""&lt;="" &amp; A1323) &lt; 30, STDEV.P(FILTER($G$2:G1323, $C$2:C1323 = C1323)), STDEV.P(FILTER($G$2:G1323, $C$2:C1323 = C1323, $A$2:A1323 &gt;= A1323 - 30)))
"),"#DIV/0!")</f>
        <v>#DIV/0!</v>
      </c>
    </row>
    <row r="1324" spans="1:14" x14ac:dyDescent="0.2">
      <c r="A1324" s="41"/>
      <c r="B1324" s="40"/>
      <c r="C1324" s="40"/>
      <c r="D1324" s="31"/>
      <c r="E1324" s="31"/>
      <c r="F1324" s="31"/>
      <c r="G1324" s="19" t="e">
        <f t="shared" si="25"/>
        <v>#DIV/0!</v>
      </c>
      <c r="H1324" s="20" t="str">
        <f ca="1">IFERROR(__xludf.DUMMYFUNCTION("IF(COUNTIFS($C$2:C1324, C1324, $A$2:A1324, ""&lt;="" &amp; A1324) &lt; 30, AVERAGEIF($C$2:C1324, C1324, $G$2:G1324), AVERAGE(FILTER($G$2:G1324, $C$2:C1324 = C1324, $A$2:A1324 &gt;= A1324 - 30)))
"),"#DIV/0!")</f>
        <v>#DIV/0!</v>
      </c>
      <c r="I1324" s="20" t="e">
        <f t="shared" ca="1" si="26"/>
        <v>#DIV/0!</v>
      </c>
      <c r="J1324" s="20" t="str">
        <f ca="1">IFERROR(__xludf.DUMMYFUNCTION("IF(OR($I1324=2, $I1324=3), 0, IFERROR(COUNTIFS($C$2:C1324, $C1324, $A$2:A1324, ""&gt;""&amp;IFERROR(MAX(FILTER($A$2:A1324, $C$2:C1324=$C1324, $I$2:I1324&lt;&gt;1)), 0), $I$2:I1324, 1),1))
"),"#DIV/0!")</f>
        <v>#DIV/0!</v>
      </c>
      <c r="K1324" s="7" t="e">
        <f t="shared" ca="1" si="27"/>
        <v>#DIV/0!</v>
      </c>
      <c r="L1324" s="20" t="e">
        <f t="shared" ca="1" si="28"/>
        <v>#DIV/0!</v>
      </c>
      <c r="M1324" s="21" t="e">
        <f t="shared" ca="1" si="29"/>
        <v>#DIV/0!</v>
      </c>
      <c r="N1324" s="20" t="str">
        <f ca="1">IFERROR(__xludf.DUMMYFUNCTION("IF(COUNTIFS($C$2:C1324, C1324, $A$2:A1324, ""&lt;="" &amp; A1324) &lt; 30, STDEV.P(FILTER($G$2:G1324, $C$2:C1324 = C1324)), STDEV.P(FILTER($G$2:G1324, $C$2:C1324 = C1324, $A$2:A1324 &gt;= A1324 - 30)))
"),"#DIV/0!")</f>
        <v>#DIV/0!</v>
      </c>
    </row>
    <row r="1325" spans="1:14" x14ac:dyDescent="0.2">
      <c r="A1325" s="41"/>
      <c r="B1325" s="40"/>
      <c r="C1325" s="40"/>
      <c r="D1325" s="31"/>
      <c r="E1325" s="31"/>
      <c r="F1325" s="31"/>
      <c r="G1325" s="19" t="e">
        <f t="shared" si="25"/>
        <v>#DIV/0!</v>
      </c>
      <c r="H1325" s="20" t="str">
        <f ca="1">IFERROR(__xludf.DUMMYFUNCTION("IF(COUNTIFS($C$2:C1325, C1325, $A$2:A1325, ""&lt;="" &amp; A1325) &lt; 30, AVERAGEIF($C$2:C1325, C1325, $G$2:G1325), AVERAGE(FILTER($G$2:G1325, $C$2:C1325 = C1325, $A$2:A1325 &gt;= A1325 - 30)))
"),"#DIV/0!")</f>
        <v>#DIV/0!</v>
      </c>
      <c r="I1325" s="20" t="e">
        <f t="shared" ca="1" si="26"/>
        <v>#DIV/0!</v>
      </c>
      <c r="J1325" s="20" t="str">
        <f ca="1">IFERROR(__xludf.DUMMYFUNCTION("IF(OR($I1325=2, $I1325=3), 0, IFERROR(COUNTIFS($C$2:C1325, $C1325, $A$2:A1325, ""&gt;""&amp;IFERROR(MAX(FILTER($A$2:A1325, $C$2:C1325=$C1325, $I$2:I1325&lt;&gt;1)), 0), $I$2:I1325, 1),1))
"),"#DIV/0!")</f>
        <v>#DIV/0!</v>
      </c>
      <c r="K1325" s="7" t="e">
        <f t="shared" ca="1" si="27"/>
        <v>#DIV/0!</v>
      </c>
      <c r="L1325" s="20" t="e">
        <f t="shared" ca="1" si="28"/>
        <v>#DIV/0!</v>
      </c>
      <c r="M1325" s="21" t="e">
        <f t="shared" ca="1" si="29"/>
        <v>#DIV/0!</v>
      </c>
      <c r="N1325" s="20" t="str">
        <f ca="1">IFERROR(__xludf.DUMMYFUNCTION("IF(COUNTIFS($C$2:C1325, C1325, $A$2:A1325, ""&lt;="" &amp; A1325) &lt; 30, STDEV.P(FILTER($G$2:G1325, $C$2:C1325 = C1325)), STDEV.P(FILTER($G$2:G1325, $C$2:C1325 = C1325, $A$2:A1325 &gt;= A1325 - 30)))
"),"#DIV/0!")</f>
        <v>#DIV/0!</v>
      </c>
    </row>
    <row r="1326" spans="1:14" x14ac:dyDescent="0.2">
      <c r="A1326" s="41"/>
      <c r="B1326" s="40"/>
      <c r="C1326" s="40"/>
      <c r="D1326" s="31"/>
      <c r="E1326" s="31"/>
      <c r="F1326" s="31"/>
      <c r="G1326" s="19" t="e">
        <f t="shared" si="25"/>
        <v>#DIV/0!</v>
      </c>
      <c r="H1326" s="20" t="str">
        <f ca="1">IFERROR(__xludf.DUMMYFUNCTION("IF(COUNTIFS($C$2:C1326, C1326, $A$2:A1326, ""&lt;="" &amp; A1326) &lt; 30, AVERAGEIF($C$2:C1326, C1326, $G$2:G1326), AVERAGE(FILTER($G$2:G1326, $C$2:C1326 = C1326, $A$2:A1326 &gt;= A1326 - 30)))
"),"#DIV/0!")</f>
        <v>#DIV/0!</v>
      </c>
      <c r="I1326" s="20" t="e">
        <f t="shared" ca="1" si="26"/>
        <v>#DIV/0!</v>
      </c>
      <c r="J1326" s="20" t="str">
        <f ca="1">IFERROR(__xludf.DUMMYFUNCTION("IF(OR($I1326=2, $I1326=3), 0, IFERROR(COUNTIFS($C$2:C1326, $C1326, $A$2:A1326, ""&gt;""&amp;IFERROR(MAX(FILTER($A$2:A1326, $C$2:C1326=$C1326, $I$2:I1326&lt;&gt;1)), 0), $I$2:I1326, 1),1))
"),"#DIV/0!")</f>
        <v>#DIV/0!</v>
      </c>
      <c r="K1326" s="7" t="e">
        <f t="shared" ca="1" si="27"/>
        <v>#DIV/0!</v>
      </c>
      <c r="L1326" s="20" t="e">
        <f t="shared" ca="1" si="28"/>
        <v>#DIV/0!</v>
      </c>
      <c r="M1326" s="21" t="e">
        <f t="shared" ca="1" si="29"/>
        <v>#DIV/0!</v>
      </c>
      <c r="N1326" s="20" t="str">
        <f ca="1">IFERROR(__xludf.DUMMYFUNCTION("IF(COUNTIFS($C$2:C1326, C1326, $A$2:A1326, ""&lt;="" &amp; A1326) &lt; 30, STDEV.P(FILTER($G$2:G1326, $C$2:C1326 = C1326)), STDEV.P(FILTER($G$2:G1326, $C$2:C1326 = C1326, $A$2:A1326 &gt;= A1326 - 30)))
"),"#DIV/0!")</f>
        <v>#DIV/0!</v>
      </c>
    </row>
    <row r="1327" spans="1:14" x14ac:dyDescent="0.2">
      <c r="A1327" s="41"/>
      <c r="B1327" s="40"/>
      <c r="C1327" s="40"/>
      <c r="D1327" s="31"/>
      <c r="E1327" s="31"/>
      <c r="F1327" s="31"/>
      <c r="G1327" s="19" t="e">
        <f t="shared" si="25"/>
        <v>#DIV/0!</v>
      </c>
      <c r="H1327" s="20" t="str">
        <f ca="1">IFERROR(__xludf.DUMMYFUNCTION("IF(COUNTIFS($C$2:C1327, C1327, $A$2:A1327, ""&lt;="" &amp; A1327) &lt; 30, AVERAGEIF($C$2:C1327, C1327, $G$2:G1327), AVERAGE(FILTER($G$2:G1327, $C$2:C1327 = C1327, $A$2:A1327 &gt;= A1327 - 30)))
"),"#DIV/0!")</f>
        <v>#DIV/0!</v>
      </c>
      <c r="I1327" s="20" t="e">
        <f t="shared" ca="1" si="26"/>
        <v>#DIV/0!</v>
      </c>
      <c r="J1327" s="20" t="str">
        <f ca="1">IFERROR(__xludf.DUMMYFUNCTION("IF(OR($I1327=2, $I1327=3), 0, IFERROR(COUNTIFS($C$2:C1327, $C1327, $A$2:A1327, ""&gt;""&amp;IFERROR(MAX(FILTER($A$2:A1327, $C$2:C1327=$C1327, $I$2:I1327&lt;&gt;1)), 0), $I$2:I1327, 1),1))
"),"#DIV/0!")</f>
        <v>#DIV/0!</v>
      </c>
      <c r="K1327" s="7" t="e">
        <f t="shared" ca="1" si="27"/>
        <v>#DIV/0!</v>
      </c>
      <c r="L1327" s="20" t="e">
        <f t="shared" ca="1" si="28"/>
        <v>#DIV/0!</v>
      </c>
      <c r="M1327" s="21" t="e">
        <f t="shared" ca="1" si="29"/>
        <v>#DIV/0!</v>
      </c>
      <c r="N1327" s="20" t="str">
        <f ca="1">IFERROR(__xludf.DUMMYFUNCTION("IF(COUNTIFS($C$2:C1327, C1327, $A$2:A1327, ""&lt;="" &amp; A1327) &lt; 30, STDEV.P(FILTER($G$2:G1327, $C$2:C1327 = C1327)), STDEV.P(FILTER($G$2:G1327, $C$2:C1327 = C1327, $A$2:A1327 &gt;= A1327 - 30)))
"),"#DIV/0!")</f>
        <v>#DIV/0!</v>
      </c>
    </row>
    <row r="1328" spans="1:14" x14ac:dyDescent="0.2">
      <c r="A1328" s="41"/>
      <c r="B1328" s="40"/>
      <c r="C1328" s="40"/>
      <c r="D1328" s="31"/>
      <c r="E1328" s="31"/>
      <c r="F1328" s="31"/>
      <c r="G1328" s="19" t="e">
        <f t="shared" si="25"/>
        <v>#DIV/0!</v>
      </c>
      <c r="H1328" s="20" t="str">
        <f ca="1">IFERROR(__xludf.DUMMYFUNCTION("IF(COUNTIFS($C$2:C1328, C1328, $A$2:A1328, ""&lt;="" &amp; A1328) &lt; 30, AVERAGEIF($C$2:C1328, C1328, $G$2:G1328), AVERAGE(FILTER($G$2:G1328, $C$2:C1328 = C1328, $A$2:A1328 &gt;= A1328 - 30)))
"),"#DIV/0!")</f>
        <v>#DIV/0!</v>
      </c>
      <c r="I1328" s="20" t="e">
        <f t="shared" ca="1" si="26"/>
        <v>#DIV/0!</v>
      </c>
      <c r="J1328" s="20" t="str">
        <f ca="1">IFERROR(__xludf.DUMMYFUNCTION("IF(OR($I1328=2, $I1328=3), 0, IFERROR(COUNTIFS($C$2:C1328, $C1328, $A$2:A1328, ""&gt;""&amp;IFERROR(MAX(FILTER($A$2:A1328, $C$2:C1328=$C1328, $I$2:I1328&lt;&gt;1)), 0), $I$2:I1328, 1),1))
"),"#DIV/0!")</f>
        <v>#DIV/0!</v>
      </c>
      <c r="K1328" s="7" t="e">
        <f t="shared" ca="1" si="27"/>
        <v>#DIV/0!</v>
      </c>
      <c r="L1328" s="20" t="e">
        <f t="shared" ca="1" si="28"/>
        <v>#DIV/0!</v>
      </c>
      <c r="M1328" s="21" t="e">
        <f t="shared" ca="1" si="29"/>
        <v>#DIV/0!</v>
      </c>
      <c r="N1328" s="20" t="str">
        <f ca="1">IFERROR(__xludf.DUMMYFUNCTION("IF(COUNTIFS($C$2:C1328, C1328, $A$2:A1328, ""&lt;="" &amp; A1328) &lt; 30, STDEV.P(FILTER($G$2:G1328, $C$2:C1328 = C1328)), STDEV.P(FILTER($G$2:G1328, $C$2:C1328 = C1328, $A$2:A1328 &gt;= A1328 - 30)))
"),"#DIV/0!")</f>
        <v>#DIV/0!</v>
      </c>
    </row>
    <row r="1329" spans="1:14" x14ac:dyDescent="0.2">
      <c r="A1329" s="41"/>
      <c r="B1329" s="40"/>
      <c r="C1329" s="40"/>
      <c r="D1329" s="31"/>
      <c r="E1329" s="31"/>
      <c r="F1329" s="31"/>
      <c r="G1329" s="19" t="e">
        <f t="shared" si="25"/>
        <v>#DIV/0!</v>
      </c>
      <c r="H1329" s="20" t="str">
        <f ca="1">IFERROR(__xludf.DUMMYFUNCTION("IF(COUNTIFS($C$2:C1329, C1329, $A$2:A1329, ""&lt;="" &amp; A1329) &lt; 30, AVERAGEIF($C$2:C1329, C1329, $G$2:G1329), AVERAGE(FILTER($G$2:G1329, $C$2:C1329 = C1329, $A$2:A1329 &gt;= A1329 - 30)))
"),"#DIV/0!")</f>
        <v>#DIV/0!</v>
      </c>
      <c r="I1329" s="20" t="e">
        <f t="shared" ca="1" si="26"/>
        <v>#DIV/0!</v>
      </c>
      <c r="J1329" s="20" t="str">
        <f ca="1">IFERROR(__xludf.DUMMYFUNCTION("IF(OR($I1329=2, $I1329=3), 0, IFERROR(COUNTIFS($C$2:C1329, $C1329, $A$2:A1329, ""&gt;""&amp;IFERROR(MAX(FILTER($A$2:A1329, $C$2:C1329=$C1329, $I$2:I1329&lt;&gt;1)), 0), $I$2:I1329, 1),1))
"),"#DIV/0!")</f>
        <v>#DIV/0!</v>
      </c>
      <c r="K1329" s="7" t="e">
        <f t="shared" ca="1" si="27"/>
        <v>#DIV/0!</v>
      </c>
      <c r="L1329" s="20" t="e">
        <f t="shared" ca="1" si="28"/>
        <v>#DIV/0!</v>
      </c>
      <c r="M1329" s="21" t="e">
        <f t="shared" ca="1" si="29"/>
        <v>#DIV/0!</v>
      </c>
      <c r="N1329" s="20" t="str">
        <f ca="1">IFERROR(__xludf.DUMMYFUNCTION("IF(COUNTIFS($C$2:C1329, C1329, $A$2:A1329, ""&lt;="" &amp; A1329) &lt; 30, STDEV.P(FILTER($G$2:G1329, $C$2:C1329 = C1329)), STDEV.P(FILTER($G$2:G1329, $C$2:C1329 = C1329, $A$2:A1329 &gt;= A1329 - 30)))
"),"#DIV/0!")</f>
        <v>#DIV/0!</v>
      </c>
    </row>
    <row r="1330" spans="1:14" x14ac:dyDescent="0.2">
      <c r="A1330" s="41"/>
      <c r="B1330" s="40"/>
      <c r="C1330" s="40"/>
      <c r="D1330" s="31"/>
      <c r="E1330" s="31"/>
      <c r="F1330" s="31"/>
      <c r="G1330" s="19" t="e">
        <f t="shared" si="25"/>
        <v>#DIV/0!</v>
      </c>
      <c r="H1330" s="20" t="str">
        <f ca="1">IFERROR(__xludf.DUMMYFUNCTION("IF(COUNTIFS($C$2:C1330, C1330, $A$2:A1330, ""&lt;="" &amp; A1330) &lt; 30, AVERAGEIF($C$2:C1330, C1330, $G$2:G1330), AVERAGE(FILTER($G$2:G1330, $C$2:C1330 = C1330, $A$2:A1330 &gt;= A1330 - 30)))
"),"#DIV/0!")</f>
        <v>#DIV/0!</v>
      </c>
      <c r="I1330" s="20" t="e">
        <f t="shared" ca="1" si="26"/>
        <v>#DIV/0!</v>
      </c>
      <c r="J1330" s="20" t="str">
        <f ca="1">IFERROR(__xludf.DUMMYFUNCTION("IF(OR($I1330=2, $I1330=3), 0, IFERROR(COUNTIFS($C$2:C1330, $C1330, $A$2:A1330, ""&gt;""&amp;IFERROR(MAX(FILTER($A$2:A1330, $C$2:C1330=$C1330, $I$2:I1330&lt;&gt;1)), 0), $I$2:I1330, 1),1))
"),"#DIV/0!")</f>
        <v>#DIV/0!</v>
      </c>
      <c r="K1330" s="7" t="e">
        <f t="shared" ca="1" si="27"/>
        <v>#DIV/0!</v>
      </c>
      <c r="L1330" s="20" t="e">
        <f t="shared" ca="1" si="28"/>
        <v>#DIV/0!</v>
      </c>
      <c r="M1330" s="21" t="e">
        <f t="shared" ca="1" si="29"/>
        <v>#DIV/0!</v>
      </c>
      <c r="N1330" s="20" t="str">
        <f ca="1">IFERROR(__xludf.DUMMYFUNCTION("IF(COUNTIFS($C$2:C1330, C1330, $A$2:A1330, ""&lt;="" &amp; A1330) &lt; 30, STDEV.P(FILTER($G$2:G1330, $C$2:C1330 = C1330)), STDEV.P(FILTER($G$2:G1330, $C$2:C1330 = C1330, $A$2:A1330 &gt;= A1330 - 30)))
"),"#DIV/0!")</f>
        <v>#DIV/0!</v>
      </c>
    </row>
    <row r="1331" spans="1:14" x14ac:dyDescent="0.2">
      <c r="A1331" s="41"/>
      <c r="B1331" s="40"/>
      <c r="C1331" s="40"/>
      <c r="D1331" s="31"/>
      <c r="E1331" s="31"/>
      <c r="F1331" s="31"/>
      <c r="G1331" s="19" t="e">
        <f t="shared" si="25"/>
        <v>#DIV/0!</v>
      </c>
      <c r="H1331" s="20" t="str">
        <f ca="1">IFERROR(__xludf.DUMMYFUNCTION("IF(COUNTIFS($C$2:C1331, C1331, $A$2:A1331, ""&lt;="" &amp; A1331) &lt; 30, AVERAGEIF($C$2:C1331, C1331, $G$2:G1331), AVERAGE(FILTER($G$2:G1331, $C$2:C1331 = C1331, $A$2:A1331 &gt;= A1331 - 30)))
"),"#DIV/0!")</f>
        <v>#DIV/0!</v>
      </c>
      <c r="I1331" s="20" t="e">
        <f t="shared" ca="1" si="26"/>
        <v>#DIV/0!</v>
      </c>
      <c r="J1331" s="20" t="str">
        <f ca="1">IFERROR(__xludf.DUMMYFUNCTION("IF(OR($I1331=2, $I1331=3), 0, IFERROR(COUNTIFS($C$2:C1331, $C1331, $A$2:A1331, ""&gt;""&amp;IFERROR(MAX(FILTER($A$2:A1331, $C$2:C1331=$C1331, $I$2:I1331&lt;&gt;1)), 0), $I$2:I1331, 1),1))
"),"#DIV/0!")</f>
        <v>#DIV/0!</v>
      </c>
      <c r="K1331" s="7" t="e">
        <f t="shared" ca="1" si="27"/>
        <v>#DIV/0!</v>
      </c>
      <c r="L1331" s="20" t="e">
        <f t="shared" ca="1" si="28"/>
        <v>#DIV/0!</v>
      </c>
      <c r="M1331" s="21" t="e">
        <f t="shared" ca="1" si="29"/>
        <v>#DIV/0!</v>
      </c>
      <c r="N1331" s="20" t="str">
        <f ca="1">IFERROR(__xludf.DUMMYFUNCTION("IF(COUNTIFS($C$2:C1331, C1331, $A$2:A1331, ""&lt;="" &amp; A1331) &lt; 30, STDEV.P(FILTER($G$2:G1331, $C$2:C1331 = C1331)), STDEV.P(FILTER($G$2:G1331, $C$2:C1331 = C1331, $A$2:A1331 &gt;= A1331 - 30)))
"),"#DIV/0!")</f>
        <v>#DIV/0!</v>
      </c>
    </row>
    <row r="1332" spans="1:14" x14ac:dyDescent="0.2">
      <c r="A1332" s="41"/>
      <c r="B1332" s="40"/>
      <c r="C1332" s="40"/>
      <c r="D1332" s="31"/>
      <c r="E1332" s="31"/>
      <c r="F1332" s="31"/>
      <c r="G1332" s="19" t="e">
        <f t="shared" si="25"/>
        <v>#DIV/0!</v>
      </c>
      <c r="H1332" s="20" t="str">
        <f ca="1">IFERROR(__xludf.DUMMYFUNCTION("IF(COUNTIFS($C$2:C1332, C1332, $A$2:A1332, ""&lt;="" &amp; A1332) &lt; 30, AVERAGEIF($C$2:C1332, C1332, $G$2:G1332), AVERAGE(FILTER($G$2:G1332, $C$2:C1332 = C1332, $A$2:A1332 &gt;= A1332 - 30)))
"),"#DIV/0!")</f>
        <v>#DIV/0!</v>
      </c>
      <c r="I1332" s="20" t="e">
        <f t="shared" ca="1" si="26"/>
        <v>#DIV/0!</v>
      </c>
      <c r="J1332" s="20" t="str">
        <f ca="1">IFERROR(__xludf.DUMMYFUNCTION("IF(OR($I1332=2, $I1332=3), 0, IFERROR(COUNTIFS($C$2:C1332, $C1332, $A$2:A1332, ""&gt;""&amp;IFERROR(MAX(FILTER($A$2:A1332, $C$2:C1332=$C1332, $I$2:I1332&lt;&gt;1)), 0), $I$2:I1332, 1),1))
"),"#DIV/0!")</f>
        <v>#DIV/0!</v>
      </c>
      <c r="K1332" s="7" t="e">
        <f t="shared" ca="1" si="27"/>
        <v>#DIV/0!</v>
      </c>
      <c r="L1332" s="20" t="e">
        <f t="shared" ca="1" si="28"/>
        <v>#DIV/0!</v>
      </c>
      <c r="M1332" s="21" t="e">
        <f t="shared" ca="1" si="29"/>
        <v>#DIV/0!</v>
      </c>
      <c r="N1332" s="20" t="str">
        <f ca="1">IFERROR(__xludf.DUMMYFUNCTION("IF(COUNTIFS($C$2:C1332, C1332, $A$2:A1332, ""&lt;="" &amp; A1332) &lt; 30, STDEV.P(FILTER($G$2:G1332, $C$2:C1332 = C1332)), STDEV.P(FILTER($G$2:G1332, $C$2:C1332 = C1332, $A$2:A1332 &gt;= A1332 - 30)))
"),"#DIV/0!")</f>
        <v>#DIV/0!</v>
      </c>
    </row>
    <row r="1333" spans="1:14" x14ac:dyDescent="0.2">
      <c r="A1333" s="41"/>
      <c r="B1333" s="40"/>
      <c r="C1333" s="40"/>
      <c r="D1333" s="31"/>
      <c r="E1333" s="31"/>
      <c r="F1333" s="31"/>
      <c r="G1333" s="19" t="e">
        <f t="shared" si="25"/>
        <v>#DIV/0!</v>
      </c>
      <c r="H1333" s="20" t="str">
        <f ca="1">IFERROR(__xludf.DUMMYFUNCTION("IF(COUNTIFS($C$2:C1333, C1333, $A$2:A1333, ""&lt;="" &amp; A1333) &lt; 30, AVERAGEIF($C$2:C1333, C1333, $G$2:G1333), AVERAGE(FILTER($G$2:G1333, $C$2:C1333 = C1333, $A$2:A1333 &gt;= A1333 - 30)))
"),"#DIV/0!")</f>
        <v>#DIV/0!</v>
      </c>
      <c r="I1333" s="20" t="e">
        <f t="shared" ca="1" si="26"/>
        <v>#DIV/0!</v>
      </c>
      <c r="J1333" s="20" t="str">
        <f ca="1">IFERROR(__xludf.DUMMYFUNCTION("IF(OR($I1333=2, $I1333=3), 0, IFERROR(COUNTIFS($C$2:C1333, $C1333, $A$2:A1333, ""&gt;""&amp;IFERROR(MAX(FILTER($A$2:A1333, $C$2:C1333=$C1333, $I$2:I1333&lt;&gt;1)), 0), $I$2:I1333, 1),1))
"),"#DIV/0!")</f>
        <v>#DIV/0!</v>
      </c>
      <c r="K1333" s="7" t="e">
        <f t="shared" ca="1" si="27"/>
        <v>#DIV/0!</v>
      </c>
      <c r="L1333" s="20" t="e">
        <f t="shared" ca="1" si="28"/>
        <v>#DIV/0!</v>
      </c>
      <c r="M1333" s="21" t="e">
        <f t="shared" ca="1" si="29"/>
        <v>#DIV/0!</v>
      </c>
      <c r="N1333" s="20" t="str">
        <f ca="1">IFERROR(__xludf.DUMMYFUNCTION("IF(COUNTIFS($C$2:C1333, C1333, $A$2:A1333, ""&lt;="" &amp; A1333) &lt; 30, STDEV.P(FILTER($G$2:G1333, $C$2:C1333 = C1333)), STDEV.P(FILTER($G$2:G1333, $C$2:C1333 = C1333, $A$2:A1333 &gt;= A1333 - 30)))
"),"#DIV/0!")</f>
        <v>#DIV/0!</v>
      </c>
    </row>
    <row r="1334" spans="1:14" x14ac:dyDescent="0.2">
      <c r="A1334" s="41"/>
      <c r="B1334" s="40"/>
      <c r="C1334" s="40"/>
      <c r="D1334" s="31"/>
      <c r="E1334" s="31"/>
      <c r="F1334" s="31"/>
      <c r="G1334" s="19" t="e">
        <f t="shared" si="25"/>
        <v>#DIV/0!</v>
      </c>
      <c r="H1334" s="20" t="str">
        <f ca="1">IFERROR(__xludf.DUMMYFUNCTION("IF(COUNTIFS($C$2:C1334, C1334, $A$2:A1334, ""&lt;="" &amp; A1334) &lt; 30, AVERAGEIF($C$2:C1334, C1334, $G$2:G1334), AVERAGE(FILTER($G$2:G1334, $C$2:C1334 = C1334, $A$2:A1334 &gt;= A1334 - 30)))
"),"#DIV/0!")</f>
        <v>#DIV/0!</v>
      </c>
      <c r="I1334" s="20" t="e">
        <f t="shared" ca="1" si="26"/>
        <v>#DIV/0!</v>
      </c>
      <c r="J1334" s="20" t="str">
        <f ca="1">IFERROR(__xludf.DUMMYFUNCTION("IF(OR($I1334=2, $I1334=3), 0, IFERROR(COUNTIFS($C$2:C1334, $C1334, $A$2:A1334, ""&gt;""&amp;IFERROR(MAX(FILTER($A$2:A1334, $C$2:C1334=$C1334, $I$2:I1334&lt;&gt;1)), 0), $I$2:I1334, 1),1))
"),"#DIV/0!")</f>
        <v>#DIV/0!</v>
      </c>
      <c r="K1334" s="7" t="e">
        <f t="shared" ca="1" si="27"/>
        <v>#DIV/0!</v>
      </c>
      <c r="L1334" s="20" t="e">
        <f t="shared" ca="1" si="28"/>
        <v>#DIV/0!</v>
      </c>
      <c r="M1334" s="21" t="e">
        <f t="shared" ca="1" si="29"/>
        <v>#DIV/0!</v>
      </c>
      <c r="N1334" s="20" t="str">
        <f ca="1">IFERROR(__xludf.DUMMYFUNCTION("IF(COUNTIFS($C$2:C1334, C1334, $A$2:A1334, ""&lt;="" &amp; A1334) &lt; 30, STDEV.P(FILTER($G$2:G1334, $C$2:C1334 = C1334)), STDEV.P(FILTER($G$2:G1334, $C$2:C1334 = C1334, $A$2:A1334 &gt;= A1334 - 30)))
"),"#DIV/0!")</f>
        <v>#DIV/0!</v>
      </c>
    </row>
    <row r="1335" spans="1:14" x14ac:dyDescent="0.2">
      <c r="A1335" s="41"/>
      <c r="B1335" s="40"/>
      <c r="C1335" s="40"/>
      <c r="D1335" s="31"/>
      <c r="E1335" s="31"/>
      <c r="F1335" s="31"/>
      <c r="G1335" s="19" t="e">
        <f t="shared" si="25"/>
        <v>#DIV/0!</v>
      </c>
      <c r="H1335" s="20" t="str">
        <f ca="1">IFERROR(__xludf.DUMMYFUNCTION("IF(COUNTIFS($C$2:C1335, C1335, $A$2:A1335, ""&lt;="" &amp; A1335) &lt; 30, AVERAGEIF($C$2:C1335, C1335, $G$2:G1335), AVERAGE(FILTER($G$2:G1335, $C$2:C1335 = C1335, $A$2:A1335 &gt;= A1335 - 30)))
"),"#DIV/0!")</f>
        <v>#DIV/0!</v>
      </c>
      <c r="I1335" s="20" t="e">
        <f t="shared" ca="1" si="26"/>
        <v>#DIV/0!</v>
      </c>
      <c r="J1335" s="20" t="str">
        <f ca="1">IFERROR(__xludf.DUMMYFUNCTION("IF(OR($I1335=2, $I1335=3), 0, IFERROR(COUNTIFS($C$2:C1335, $C1335, $A$2:A1335, ""&gt;""&amp;IFERROR(MAX(FILTER($A$2:A1335, $C$2:C1335=$C1335, $I$2:I1335&lt;&gt;1)), 0), $I$2:I1335, 1),1))
"),"#DIV/0!")</f>
        <v>#DIV/0!</v>
      </c>
      <c r="K1335" s="7" t="e">
        <f t="shared" ca="1" si="27"/>
        <v>#DIV/0!</v>
      </c>
      <c r="L1335" s="20" t="e">
        <f t="shared" ca="1" si="28"/>
        <v>#DIV/0!</v>
      </c>
      <c r="M1335" s="21" t="e">
        <f t="shared" ca="1" si="29"/>
        <v>#DIV/0!</v>
      </c>
      <c r="N1335" s="20" t="str">
        <f ca="1">IFERROR(__xludf.DUMMYFUNCTION("IF(COUNTIFS($C$2:C1335, C1335, $A$2:A1335, ""&lt;="" &amp; A1335) &lt; 30, STDEV.P(FILTER($G$2:G1335, $C$2:C1335 = C1335)), STDEV.P(FILTER($G$2:G1335, $C$2:C1335 = C1335, $A$2:A1335 &gt;= A1335 - 30)))
"),"#DIV/0!")</f>
        <v>#DIV/0!</v>
      </c>
    </row>
    <row r="1336" spans="1:14" x14ac:dyDescent="0.2">
      <c r="A1336" s="41"/>
      <c r="B1336" s="40"/>
      <c r="C1336" s="40"/>
      <c r="D1336" s="31"/>
      <c r="E1336" s="31"/>
      <c r="F1336" s="31"/>
      <c r="G1336" s="19" t="e">
        <f t="shared" si="25"/>
        <v>#DIV/0!</v>
      </c>
      <c r="H1336" s="20" t="str">
        <f ca="1">IFERROR(__xludf.DUMMYFUNCTION("IF(COUNTIFS($C$2:C1336, C1336, $A$2:A1336, ""&lt;="" &amp; A1336) &lt; 30, AVERAGEIF($C$2:C1336, C1336, $G$2:G1336), AVERAGE(FILTER($G$2:G1336, $C$2:C1336 = C1336, $A$2:A1336 &gt;= A1336 - 30)))
"),"#DIV/0!")</f>
        <v>#DIV/0!</v>
      </c>
      <c r="I1336" s="20" t="e">
        <f t="shared" ca="1" si="26"/>
        <v>#DIV/0!</v>
      </c>
      <c r="J1336" s="20" t="str">
        <f ca="1">IFERROR(__xludf.DUMMYFUNCTION("IF(OR($I1336=2, $I1336=3), 0, IFERROR(COUNTIFS($C$2:C1336, $C1336, $A$2:A1336, ""&gt;""&amp;IFERROR(MAX(FILTER($A$2:A1336, $C$2:C1336=$C1336, $I$2:I1336&lt;&gt;1)), 0), $I$2:I1336, 1),1))
"),"#DIV/0!")</f>
        <v>#DIV/0!</v>
      </c>
      <c r="K1336" s="7" t="e">
        <f t="shared" ca="1" si="27"/>
        <v>#DIV/0!</v>
      </c>
      <c r="L1336" s="20" t="e">
        <f t="shared" ca="1" si="28"/>
        <v>#DIV/0!</v>
      </c>
      <c r="M1336" s="21" t="e">
        <f t="shared" ca="1" si="29"/>
        <v>#DIV/0!</v>
      </c>
      <c r="N1336" s="20" t="str">
        <f ca="1">IFERROR(__xludf.DUMMYFUNCTION("IF(COUNTIFS($C$2:C1336, C1336, $A$2:A1336, ""&lt;="" &amp; A1336) &lt; 30, STDEV.P(FILTER($G$2:G1336, $C$2:C1336 = C1336)), STDEV.P(FILTER($G$2:G1336, $C$2:C1336 = C1336, $A$2:A1336 &gt;= A1336 - 30)))
"),"#DIV/0!")</f>
        <v>#DIV/0!</v>
      </c>
    </row>
    <row r="1337" spans="1:14" x14ac:dyDescent="0.2">
      <c r="A1337" s="41"/>
      <c r="B1337" s="40"/>
      <c r="C1337" s="40"/>
      <c r="D1337" s="31"/>
      <c r="E1337" s="31"/>
      <c r="F1337" s="31"/>
      <c r="G1337" s="19" t="e">
        <f t="shared" si="25"/>
        <v>#DIV/0!</v>
      </c>
      <c r="H1337" s="20" t="str">
        <f ca="1">IFERROR(__xludf.DUMMYFUNCTION("IF(COUNTIFS($C$2:C1337, C1337, $A$2:A1337, ""&lt;="" &amp; A1337) &lt; 30, AVERAGEIF($C$2:C1337, C1337, $G$2:G1337), AVERAGE(FILTER($G$2:G1337, $C$2:C1337 = C1337, $A$2:A1337 &gt;= A1337 - 30)))
"),"#DIV/0!")</f>
        <v>#DIV/0!</v>
      </c>
      <c r="I1337" s="20" t="e">
        <f t="shared" ca="1" si="26"/>
        <v>#DIV/0!</v>
      </c>
      <c r="J1337" s="20" t="str">
        <f ca="1">IFERROR(__xludf.DUMMYFUNCTION("IF(OR($I1337=2, $I1337=3), 0, IFERROR(COUNTIFS($C$2:C1337, $C1337, $A$2:A1337, ""&gt;""&amp;IFERROR(MAX(FILTER($A$2:A1337, $C$2:C1337=$C1337, $I$2:I1337&lt;&gt;1)), 0), $I$2:I1337, 1),1))
"),"#DIV/0!")</f>
        <v>#DIV/0!</v>
      </c>
      <c r="K1337" s="7" t="e">
        <f t="shared" ca="1" si="27"/>
        <v>#DIV/0!</v>
      </c>
      <c r="L1337" s="20" t="e">
        <f t="shared" ca="1" si="28"/>
        <v>#DIV/0!</v>
      </c>
      <c r="M1337" s="21" t="e">
        <f t="shared" ca="1" si="29"/>
        <v>#DIV/0!</v>
      </c>
      <c r="N1337" s="20" t="str">
        <f ca="1">IFERROR(__xludf.DUMMYFUNCTION("IF(COUNTIFS($C$2:C1337, C1337, $A$2:A1337, ""&lt;="" &amp; A1337) &lt; 30, STDEV.P(FILTER($G$2:G1337, $C$2:C1337 = C1337)), STDEV.P(FILTER($G$2:G1337, $C$2:C1337 = C1337, $A$2:A1337 &gt;= A1337 - 30)))
"),"#DIV/0!")</f>
        <v>#DIV/0!</v>
      </c>
    </row>
    <row r="1338" spans="1:14" x14ac:dyDescent="0.2">
      <c r="A1338" s="41"/>
      <c r="B1338" s="40"/>
      <c r="C1338" s="40"/>
      <c r="D1338" s="31"/>
      <c r="E1338" s="31"/>
      <c r="F1338" s="31"/>
      <c r="G1338" s="19" t="e">
        <f t="shared" si="25"/>
        <v>#DIV/0!</v>
      </c>
      <c r="H1338" s="20" t="str">
        <f ca="1">IFERROR(__xludf.DUMMYFUNCTION("IF(COUNTIFS($C$2:C1338, C1338, $A$2:A1338, ""&lt;="" &amp; A1338) &lt; 30, AVERAGEIF($C$2:C1338, C1338, $G$2:G1338), AVERAGE(FILTER($G$2:G1338, $C$2:C1338 = C1338, $A$2:A1338 &gt;= A1338 - 30)))
"),"#DIV/0!")</f>
        <v>#DIV/0!</v>
      </c>
      <c r="I1338" s="20" t="e">
        <f t="shared" ca="1" si="26"/>
        <v>#DIV/0!</v>
      </c>
      <c r="J1338" s="20" t="str">
        <f ca="1">IFERROR(__xludf.DUMMYFUNCTION("IF(OR($I1338=2, $I1338=3), 0, IFERROR(COUNTIFS($C$2:C1338, $C1338, $A$2:A1338, ""&gt;""&amp;IFERROR(MAX(FILTER($A$2:A1338, $C$2:C1338=$C1338, $I$2:I1338&lt;&gt;1)), 0), $I$2:I1338, 1),1))
"),"#DIV/0!")</f>
        <v>#DIV/0!</v>
      </c>
      <c r="K1338" s="7" t="e">
        <f t="shared" ca="1" si="27"/>
        <v>#DIV/0!</v>
      </c>
      <c r="L1338" s="20" t="e">
        <f t="shared" ca="1" si="28"/>
        <v>#DIV/0!</v>
      </c>
      <c r="M1338" s="21" t="e">
        <f t="shared" ca="1" si="29"/>
        <v>#DIV/0!</v>
      </c>
      <c r="N1338" s="20" t="str">
        <f ca="1">IFERROR(__xludf.DUMMYFUNCTION("IF(COUNTIFS($C$2:C1338, C1338, $A$2:A1338, ""&lt;="" &amp; A1338) &lt; 30, STDEV.P(FILTER($G$2:G1338, $C$2:C1338 = C1338)), STDEV.P(FILTER($G$2:G1338, $C$2:C1338 = C1338, $A$2:A1338 &gt;= A1338 - 30)))
"),"#DIV/0!")</f>
        <v>#DIV/0!</v>
      </c>
    </row>
    <row r="1339" spans="1:14" x14ac:dyDescent="0.2">
      <c r="A1339" s="41"/>
      <c r="B1339" s="40"/>
      <c r="C1339" s="40"/>
      <c r="D1339" s="31"/>
      <c r="E1339" s="31"/>
      <c r="F1339" s="31"/>
      <c r="G1339" s="19" t="e">
        <f t="shared" si="25"/>
        <v>#DIV/0!</v>
      </c>
      <c r="H1339" s="20" t="str">
        <f ca="1">IFERROR(__xludf.DUMMYFUNCTION("IF(COUNTIFS($C$2:C1339, C1339, $A$2:A1339, ""&lt;="" &amp; A1339) &lt; 30, AVERAGEIF($C$2:C1339, C1339, $G$2:G1339), AVERAGE(FILTER($G$2:G1339, $C$2:C1339 = C1339, $A$2:A1339 &gt;= A1339 - 30)))
"),"#DIV/0!")</f>
        <v>#DIV/0!</v>
      </c>
      <c r="I1339" s="20" t="e">
        <f t="shared" ca="1" si="26"/>
        <v>#DIV/0!</v>
      </c>
      <c r="J1339" s="20" t="str">
        <f ca="1">IFERROR(__xludf.DUMMYFUNCTION("IF(OR($I1339=2, $I1339=3), 0, IFERROR(COUNTIFS($C$2:C1339, $C1339, $A$2:A1339, ""&gt;""&amp;IFERROR(MAX(FILTER($A$2:A1339, $C$2:C1339=$C1339, $I$2:I1339&lt;&gt;1)), 0), $I$2:I1339, 1),1))
"),"#DIV/0!")</f>
        <v>#DIV/0!</v>
      </c>
      <c r="K1339" s="7" t="e">
        <f t="shared" ca="1" si="27"/>
        <v>#DIV/0!</v>
      </c>
      <c r="L1339" s="20" t="e">
        <f t="shared" ca="1" si="28"/>
        <v>#DIV/0!</v>
      </c>
      <c r="M1339" s="21" t="e">
        <f t="shared" ca="1" si="29"/>
        <v>#DIV/0!</v>
      </c>
      <c r="N1339" s="20" t="str">
        <f ca="1">IFERROR(__xludf.DUMMYFUNCTION("IF(COUNTIFS($C$2:C1339, C1339, $A$2:A1339, ""&lt;="" &amp; A1339) &lt; 30, STDEV.P(FILTER($G$2:G1339, $C$2:C1339 = C1339)), STDEV.P(FILTER($G$2:G1339, $C$2:C1339 = C1339, $A$2:A1339 &gt;= A1339 - 30)))
"),"#DIV/0!")</f>
        <v>#DIV/0!</v>
      </c>
    </row>
    <row r="1340" spans="1:14" x14ac:dyDescent="0.2">
      <c r="A1340" s="41"/>
      <c r="B1340" s="40"/>
      <c r="C1340" s="40"/>
      <c r="D1340" s="31"/>
      <c r="E1340" s="31"/>
      <c r="F1340" s="31"/>
      <c r="G1340" s="19" t="e">
        <f t="shared" si="25"/>
        <v>#DIV/0!</v>
      </c>
      <c r="H1340" s="20" t="str">
        <f ca="1">IFERROR(__xludf.DUMMYFUNCTION("IF(COUNTIFS($C$2:C1340, C1340, $A$2:A1340, ""&lt;="" &amp; A1340) &lt; 30, AVERAGEIF($C$2:C1340, C1340, $G$2:G1340), AVERAGE(FILTER($G$2:G1340, $C$2:C1340 = C1340, $A$2:A1340 &gt;= A1340 - 30)))
"),"#DIV/0!")</f>
        <v>#DIV/0!</v>
      </c>
      <c r="I1340" s="20" t="e">
        <f t="shared" ca="1" si="26"/>
        <v>#DIV/0!</v>
      </c>
      <c r="J1340" s="20" t="str">
        <f ca="1">IFERROR(__xludf.DUMMYFUNCTION("IF(OR($I1340=2, $I1340=3), 0, IFERROR(COUNTIFS($C$2:C1340, $C1340, $A$2:A1340, ""&gt;""&amp;IFERROR(MAX(FILTER($A$2:A1340, $C$2:C1340=$C1340, $I$2:I1340&lt;&gt;1)), 0), $I$2:I1340, 1),1))
"),"#DIV/0!")</f>
        <v>#DIV/0!</v>
      </c>
      <c r="K1340" s="7" t="e">
        <f t="shared" ca="1" si="27"/>
        <v>#DIV/0!</v>
      </c>
      <c r="L1340" s="20" t="e">
        <f t="shared" ca="1" si="28"/>
        <v>#DIV/0!</v>
      </c>
      <c r="M1340" s="21" t="e">
        <f t="shared" ca="1" si="29"/>
        <v>#DIV/0!</v>
      </c>
      <c r="N1340" s="20" t="str">
        <f ca="1">IFERROR(__xludf.DUMMYFUNCTION("IF(COUNTIFS($C$2:C1340, C1340, $A$2:A1340, ""&lt;="" &amp; A1340) &lt; 30, STDEV.P(FILTER($G$2:G1340, $C$2:C1340 = C1340)), STDEV.P(FILTER($G$2:G1340, $C$2:C1340 = C1340, $A$2:A1340 &gt;= A1340 - 30)))
"),"#DIV/0!")</f>
        <v>#DIV/0!</v>
      </c>
    </row>
    <row r="1341" spans="1:14" x14ac:dyDescent="0.2">
      <c r="A1341" s="41"/>
      <c r="B1341" s="40"/>
      <c r="C1341" s="40"/>
      <c r="D1341" s="31"/>
      <c r="E1341" s="31"/>
      <c r="F1341" s="31"/>
      <c r="G1341" s="19" t="e">
        <f t="shared" si="25"/>
        <v>#DIV/0!</v>
      </c>
      <c r="H1341" s="20" t="str">
        <f ca="1">IFERROR(__xludf.DUMMYFUNCTION("IF(COUNTIFS($C$2:C1341, C1341, $A$2:A1341, ""&lt;="" &amp; A1341) &lt; 30, AVERAGEIF($C$2:C1341, C1341, $G$2:G1341), AVERAGE(FILTER($G$2:G1341, $C$2:C1341 = C1341, $A$2:A1341 &gt;= A1341 - 30)))
"),"#DIV/0!")</f>
        <v>#DIV/0!</v>
      </c>
      <c r="I1341" s="20" t="e">
        <f t="shared" ca="1" si="26"/>
        <v>#DIV/0!</v>
      </c>
      <c r="J1341" s="20" t="str">
        <f ca="1">IFERROR(__xludf.DUMMYFUNCTION("IF(OR($I1341=2, $I1341=3), 0, IFERROR(COUNTIFS($C$2:C1341, $C1341, $A$2:A1341, ""&gt;""&amp;IFERROR(MAX(FILTER($A$2:A1341, $C$2:C1341=$C1341, $I$2:I1341&lt;&gt;1)), 0), $I$2:I1341, 1),1))
"),"#DIV/0!")</f>
        <v>#DIV/0!</v>
      </c>
      <c r="K1341" s="7" t="e">
        <f t="shared" ca="1" si="27"/>
        <v>#DIV/0!</v>
      </c>
      <c r="L1341" s="20" t="e">
        <f t="shared" ca="1" si="28"/>
        <v>#DIV/0!</v>
      </c>
      <c r="M1341" s="21" t="e">
        <f t="shared" ca="1" si="29"/>
        <v>#DIV/0!</v>
      </c>
      <c r="N1341" s="20" t="str">
        <f ca="1">IFERROR(__xludf.DUMMYFUNCTION("IF(COUNTIFS($C$2:C1341, C1341, $A$2:A1341, ""&lt;="" &amp; A1341) &lt; 30, STDEV.P(FILTER($G$2:G1341, $C$2:C1341 = C1341)), STDEV.P(FILTER($G$2:G1341, $C$2:C1341 = C1341, $A$2:A1341 &gt;= A1341 - 30)))
"),"#DIV/0!")</f>
        <v>#DIV/0!</v>
      </c>
    </row>
    <row r="1342" spans="1:14" x14ac:dyDescent="0.2">
      <c r="A1342" s="41"/>
      <c r="B1342" s="40"/>
      <c r="C1342" s="40"/>
      <c r="D1342" s="31"/>
      <c r="E1342" s="31"/>
      <c r="F1342" s="31"/>
      <c r="G1342" s="19" t="e">
        <f t="shared" si="25"/>
        <v>#DIV/0!</v>
      </c>
      <c r="H1342" s="20" t="str">
        <f ca="1">IFERROR(__xludf.DUMMYFUNCTION("IF(COUNTIFS($C$2:C1342, C1342, $A$2:A1342, ""&lt;="" &amp; A1342) &lt; 30, AVERAGEIF($C$2:C1342, C1342, $G$2:G1342), AVERAGE(FILTER($G$2:G1342, $C$2:C1342 = C1342, $A$2:A1342 &gt;= A1342 - 30)))
"),"#DIV/0!")</f>
        <v>#DIV/0!</v>
      </c>
      <c r="I1342" s="20" t="e">
        <f t="shared" ca="1" si="26"/>
        <v>#DIV/0!</v>
      </c>
      <c r="J1342" s="20" t="str">
        <f ca="1">IFERROR(__xludf.DUMMYFUNCTION("IF(OR($I1342=2, $I1342=3), 0, IFERROR(COUNTIFS($C$2:C1342, $C1342, $A$2:A1342, ""&gt;""&amp;IFERROR(MAX(FILTER($A$2:A1342, $C$2:C1342=$C1342, $I$2:I1342&lt;&gt;1)), 0), $I$2:I1342, 1),1))
"),"#DIV/0!")</f>
        <v>#DIV/0!</v>
      </c>
      <c r="K1342" s="7" t="e">
        <f t="shared" ca="1" si="27"/>
        <v>#DIV/0!</v>
      </c>
      <c r="L1342" s="20" t="e">
        <f t="shared" ca="1" si="28"/>
        <v>#DIV/0!</v>
      </c>
      <c r="M1342" s="21" t="e">
        <f t="shared" ca="1" si="29"/>
        <v>#DIV/0!</v>
      </c>
      <c r="N1342" s="20" t="str">
        <f ca="1">IFERROR(__xludf.DUMMYFUNCTION("IF(COUNTIFS($C$2:C1342, C1342, $A$2:A1342, ""&lt;="" &amp; A1342) &lt; 30, STDEV.P(FILTER($G$2:G1342, $C$2:C1342 = C1342)), STDEV.P(FILTER($G$2:G1342, $C$2:C1342 = C1342, $A$2:A1342 &gt;= A1342 - 30)))
"),"#DIV/0!")</f>
        <v>#DIV/0!</v>
      </c>
    </row>
    <row r="1343" spans="1:14" x14ac:dyDescent="0.2">
      <c r="A1343" s="41"/>
      <c r="B1343" s="40"/>
      <c r="C1343" s="40"/>
      <c r="D1343" s="31"/>
      <c r="E1343" s="31"/>
      <c r="F1343" s="31"/>
      <c r="G1343" s="19" t="e">
        <f t="shared" si="25"/>
        <v>#DIV/0!</v>
      </c>
      <c r="H1343" s="20" t="str">
        <f ca="1">IFERROR(__xludf.DUMMYFUNCTION("IF(COUNTIFS($C$2:C1343, C1343, $A$2:A1343, ""&lt;="" &amp; A1343) &lt; 30, AVERAGEIF($C$2:C1343, C1343, $G$2:G1343), AVERAGE(FILTER($G$2:G1343, $C$2:C1343 = C1343, $A$2:A1343 &gt;= A1343 - 30)))
"),"#DIV/0!")</f>
        <v>#DIV/0!</v>
      </c>
      <c r="I1343" s="20" t="e">
        <f t="shared" ca="1" si="26"/>
        <v>#DIV/0!</v>
      </c>
      <c r="J1343" s="20" t="str">
        <f ca="1">IFERROR(__xludf.DUMMYFUNCTION("IF(OR($I1343=2, $I1343=3), 0, IFERROR(COUNTIFS($C$2:C1343, $C1343, $A$2:A1343, ""&gt;""&amp;IFERROR(MAX(FILTER($A$2:A1343, $C$2:C1343=$C1343, $I$2:I1343&lt;&gt;1)), 0), $I$2:I1343, 1),1))
"),"#DIV/0!")</f>
        <v>#DIV/0!</v>
      </c>
      <c r="K1343" s="7" t="e">
        <f t="shared" ca="1" si="27"/>
        <v>#DIV/0!</v>
      </c>
      <c r="L1343" s="20" t="e">
        <f t="shared" ca="1" si="28"/>
        <v>#DIV/0!</v>
      </c>
      <c r="M1343" s="21" t="e">
        <f t="shared" ca="1" si="29"/>
        <v>#DIV/0!</v>
      </c>
      <c r="N1343" s="20" t="str">
        <f ca="1">IFERROR(__xludf.DUMMYFUNCTION("IF(COUNTIFS($C$2:C1343, C1343, $A$2:A1343, ""&lt;="" &amp; A1343) &lt; 30, STDEV.P(FILTER($G$2:G1343, $C$2:C1343 = C1343)), STDEV.P(FILTER($G$2:G1343, $C$2:C1343 = C1343, $A$2:A1343 &gt;= A1343 - 30)))
"),"#DIV/0!")</f>
        <v>#DIV/0!</v>
      </c>
    </row>
    <row r="1344" spans="1:14" x14ac:dyDescent="0.2">
      <c r="A1344" s="41"/>
      <c r="B1344" s="40"/>
      <c r="C1344" s="40"/>
      <c r="D1344" s="31"/>
      <c r="E1344" s="31"/>
      <c r="F1344" s="31"/>
      <c r="G1344" s="19" t="e">
        <f t="shared" si="25"/>
        <v>#DIV/0!</v>
      </c>
      <c r="H1344" s="20" t="str">
        <f ca="1">IFERROR(__xludf.DUMMYFUNCTION("IF(COUNTIFS($C$2:C1344, C1344, $A$2:A1344, ""&lt;="" &amp; A1344) &lt; 30, AVERAGEIF($C$2:C1344, C1344, $G$2:G1344), AVERAGE(FILTER($G$2:G1344, $C$2:C1344 = C1344, $A$2:A1344 &gt;= A1344 - 30)))
"),"#DIV/0!")</f>
        <v>#DIV/0!</v>
      </c>
      <c r="I1344" s="20" t="e">
        <f t="shared" ca="1" si="26"/>
        <v>#DIV/0!</v>
      </c>
      <c r="J1344" s="20" t="str">
        <f ca="1">IFERROR(__xludf.DUMMYFUNCTION("IF(OR($I1344=2, $I1344=3), 0, IFERROR(COUNTIFS($C$2:C1344, $C1344, $A$2:A1344, ""&gt;""&amp;IFERROR(MAX(FILTER($A$2:A1344, $C$2:C1344=$C1344, $I$2:I1344&lt;&gt;1)), 0), $I$2:I1344, 1),1))
"),"#DIV/0!")</f>
        <v>#DIV/0!</v>
      </c>
      <c r="K1344" s="7" t="e">
        <f t="shared" ca="1" si="27"/>
        <v>#DIV/0!</v>
      </c>
      <c r="L1344" s="20" t="e">
        <f t="shared" ca="1" si="28"/>
        <v>#DIV/0!</v>
      </c>
      <c r="M1344" s="21" t="e">
        <f t="shared" ca="1" si="29"/>
        <v>#DIV/0!</v>
      </c>
      <c r="N1344" s="20" t="str">
        <f ca="1">IFERROR(__xludf.DUMMYFUNCTION("IF(COUNTIFS($C$2:C1344, C1344, $A$2:A1344, ""&lt;="" &amp; A1344) &lt; 30, STDEV.P(FILTER($G$2:G1344, $C$2:C1344 = C1344)), STDEV.P(FILTER($G$2:G1344, $C$2:C1344 = C1344, $A$2:A1344 &gt;= A1344 - 30)))
"),"#DIV/0!")</f>
        <v>#DIV/0!</v>
      </c>
    </row>
    <row r="1345" spans="1:14" x14ac:dyDescent="0.2">
      <c r="A1345" s="41"/>
      <c r="B1345" s="40"/>
      <c r="C1345" s="40"/>
      <c r="D1345" s="31"/>
      <c r="E1345" s="31"/>
      <c r="F1345" s="31"/>
      <c r="G1345" s="19" t="e">
        <f t="shared" si="25"/>
        <v>#DIV/0!</v>
      </c>
      <c r="H1345" s="20" t="str">
        <f ca="1">IFERROR(__xludf.DUMMYFUNCTION("IF(COUNTIFS($C$2:C1345, C1345, $A$2:A1345, ""&lt;="" &amp; A1345) &lt; 30, AVERAGEIF($C$2:C1345, C1345, $G$2:G1345), AVERAGE(FILTER($G$2:G1345, $C$2:C1345 = C1345, $A$2:A1345 &gt;= A1345 - 30)))
"),"#DIV/0!")</f>
        <v>#DIV/0!</v>
      </c>
      <c r="I1345" s="20" t="e">
        <f t="shared" ca="1" si="26"/>
        <v>#DIV/0!</v>
      </c>
      <c r="J1345" s="20" t="str">
        <f ca="1">IFERROR(__xludf.DUMMYFUNCTION("IF(OR($I1345=2, $I1345=3), 0, IFERROR(COUNTIFS($C$2:C1345, $C1345, $A$2:A1345, ""&gt;""&amp;IFERROR(MAX(FILTER($A$2:A1345, $C$2:C1345=$C1345, $I$2:I1345&lt;&gt;1)), 0), $I$2:I1345, 1),1))
"),"#DIV/0!")</f>
        <v>#DIV/0!</v>
      </c>
      <c r="K1345" s="7" t="e">
        <f t="shared" ca="1" si="27"/>
        <v>#DIV/0!</v>
      </c>
      <c r="L1345" s="20" t="e">
        <f t="shared" ca="1" si="28"/>
        <v>#DIV/0!</v>
      </c>
      <c r="M1345" s="21" t="e">
        <f t="shared" ca="1" si="29"/>
        <v>#DIV/0!</v>
      </c>
      <c r="N1345" s="20" t="str">
        <f ca="1">IFERROR(__xludf.DUMMYFUNCTION("IF(COUNTIFS($C$2:C1345, C1345, $A$2:A1345, ""&lt;="" &amp; A1345) &lt; 30, STDEV.P(FILTER($G$2:G1345, $C$2:C1345 = C1345)), STDEV.P(FILTER($G$2:G1345, $C$2:C1345 = C1345, $A$2:A1345 &gt;= A1345 - 30)))
"),"#DIV/0!")</f>
        <v>#DIV/0!</v>
      </c>
    </row>
    <row r="1346" spans="1:14" x14ac:dyDescent="0.2">
      <c r="A1346" s="41"/>
      <c r="B1346" s="40"/>
      <c r="C1346" s="40"/>
      <c r="D1346" s="31"/>
      <c r="E1346" s="31"/>
      <c r="F1346" s="31"/>
      <c r="G1346" s="19" t="e">
        <f t="shared" si="25"/>
        <v>#DIV/0!</v>
      </c>
      <c r="H1346" s="20" t="str">
        <f ca="1">IFERROR(__xludf.DUMMYFUNCTION("IF(COUNTIFS($C$2:C1346, C1346, $A$2:A1346, ""&lt;="" &amp; A1346) &lt; 30, AVERAGEIF($C$2:C1346, C1346, $G$2:G1346), AVERAGE(FILTER($G$2:G1346, $C$2:C1346 = C1346, $A$2:A1346 &gt;= A1346 - 30)))
"),"#DIV/0!")</f>
        <v>#DIV/0!</v>
      </c>
      <c r="I1346" s="20" t="e">
        <f t="shared" ca="1" si="26"/>
        <v>#DIV/0!</v>
      </c>
      <c r="J1346" s="20" t="str">
        <f ca="1">IFERROR(__xludf.DUMMYFUNCTION("IF(OR($I1346=2, $I1346=3), 0, IFERROR(COUNTIFS($C$2:C1346, $C1346, $A$2:A1346, ""&gt;""&amp;IFERROR(MAX(FILTER($A$2:A1346, $C$2:C1346=$C1346, $I$2:I1346&lt;&gt;1)), 0), $I$2:I1346, 1),1))
"),"#DIV/0!")</f>
        <v>#DIV/0!</v>
      </c>
      <c r="K1346" s="7" t="e">
        <f t="shared" ca="1" si="27"/>
        <v>#DIV/0!</v>
      </c>
      <c r="L1346" s="20" t="e">
        <f t="shared" ca="1" si="28"/>
        <v>#DIV/0!</v>
      </c>
      <c r="M1346" s="21" t="e">
        <f t="shared" ca="1" si="29"/>
        <v>#DIV/0!</v>
      </c>
      <c r="N1346" s="20" t="str">
        <f ca="1">IFERROR(__xludf.DUMMYFUNCTION("IF(COUNTIFS($C$2:C1346, C1346, $A$2:A1346, ""&lt;="" &amp; A1346) &lt; 30, STDEV.P(FILTER($G$2:G1346, $C$2:C1346 = C1346)), STDEV.P(FILTER($G$2:G1346, $C$2:C1346 = C1346, $A$2:A1346 &gt;= A1346 - 30)))
"),"#DIV/0!")</f>
        <v>#DIV/0!</v>
      </c>
    </row>
    <row r="1347" spans="1:14" x14ac:dyDescent="0.2">
      <c r="A1347" s="41"/>
      <c r="B1347" s="40"/>
      <c r="C1347" s="40"/>
      <c r="D1347" s="31"/>
      <c r="E1347" s="31"/>
      <c r="F1347" s="31"/>
      <c r="G1347" s="19" t="e">
        <f t="shared" si="25"/>
        <v>#DIV/0!</v>
      </c>
      <c r="H1347" s="20" t="str">
        <f ca="1">IFERROR(__xludf.DUMMYFUNCTION("IF(COUNTIFS($C$2:C1347, C1347, $A$2:A1347, ""&lt;="" &amp; A1347) &lt; 30, AVERAGEIF($C$2:C1347, C1347, $G$2:G1347), AVERAGE(FILTER($G$2:G1347, $C$2:C1347 = C1347, $A$2:A1347 &gt;= A1347 - 30)))
"),"#DIV/0!")</f>
        <v>#DIV/0!</v>
      </c>
      <c r="I1347" s="20" t="e">
        <f t="shared" ca="1" si="26"/>
        <v>#DIV/0!</v>
      </c>
      <c r="J1347" s="20" t="str">
        <f ca="1">IFERROR(__xludf.DUMMYFUNCTION("IF(OR($I1347=2, $I1347=3), 0, IFERROR(COUNTIFS($C$2:C1347, $C1347, $A$2:A1347, ""&gt;""&amp;IFERROR(MAX(FILTER($A$2:A1347, $C$2:C1347=$C1347, $I$2:I1347&lt;&gt;1)), 0), $I$2:I1347, 1),1))
"),"#DIV/0!")</f>
        <v>#DIV/0!</v>
      </c>
      <c r="K1347" s="7" t="e">
        <f t="shared" ca="1" si="27"/>
        <v>#DIV/0!</v>
      </c>
      <c r="L1347" s="20" t="e">
        <f t="shared" ca="1" si="28"/>
        <v>#DIV/0!</v>
      </c>
      <c r="M1347" s="21" t="e">
        <f t="shared" ca="1" si="29"/>
        <v>#DIV/0!</v>
      </c>
      <c r="N1347" s="20" t="str">
        <f ca="1">IFERROR(__xludf.DUMMYFUNCTION("IF(COUNTIFS($C$2:C1347, C1347, $A$2:A1347, ""&lt;="" &amp; A1347) &lt; 30, STDEV.P(FILTER($G$2:G1347, $C$2:C1347 = C1347)), STDEV.P(FILTER($G$2:G1347, $C$2:C1347 = C1347, $A$2:A1347 &gt;= A1347 - 30)))
"),"#DIV/0!")</f>
        <v>#DIV/0!</v>
      </c>
    </row>
    <row r="1348" spans="1:14" x14ac:dyDescent="0.2">
      <c r="A1348" s="41"/>
      <c r="B1348" s="40"/>
      <c r="C1348" s="40"/>
      <c r="D1348" s="31"/>
      <c r="E1348" s="31"/>
      <c r="F1348" s="31"/>
      <c r="G1348" s="19" t="e">
        <f t="shared" si="25"/>
        <v>#DIV/0!</v>
      </c>
      <c r="H1348" s="20" t="str">
        <f ca="1">IFERROR(__xludf.DUMMYFUNCTION("IF(COUNTIFS($C$2:C1348, C1348, $A$2:A1348, ""&lt;="" &amp; A1348) &lt; 30, AVERAGEIF($C$2:C1348, C1348, $G$2:G1348), AVERAGE(FILTER($G$2:G1348, $C$2:C1348 = C1348, $A$2:A1348 &gt;= A1348 - 30)))
"),"#DIV/0!")</f>
        <v>#DIV/0!</v>
      </c>
      <c r="I1348" s="20" t="e">
        <f t="shared" ca="1" si="26"/>
        <v>#DIV/0!</v>
      </c>
      <c r="J1348" s="20" t="str">
        <f ca="1">IFERROR(__xludf.DUMMYFUNCTION("IF(OR($I1348=2, $I1348=3), 0, IFERROR(COUNTIFS($C$2:C1348, $C1348, $A$2:A1348, ""&gt;""&amp;IFERROR(MAX(FILTER($A$2:A1348, $C$2:C1348=$C1348, $I$2:I1348&lt;&gt;1)), 0), $I$2:I1348, 1),1))
"),"#DIV/0!")</f>
        <v>#DIV/0!</v>
      </c>
      <c r="K1348" s="7" t="e">
        <f t="shared" ca="1" si="27"/>
        <v>#DIV/0!</v>
      </c>
      <c r="L1348" s="20" t="e">
        <f t="shared" ca="1" si="28"/>
        <v>#DIV/0!</v>
      </c>
      <c r="M1348" s="21" t="e">
        <f t="shared" ca="1" si="29"/>
        <v>#DIV/0!</v>
      </c>
      <c r="N1348" s="20" t="str">
        <f ca="1">IFERROR(__xludf.DUMMYFUNCTION("IF(COUNTIFS($C$2:C1348, C1348, $A$2:A1348, ""&lt;="" &amp; A1348) &lt; 30, STDEV.P(FILTER($G$2:G1348, $C$2:C1348 = C1348)), STDEV.P(FILTER($G$2:G1348, $C$2:C1348 = C1348, $A$2:A1348 &gt;= A1348 - 30)))
"),"#DIV/0!")</f>
        <v>#DIV/0!</v>
      </c>
    </row>
    <row r="1349" spans="1:14" x14ac:dyDescent="0.2">
      <c r="A1349" s="41"/>
      <c r="B1349" s="40"/>
      <c r="C1349" s="40"/>
      <c r="D1349" s="31"/>
      <c r="E1349" s="31"/>
      <c r="F1349" s="31"/>
      <c r="G1349" s="19" t="e">
        <f t="shared" si="25"/>
        <v>#DIV/0!</v>
      </c>
      <c r="H1349" s="20" t="str">
        <f ca="1">IFERROR(__xludf.DUMMYFUNCTION("IF(COUNTIFS($C$2:C1349, C1349, $A$2:A1349, ""&lt;="" &amp; A1349) &lt; 30, AVERAGEIF($C$2:C1349, C1349, $G$2:G1349), AVERAGE(FILTER($G$2:G1349, $C$2:C1349 = C1349, $A$2:A1349 &gt;= A1349 - 30)))
"),"#DIV/0!")</f>
        <v>#DIV/0!</v>
      </c>
      <c r="I1349" s="20" t="e">
        <f t="shared" ca="1" si="26"/>
        <v>#DIV/0!</v>
      </c>
      <c r="J1349" s="20" t="str">
        <f ca="1">IFERROR(__xludf.DUMMYFUNCTION("IF(OR($I1349=2, $I1349=3), 0, IFERROR(COUNTIFS($C$2:C1349, $C1349, $A$2:A1349, ""&gt;""&amp;IFERROR(MAX(FILTER($A$2:A1349, $C$2:C1349=$C1349, $I$2:I1349&lt;&gt;1)), 0), $I$2:I1349, 1),1))
"),"#DIV/0!")</f>
        <v>#DIV/0!</v>
      </c>
      <c r="K1349" s="7" t="e">
        <f t="shared" ca="1" si="27"/>
        <v>#DIV/0!</v>
      </c>
      <c r="L1349" s="20" t="e">
        <f t="shared" ca="1" si="28"/>
        <v>#DIV/0!</v>
      </c>
      <c r="M1349" s="21" t="e">
        <f t="shared" ca="1" si="29"/>
        <v>#DIV/0!</v>
      </c>
      <c r="N1349" s="20" t="str">
        <f ca="1">IFERROR(__xludf.DUMMYFUNCTION("IF(COUNTIFS($C$2:C1349, C1349, $A$2:A1349, ""&lt;="" &amp; A1349) &lt; 30, STDEV.P(FILTER($G$2:G1349, $C$2:C1349 = C1349)), STDEV.P(FILTER($G$2:G1349, $C$2:C1349 = C1349, $A$2:A1349 &gt;= A1349 - 30)))
"),"#DIV/0!")</f>
        <v>#DIV/0!</v>
      </c>
    </row>
    <row r="1350" spans="1:14" x14ac:dyDescent="0.2">
      <c r="A1350" s="41"/>
      <c r="B1350" s="40"/>
      <c r="C1350" s="40"/>
      <c r="D1350" s="31"/>
      <c r="E1350" s="31"/>
      <c r="F1350" s="31"/>
      <c r="G1350" s="19" t="e">
        <f t="shared" si="25"/>
        <v>#DIV/0!</v>
      </c>
      <c r="H1350" s="20" t="str">
        <f ca="1">IFERROR(__xludf.DUMMYFUNCTION("IF(COUNTIFS($C$2:C1350, C1350, $A$2:A1350, ""&lt;="" &amp; A1350) &lt; 30, AVERAGEIF($C$2:C1350, C1350, $G$2:G1350), AVERAGE(FILTER($G$2:G1350, $C$2:C1350 = C1350, $A$2:A1350 &gt;= A1350 - 30)))
"),"#DIV/0!")</f>
        <v>#DIV/0!</v>
      </c>
      <c r="I1350" s="20" t="e">
        <f t="shared" ca="1" si="26"/>
        <v>#DIV/0!</v>
      </c>
      <c r="J1350" s="20" t="str">
        <f ca="1">IFERROR(__xludf.DUMMYFUNCTION("IF(OR($I1350=2, $I1350=3), 0, IFERROR(COUNTIFS($C$2:C1350, $C1350, $A$2:A1350, ""&gt;""&amp;IFERROR(MAX(FILTER($A$2:A1350, $C$2:C1350=$C1350, $I$2:I1350&lt;&gt;1)), 0), $I$2:I1350, 1),1))
"),"#DIV/0!")</f>
        <v>#DIV/0!</v>
      </c>
      <c r="K1350" s="7" t="e">
        <f t="shared" ca="1" si="27"/>
        <v>#DIV/0!</v>
      </c>
      <c r="L1350" s="20" t="e">
        <f t="shared" ca="1" si="28"/>
        <v>#DIV/0!</v>
      </c>
      <c r="M1350" s="21" t="e">
        <f t="shared" ca="1" si="29"/>
        <v>#DIV/0!</v>
      </c>
      <c r="N1350" s="20" t="str">
        <f ca="1">IFERROR(__xludf.DUMMYFUNCTION("IF(COUNTIFS($C$2:C1350, C1350, $A$2:A1350, ""&lt;="" &amp; A1350) &lt; 30, STDEV.P(FILTER($G$2:G1350, $C$2:C1350 = C1350)), STDEV.P(FILTER($G$2:G1350, $C$2:C1350 = C1350, $A$2:A1350 &gt;= A1350 - 30)))
"),"#DIV/0!")</f>
        <v>#DIV/0!</v>
      </c>
    </row>
    <row r="1351" spans="1:14" x14ac:dyDescent="0.2">
      <c r="A1351" s="41"/>
      <c r="B1351" s="40"/>
      <c r="C1351" s="40"/>
      <c r="D1351" s="31"/>
      <c r="E1351" s="31"/>
      <c r="F1351" s="31"/>
      <c r="G1351" s="19" t="e">
        <f t="shared" si="25"/>
        <v>#DIV/0!</v>
      </c>
      <c r="H1351" s="20" t="str">
        <f ca="1">IFERROR(__xludf.DUMMYFUNCTION("IF(COUNTIFS($C$2:C1351, C1351, $A$2:A1351, ""&lt;="" &amp; A1351) &lt; 30, AVERAGEIF($C$2:C1351, C1351, $G$2:G1351), AVERAGE(FILTER($G$2:G1351, $C$2:C1351 = C1351, $A$2:A1351 &gt;= A1351 - 30)))
"),"#DIV/0!")</f>
        <v>#DIV/0!</v>
      </c>
      <c r="I1351" s="20" t="e">
        <f t="shared" ca="1" si="26"/>
        <v>#DIV/0!</v>
      </c>
      <c r="J1351" s="20" t="str">
        <f ca="1">IFERROR(__xludf.DUMMYFUNCTION("IF(OR($I1351=2, $I1351=3), 0, IFERROR(COUNTIFS($C$2:C1351, $C1351, $A$2:A1351, ""&gt;""&amp;IFERROR(MAX(FILTER($A$2:A1351, $C$2:C1351=$C1351, $I$2:I1351&lt;&gt;1)), 0), $I$2:I1351, 1),1))
"),"#DIV/0!")</f>
        <v>#DIV/0!</v>
      </c>
      <c r="K1351" s="7" t="e">
        <f t="shared" ca="1" si="27"/>
        <v>#DIV/0!</v>
      </c>
      <c r="L1351" s="20" t="e">
        <f t="shared" ca="1" si="28"/>
        <v>#DIV/0!</v>
      </c>
      <c r="M1351" s="21" t="e">
        <f t="shared" ca="1" si="29"/>
        <v>#DIV/0!</v>
      </c>
      <c r="N1351" s="20" t="str">
        <f ca="1">IFERROR(__xludf.DUMMYFUNCTION("IF(COUNTIFS($C$2:C1351, C1351, $A$2:A1351, ""&lt;="" &amp; A1351) &lt; 30, STDEV.P(FILTER($G$2:G1351, $C$2:C1351 = C1351)), STDEV.P(FILTER($G$2:G1351, $C$2:C1351 = C1351, $A$2:A1351 &gt;= A1351 - 30)))
"),"#DIV/0!")</f>
        <v>#DIV/0!</v>
      </c>
    </row>
    <row r="1352" spans="1:14" x14ac:dyDescent="0.2">
      <c r="A1352" s="41"/>
      <c r="B1352" s="40"/>
      <c r="C1352" s="40"/>
      <c r="D1352" s="31"/>
      <c r="E1352" s="31"/>
      <c r="F1352" s="31"/>
      <c r="G1352" s="19" t="e">
        <f t="shared" si="25"/>
        <v>#DIV/0!</v>
      </c>
      <c r="H1352" s="20" t="str">
        <f ca="1">IFERROR(__xludf.DUMMYFUNCTION("IF(COUNTIFS($C$2:C1352, C1352, $A$2:A1352, ""&lt;="" &amp; A1352) &lt; 30, AVERAGEIF($C$2:C1352, C1352, $G$2:G1352), AVERAGE(FILTER($G$2:G1352, $C$2:C1352 = C1352, $A$2:A1352 &gt;= A1352 - 30)))
"),"#DIV/0!")</f>
        <v>#DIV/0!</v>
      </c>
      <c r="I1352" s="20" t="e">
        <f t="shared" ca="1" si="26"/>
        <v>#DIV/0!</v>
      </c>
      <c r="J1352" s="20" t="str">
        <f ca="1">IFERROR(__xludf.DUMMYFUNCTION("IF(OR($I1352=2, $I1352=3), 0, IFERROR(COUNTIFS($C$2:C1352, $C1352, $A$2:A1352, ""&gt;""&amp;IFERROR(MAX(FILTER($A$2:A1352, $C$2:C1352=$C1352, $I$2:I1352&lt;&gt;1)), 0), $I$2:I1352, 1),1))
"),"#DIV/0!")</f>
        <v>#DIV/0!</v>
      </c>
      <c r="K1352" s="7" t="e">
        <f t="shared" ca="1" si="27"/>
        <v>#DIV/0!</v>
      </c>
      <c r="L1352" s="20" t="e">
        <f t="shared" ca="1" si="28"/>
        <v>#DIV/0!</v>
      </c>
      <c r="M1352" s="21" t="e">
        <f t="shared" ca="1" si="29"/>
        <v>#DIV/0!</v>
      </c>
      <c r="N1352" s="20" t="str">
        <f ca="1">IFERROR(__xludf.DUMMYFUNCTION("IF(COUNTIFS($C$2:C1352, C1352, $A$2:A1352, ""&lt;="" &amp; A1352) &lt; 30, STDEV.P(FILTER($G$2:G1352, $C$2:C1352 = C1352)), STDEV.P(FILTER($G$2:G1352, $C$2:C1352 = C1352, $A$2:A1352 &gt;= A1352 - 30)))
"),"#DIV/0!")</f>
        <v>#DIV/0!</v>
      </c>
    </row>
    <row r="1353" spans="1:14" x14ac:dyDescent="0.2">
      <c r="A1353" s="41"/>
      <c r="B1353" s="40"/>
      <c r="C1353" s="40"/>
      <c r="D1353" s="31"/>
      <c r="E1353" s="31"/>
      <c r="F1353" s="31"/>
      <c r="G1353" s="19" t="e">
        <f t="shared" si="25"/>
        <v>#DIV/0!</v>
      </c>
      <c r="H1353" s="20" t="str">
        <f ca="1">IFERROR(__xludf.DUMMYFUNCTION("IF(COUNTIFS($C$2:C1353, C1353, $A$2:A1353, ""&lt;="" &amp; A1353) &lt; 30, AVERAGEIF($C$2:C1353, C1353, $G$2:G1353), AVERAGE(FILTER($G$2:G1353, $C$2:C1353 = C1353, $A$2:A1353 &gt;= A1353 - 30)))
"),"#DIV/0!")</f>
        <v>#DIV/0!</v>
      </c>
      <c r="I1353" s="20" t="e">
        <f t="shared" ca="1" si="26"/>
        <v>#DIV/0!</v>
      </c>
      <c r="J1353" s="20" t="str">
        <f ca="1">IFERROR(__xludf.DUMMYFUNCTION("IF(OR($I1353=2, $I1353=3), 0, IFERROR(COUNTIFS($C$2:C1353, $C1353, $A$2:A1353, ""&gt;""&amp;IFERROR(MAX(FILTER($A$2:A1353, $C$2:C1353=$C1353, $I$2:I1353&lt;&gt;1)), 0), $I$2:I1353, 1),1))
"),"#DIV/0!")</f>
        <v>#DIV/0!</v>
      </c>
      <c r="K1353" s="7" t="e">
        <f t="shared" ca="1" si="27"/>
        <v>#DIV/0!</v>
      </c>
      <c r="L1353" s="20" t="e">
        <f t="shared" ca="1" si="28"/>
        <v>#DIV/0!</v>
      </c>
      <c r="M1353" s="21" t="e">
        <f t="shared" ca="1" si="29"/>
        <v>#DIV/0!</v>
      </c>
      <c r="N1353" s="20" t="str">
        <f ca="1">IFERROR(__xludf.DUMMYFUNCTION("IF(COUNTIFS($C$2:C1353, C1353, $A$2:A1353, ""&lt;="" &amp; A1353) &lt; 30, STDEV.P(FILTER($G$2:G1353, $C$2:C1353 = C1353)), STDEV.P(FILTER($G$2:G1353, $C$2:C1353 = C1353, $A$2:A1353 &gt;= A1353 - 30)))
"),"#DIV/0!")</f>
        <v>#DIV/0!</v>
      </c>
    </row>
    <row r="1354" spans="1:14" x14ac:dyDescent="0.2">
      <c r="A1354" s="41"/>
      <c r="B1354" s="40"/>
      <c r="C1354" s="40"/>
      <c r="D1354" s="31"/>
      <c r="E1354" s="31"/>
      <c r="F1354" s="31"/>
      <c r="G1354" s="19" t="e">
        <f t="shared" si="25"/>
        <v>#DIV/0!</v>
      </c>
      <c r="H1354" s="20" t="str">
        <f ca="1">IFERROR(__xludf.DUMMYFUNCTION("IF(COUNTIFS($C$2:C1354, C1354, $A$2:A1354, ""&lt;="" &amp; A1354) &lt; 30, AVERAGEIF($C$2:C1354, C1354, $G$2:G1354), AVERAGE(FILTER($G$2:G1354, $C$2:C1354 = C1354, $A$2:A1354 &gt;= A1354 - 30)))
"),"#DIV/0!")</f>
        <v>#DIV/0!</v>
      </c>
      <c r="I1354" s="20" t="e">
        <f t="shared" ca="1" si="26"/>
        <v>#DIV/0!</v>
      </c>
      <c r="J1354" s="20" t="str">
        <f ca="1">IFERROR(__xludf.DUMMYFUNCTION("IF(OR($I1354=2, $I1354=3), 0, IFERROR(COUNTIFS($C$2:C1354, $C1354, $A$2:A1354, ""&gt;""&amp;IFERROR(MAX(FILTER($A$2:A1354, $C$2:C1354=$C1354, $I$2:I1354&lt;&gt;1)), 0), $I$2:I1354, 1),1))
"),"#DIV/0!")</f>
        <v>#DIV/0!</v>
      </c>
      <c r="K1354" s="7" t="e">
        <f t="shared" ca="1" si="27"/>
        <v>#DIV/0!</v>
      </c>
      <c r="L1354" s="20" t="e">
        <f t="shared" ca="1" si="28"/>
        <v>#DIV/0!</v>
      </c>
      <c r="M1354" s="21" t="e">
        <f t="shared" ca="1" si="29"/>
        <v>#DIV/0!</v>
      </c>
      <c r="N1354" s="20" t="str">
        <f ca="1">IFERROR(__xludf.DUMMYFUNCTION("IF(COUNTIFS($C$2:C1354, C1354, $A$2:A1354, ""&lt;="" &amp; A1354) &lt; 30, STDEV.P(FILTER($G$2:G1354, $C$2:C1354 = C1354)), STDEV.P(FILTER($G$2:G1354, $C$2:C1354 = C1354, $A$2:A1354 &gt;= A1354 - 30)))
"),"#DIV/0!")</f>
        <v>#DIV/0!</v>
      </c>
    </row>
    <row r="1355" spans="1:14" x14ac:dyDescent="0.2">
      <c r="A1355" s="41"/>
      <c r="B1355" s="40"/>
      <c r="C1355" s="40"/>
      <c r="D1355" s="31"/>
      <c r="E1355" s="31"/>
      <c r="F1355" s="31"/>
      <c r="G1355" s="19" t="e">
        <f t="shared" si="25"/>
        <v>#DIV/0!</v>
      </c>
      <c r="H1355" s="20" t="str">
        <f ca="1">IFERROR(__xludf.DUMMYFUNCTION("IF(COUNTIFS($C$2:C1355, C1355, $A$2:A1355, ""&lt;="" &amp; A1355) &lt; 30, AVERAGEIF($C$2:C1355, C1355, $G$2:G1355), AVERAGE(FILTER($G$2:G1355, $C$2:C1355 = C1355, $A$2:A1355 &gt;= A1355 - 30)))
"),"#DIV/0!")</f>
        <v>#DIV/0!</v>
      </c>
      <c r="I1355" s="20" t="e">
        <f t="shared" ca="1" si="26"/>
        <v>#DIV/0!</v>
      </c>
      <c r="J1355" s="20" t="str">
        <f ca="1">IFERROR(__xludf.DUMMYFUNCTION("IF(OR($I1355=2, $I1355=3), 0, IFERROR(COUNTIFS($C$2:C1355, $C1355, $A$2:A1355, ""&gt;""&amp;IFERROR(MAX(FILTER($A$2:A1355, $C$2:C1355=$C1355, $I$2:I1355&lt;&gt;1)), 0), $I$2:I1355, 1),1))
"),"#DIV/0!")</f>
        <v>#DIV/0!</v>
      </c>
      <c r="K1355" s="7" t="e">
        <f t="shared" ca="1" si="27"/>
        <v>#DIV/0!</v>
      </c>
      <c r="L1355" s="20" t="e">
        <f t="shared" ca="1" si="28"/>
        <v>#DIV/0!</v>
      </c>
      <c r="M1355" s="21" t="e">
        <f t="shared" ca="1" si="29"/>
        <v>#DIV/0!</v>
      </c>
      <c r="N1355" s="20" t="str">
        <f ca="1">IFERROR(__xludf.DUMMYFUNCTION("IF(COUNTIFS($C$2:C1355, C1355, $A$2:A1355, ""&lt;="" &amp; A1355) &lt; 30, STDEV.P(FILTER($G$2:G1355, $C$2:C1355 = C1355)), STDEV.P(FILTER($G$2:G1355, $C$2:C1355 = C1355, $A$2:A1355 &gt;= A1355 - 30)))
"),"#DIV/0!")</f>
        <v>#DIV/0!</v>
      </c>
    </row>
    <row r="1356" spans="1:14" x14ac:dyDescent="0.2">
      <c r="A1356" s="41"/>
      <c r="B1356" s="40"/>
      <c r="C1356" s="40"/>
      <c r="D1356" s="31"/>
      <c r="E1356" s="31"/>
      <c r="F1356" s="31"/>
      <c r="G1356" s="19" t="e">
        <f t="shared" si="25"/>
        <v>#DIV/0!</v>
      </c>
      <c r="H1356" s="20" t="str">
        <f ca="1">IFERROR(__xludf.DUMMYFUNCTION("IF(COUNTIFS($C$2:C1356, C1356, $A$2:A1356, ""&lt;="" &amp; A1356) &lt; 30, AVERAGEIF($C$2:C1356, C1356, $G$2:G1356), AVERAGE(FILTER($G$2:G1356, $C$2:C1356 = C1356, $A$2:A1356 &gt;= A1356 - 30)))
"),"#DIV/0!")</f>
        <v>#DIV/0!</v>
      </c>
      <c r="I1356" s="20" t="e">
        <f t="shared" ca="1" si="26"/>
        <v>#DIV/0!</v>
      </c>
      <c r="J1356" s="20" t="str">
        <f ca="1">IFERROR(__xludf.DUMMYFUNCTION("IF(OR($I1356=2, $I1356=3), 0, IFERROR(COUNTIFS($C$2:C1356, $C1356, $A$2:A1356, ""&gt;""&amp;IFERROR(MAX(FILTER($A$2:A1356, $C$2:C1356=$C1356, $I$2:I1356&lt;&gt;1)), 0), $I$2:I1356, 1),1))
"),"#DIV/0!")</f>
        <v>#DIV/0!</v>
      </c>
      <c r="K1356" s="7" t="e">
        <f t="shared" ca="1" si="27"/>
        <v>#DIV/0!</v>
      </c>
      <c r="L1356" s="20" t="e">
        <f t="shared" ca="1" si="28"/>
        <v>#DIV/0!</v>
      </c>
      <c r="M1356" s="21" t="e">
        <f t="shared" ca="1" si="29"/>
        <v>#DIV/0!</v>
      </c>
      <c r="N1356" s="20" t="str">
        <f ca="1">IFERROR(__xludf.DUMMYFUNCTION("IF(COUNTIFS($C$2:C1356, C1356, $A$2:A1356, ""&lt;="" &amp; A1356) &lt; 30, STDEV.P(FILTER($G$2:G1356, $C$2:C1356 = C1356)), STDEV.P(FILTER($G$2:G1356, $C$2:C1356 = C1356, $A$2:A1356 &gt;= A1356 - 30)))
"),"#DIV/0!")</f>
        <v>#DIV/0!</v>
      </c>
    </row>
    <row r="1357" spans="1:14" x14ac:dyDescent="0.2">
      <c r="A1357" s="41"/>
      <c r="B1357" s="40"/>
      <c r="C1357" s="40"/>
      <c r="D1357" s="31"/>
      <c r="E1357" s="31"/>
      <c r="F1357" s="31"/>
      <c r="G1357" s="19" t="e">
        <f t="shared" si="25"/>
        <v>#DIV/0!</v>
      </c>
      <c r="H1357" s="20" t="str">
        <f ca="1">IFERROR(__xludf.DUMMYFUNCTION("IF(COUNTIFS($C$2:C1357, C1357, $A$2:A1357, ""&lt;="" &amp; A1357) &lt; 30, AVERAGEIF($C$2:C1357, C1357, $G$2:G1357), AVERAGE(FILTER($G$2:G1357, $C$2:C1357 = C1357, $A$2:A1357 &gt;= A1357 - 30)))
"),"#DIV/0!")</f>
        <v>#DIV/0!</v>
      </c>
      <c r="I1357" s="20" t="e">
        <f t="shared" ca="1" si="26"/>
        <v>#DIV/0!</v>
      </c>
      <c r="J1357" s="20" t="str">
        <f ca="1">IFERROR(__xludf.DUMMYFUNCTION("IF(OR($I1357=2, $I1357=3), 0, IFERROR(COUNTIFS($C$2:C1357, $C1357, $A$2:A1357, ""&gt;""&amp;IFERROR(MAX(FILTER($A$2:A1357, $C$2:C1357=$C1357, $I$2:I1357&lt;&gt;1)), 0), $I$2:I1357, 1),1))
"),"#DIV/0!")</f>
        <v>#DIV/0!</v>
      </c>
      <c r="K1357" s="7" t="e">
        <f t="shared" ca="1" si="27"/>
        <v>#DIV/0!</v>
      </c>
      <c r="L1357" s="20" t="e">
        <f t="shared" ca="1" si="28"/>
        <v>#DIV/0!</v>
      </c>
      <c r="M1357" s="21" t="e">
        <f t="shared" ca="1" si="29"/>
        <v>#DIV/0!</v>
      </c>
      <c r="N1357" s="20" t="str">
        <f ca="1">IFERROR(__xludf.DUMMYFUNCTION("IF(COUNTIFS($C$2:C1357, C1357, $A$2:A1357, ""&lt;="" &amp; A1357) &lt; 30, STDEV.P(FILTER($G$2:G1357, $C$2:C1357 = C1357)), STDEV.P(FILTER($G$2:G1357, $C$2:C1357 = C1357, $A$2:A1357 &gt;= A1357 - 30)))
"),"#DIV/0!")</f>
        <v>#DIV/0!</v>
      </c>
    </row>
    <row r="1358" spans="1:14" x14ac:dyDescent="0.2">
      <c r="A1358" s="41"/>
      <c r="B1358" s="40"/>
      <c r="C1358" s="40"/>
      <c r="D1358" s="31"/>
      <c r="E1358" s="31"/>
      <c r="F1358" s="31"/>
      <c r="G1358" s="19" t="e">
        <f t="shared" si="25"/>
        <v>#DIV/0!</v>
      </c>
      <c r="H1358" s="20" t="str">
        <f ca="1">IFERROR(__xludf.DUMMYFUNCTION("IF(COUNTIFS($C$2:C1358, C1358, $A$2:A1358, ""&lt;="" &amp; A1358) &lt; 30, AVERAGEIF($C$2:C1358, C1358, $G$2:G1358), AVERAGE(FILTER($G$2:G1358, $C$2:C1358 = C1358, $A$2:A1358 &gt;= A1358 - 30)))
"),"#DIV/0!")</f>
        <v>#DIV/0!</v>
      </c>
      <c r="I1358" s="20" t="e">
        <f t="shared" ca="1" si="26"/>
        <v>#DIV/0!</v>
      </c>
      <c r="J1358" s="20" t="str">
        <f ca="1">IFERROR(__xludf.DUMMYFUNCTION("IF(OR($I1358=2, $I1358=3), 0, IFERROR(COUNTIFS($C$2:C1358, $C1358, $A$2:A1358, ""&gt;""&amp;IFERROR(MAX(FILTER($A$2:A1358, $C$2:C1358=$C1358, $I$2:I1358&lt;&gt;1)), 0), $I$2:I1358, 1),1))
"),"#DIV/0!")</f>
        <v>#DIV/0!</v>
      </c>
      <c r="K1358" s="7" t="e">
        <f t="shared" ca="1" si="27"/>
        <v>#DIV/0!</v>
      </c>
      <c r="L1358" s="20" t="e">
        <f t="shared" ca="1" si="28"/>
        <v>#DIV/0!</v>
      </c>
      <c r="M1358" s="21" t="e">
        <f t="shared" ca="1" si="29"/>
        <v>#DIV/0!</v>
      </c>
      <c r="N1358" s="20" t="str">
        <f ca="1">IFERROR(__xludf.DUMMYFUNCTION("IF(COUNTIFS($C$2:C1358, C1358, $A$2:A1358, ""&lt;="" &amp; A1358) &lt; 30, STDEV.P(FILTER($G$2:G1358, $C$2:C1358 = C1358)), STDEV.P(FILTER($G$2:G1358, $C$2:C1358 = C1358, $A$2:A1358 &gt;= A1358 - 30)))
"),"#DIV/0!")</f>
        <v>#DIV/0!</v>
      </c>
    </row>
    <row r="1359" spans="1:14" x14ac:dyDescent="0.2">
      <c r="A1359" s="41"/>
      <c r="B1359" s="40"/>
      <c r="C1359" s="40"/>
      <c r="D1359" s="31"/>
      <c r="E1359" s="31"/>
      <c r="F1359" s="31"/>
      <c r="G1359" s="19" t="e">
        <f t="shared" si="25"/>
        <v>#DIV/0!</v>
      </c>
      <c r="H1359" s="20" t="str">
        <f ca="1">IFERROR(__xludf.DUMMYFUNCTION("IF(COUNTIFS($C$2:C1359, C1359, $A$2:A1359, ""&lt;="" &amp; A1359) &lt; 30, AVERAGEIF($C$2:C1359, C1359, $G$2:G1359), AVERAGE(FILTER($G$2:G1359, $C$2:C1359 = C1359, $A$2:A1359 &gt;= A1359 - 30)))
"),"#DIV/0!")</f>
        <v>#DIV/0!</v>
      </c>
      <c r="I1359" s="20" t="e">
        <f t="shared" ca="1" si="26"/>
        <v>#DIV/0!</v>
      </c>
      <c r="J1359" s="20" t="str">
        <f ca="1">IFERROR(__xludf.DUMMYFUNCTION("IF(OR($I1359=2, $I1359=3), 0, IFERROR(COUNTIFS($C$2:C1359, $C1359, $A$2:A1359, ""&gt;""&amp;IFERROR(MAX(FILTER($A$2:A1359, $C$2:C1359=$C1359, $I$2:I1359&lt;&gt;1)), 0), $I$2:I1359, 1),1))
"),"#DIV/0!")</f>
        <v>#DIV/0!</v>
      </c>
      <c r="K1359" s="7" t="e">
        <f t="shared" ca="1" si="27"/>
        <v>#DIV/0!</v>
      </c>
      <c r="L1359" s="20" t="e">
        <f t="shared" ca="1" si="28"/>
        <v>#DIV/0!</v>
      </c>
      <c r="M1359" s="21" t="e">
        <f t="shared" ca="1" si="29"/>
        <v>#DIV/0!</v>
      </c>
      <c r="N1359" s="20" t="str">
        <f ca="1">IFERROR(__xludf.DUMMYFUNCTION("IF(COUNTIFS($C$2:C1359, C1359, $A$2:A1359, ""&lt;="" &amp; A1359) &lt; 30, STDEV.P(FILTER($G$2:G1359, $C$2:C1359 = C1359)), STDEV.P(FILTER($G$2:G1359, $C$2:C1359 = C1359, $A$2:A1359 &gt;= A1359 - 30)))
"),"#DIV/0!")</f>
        <v>#DIV/0!</v>
      </c>
    </row>
    <row r="1360" spans="1:14" x14ac:dyDescent="0.2">
      <c r="A1360" s="41"/>
      <c r="B1360" s="40"/>
      <c r="C1360" s="40"/>
      <c r="D1360" s="31"/>
      <c r="E1360" s="31"/>
      <c r="F1360" s="31"/>
      <c r="G1360" s="19" t="e">
        <f t="shared" si="25"/>
        <v>#DIV/0!</v>
      </c>
      <c r="H1360" s="20" t="str">
        <f ca="1">IFERROR(__xludf.DUMMYFUNCTION("IF(COUNTIFS($C$2:C1360, C1360, $A$2:A1360, ""&lt;="" &amp; A1360) &lt; 30, AVERAGEIF($C$2:C1360, C1360, $G$2:G1360), AVERAGE(FILTER($G$2:G1360, $C$2:C1360 = C1360, $A$2:A1360 &gt;= A1360 - 30)))
"),"#DIV/0!")</f>
        <v>#DIV/0!</v>
      </c>
      <c r="I1360" s="20" t="e">
        <f t="shared" ca="1" si="26"/>
        <v>#DIV/0!</v>
      </c>
      <c r="J1360" s="20" t="str">
        <f ca="1">IFERROR(__xludf.DUMMYFUNCTION("IF(OR($I1360=2, $I1360=3), 0, IFERROR(COUNTIFS($C$2:C1360, $C1360, $A$2:A1360, ""&gt;""&amp;IFERROR(MAX(FILTER($A$2:A1360, $C$2:C1360=$C1360, $I$2:I1360&lt;&gt;1)), 0), $I$2:I1360, 1),1))
"),"#DIV/0!")</f>
        <v>#DIV/0!</v>
      </c>
      <c r="K1360" s="7" t="e">
        <f t="shared" ca="1" si="27"/>
        <v>#DIV/0!</v>
      </c>
      <c r="L1360" s="20" t="e">
        <f t="shared" ca="1" si="28"/>
        <v>#DIV/0!</v>
      </c>
      <c r="M1360" s="21" t="e">
        <f t="shared" ca="1" si="29"/>
        <v>#DIV/0!</v>
      </c>
      <c r="N1360" s="20" t="str">
        <f ca="1">IFERROR(__xludf.DUMMYFUNCTION("IF(COUNTIFS($C$2:C1360, C1360, $A$2:A1360, ""&lt;="" &amp; A1360) &lt; 30, STDEV.P(FILTER($G$2:G1360, $C$2:C1360 = C1360)), STDEV.P(FILTER($G$2:G1360, $C$2:C1360 = C1360, $A$2:A1360 &gt;= A1360 - 30)))
"),"#DIV/0!")</f>
        <v>#DIV/0!</v>
      </c>
    </row>
    <row r="1361" spans="1:14" x14ac:dyDescent="0.2">
      <c r="A1361" s="41"/>
      <c r="B1361" s="40"/>
      <c r="C1361" s="40"/>
      <c r="D1361" s="31"/>
      <c r="E1361" s="31"/>
      <c r="F1361" s="31"/>
      <c r="G1361" s="19" t="e">
        <f t="shared" si="25"/>
        <v>#DIV/0!</v>
      </c>
      <c r="H1361" s="20" t="str">
        <f ca="1">IFERROR(__xludf.DUMMYFUNCTION("IF(COUNTIFS($C$2:C1361, C1361, $A$2:A1361, ""&lt;="" &amp; A1361) &lt; 30, AVERAGEIF($C$2:C1361, C1361, $G$2:G1361), AVERAGE(FILTER($G$2:G1361, $C$2:C1361 = C1361, $A$2:A1361 &gt;= A1361 - 30)))
"),"#DIV/0!")</f>
        <v>#DIV/0!</v>
      </c>
      <c r="I1361" s="20" t="e">
        <f t="shared" ca="1" si="26"/>
        <v>#DIV/0!</v>
      </c>
      <c r="J1361" s="20" t="str">
        <f ca="1">IFERROR(__xludf.DUMMYFUNCTION("IF(OR($I1361=2, $I1361=3), 0, IFERROR(COUNTIFS($C$2:C1361, $C1361, $A$2:A1361, ""&gt;""&amp;IFERROR(MAX(FILTER($A$2:A1361, $C$2:C1361=$C1361, $I$2:I1361&lt;&gt;1)), 0), $I$2:I1361, 1),1))
"),"#DIV/0!")</f>
        <v>#DIV/0!</v>
      </c>
      <c r="K1361" s="7" t="e">
        <f t="shared" ca="1" si="27"/>
        <v>#DIV/0!</v>
      </c>
      <c r="L1361" s="20" t="e">
        <f t="shared" ca="1" si="28"/>
        <v>#DIV/0!</v>
      </c>
      <c r="M1361" s="21" t="e">
        <f t="shared" ca="1" si="29"/>
        <v>#DIV/0!</v>
      </c>
      <c r="N1361" s="20" t="str">
        <f ca="1">IFERROR(__xludf.DUMMYFUNCTION("IF(COUNTIFS($C$2:C1361, C1361, $A$2:A1361, ""&lt;="" &amp; A1361) &lt; 30, STDEV.P(FILTER($G$2:G1361, $C$2:C1361 = C1361)), STDEV.P(FILTER($G$2:G1361, $C$2:C1361 = C1361, $A$2:A1361 &gt;= A1361 - 30)))
"),"#DIV/0!")</f>
        <v>#DIV/0!</v>
      </c>
    </row>
    <row r="1362" spans="1:14" x14ac:dyDescent="0.2">
      <c r="A1362" s="41"/>
      <c r="B1362" s="40"/>
      <c r="C1362" s="40"/>
      <c r="D1362" s="31"/>
      <c r="E1362" s="31"/>
      <c r="F1362" s="31"/>
      <c r="G1362" s="19" t="e">
        <f t="shared" si="25"/>
        <v>#DIV/0!</v>
      </c>
      <c r="H1362" s="20" t="str">
        <f ca="1">IFERROR(__xludf.DUMMYFUNCTION("IF(COUNTIFS($C$2:C1362, C1362, $A$2:A1362, ""&lt;="" &amp; A1362) &lt; 30, AVERAGEIF($C$2:C1362, C1362, $G$2:G1362), AVERAGE(FILTER($G$2:G1362, $C$2:C1362 = C1362, $A$2:A1362 &gt;= A1362 - 30)))
"),"#DIV/0!")</f>
        <v>#DIV/0!</v>
      </c>
      <c r="I1362" s="20" t="e">
        <f t="shared" ca="1" si="26"/>
        <v>#DIV/0!</v>
      </c>
      <c r="J1362" s="20" t="str">
        <f ca="1">IFERROR(__xludf.DUMMYFUNCTION("IF(OR($I1362=2, $I1362=3), 0, IFERROR(COUNTIFS($C$2:C1362, $C1362, $A$2:A1362, ""&gt;""&amp;IFERROR(MAX(FILTER($A$2:A1362, $C$2:C1362=$C1362, $I$2:I1362&lt;&gt;1)), 0), $I$2:I1362, 1),1))
"),"#DIV/0!")</f>
        <v>#DIV/0!</v>
      </c>
      <c r="K1362" s="7" t="e">
        <f t="shared" ca="1" si="27"/>
        <v>#DIV/0!</v>
      </c>
      <c r="L1362" s="20" t="e">
        <f t="shared" ca="1" si="28"/>
        <v>#DIV/0!</v>
      </c>
      <c r="M1362" s="21" t="e">
        <f t="shared" ca="1" si="29"/>
        <v>#DIV/0!</v>
      </c>
      <c r="N1362" s="20" t="str">
        <f ca="1">IFERROR(__xludf.DUMMYFUNCTION("IF(COUNTIFS($C$2:C1362, C1362, $A$2:A1362, ""&lt;="" &amp; A1362) &lt; 30, STDEV.P(FILTER($G$2:G1362, $C$2:C1362 = C1362)), STDEV.P(FILTER($G$2:G1362, $C$2:C1362 = C1362, $A$2:A1362 &gt;= A1362 - 30)))
"),"#DIV/0!")</f>
        <v>#DIV/0!</v>
      </c>
    </row>
    <row r="1363" spans="1:14" x14ac:dyDescent="0.2">
      <c r="A1363" s="41"/>
      <c r="B1363" s="40"/>
      <c r="C1363" s="40"/>
      <c r="D1363" s="31"/>
      <c r="E1363" s="31"/>
      <c r="F1363" s="31"/>
      <c r="G1363" s="19" t="e">
        <f t="shared" si="25"/>
        <v>#DIV/0!</v>
      </c>
      <c r="H1363" s="20" t="str">
        <f ca="1">IFERROR(__xludf.DUMMYFUNCTION("IF(COUNTIFS($C$2:C1363, C1363, $A$2:A1363, ""&lt;="" &amp; A1363) &lt; 30, AVERAGEIF($C$2:C1363, C1363, $G$2:G1363), AVERAGE(FILTER($G$2:G1363, $C$2:C1363 = C1363, $A$2:A1363 &gt;= A1363 - 30)))
"),"#DIV/0!")</f>
        <v>#DIV/0!</v>
      </c>
      <c r="I1363" s="20" t="e">
        <f t="shared" ca="1" si="26"/>
        <v>#DIV/0!</v>
      </c>
      <c r="J1363" s="20" t="str">
        <f ca="1">IFERROR(__xludf.DUMMYFUNCTION("IF(OR($I1363=2, $I1363=3), 0, IFERROR(COUNTIFS($C$2:C1363, $C1363, $A$2:A1363, ""&gt;""&amp;IFERROR(MAX(FILTER($A$2:A1363, $C$2:C1363=$C1363, $I$2:I1363&lt;&gt;1)), 0), $I$2:I1363, 1),1))
"),"#DIV/0!")</f>
        <v>#DIV/0!</v>
      </c>
      <c r="K1363" s="7" t="e">
        <f t="shared" ca="1" si="27"/>
        <v>#DIV/0!</v>
      </c>
      <c r="L1363" s="20" t="e">
        <f t="shared" ca="1" si="28"/>
        <v>#DIV/0!</v>
      </c>
      <c r="M1363" s="21" t="e">
        <f t="shared" ca="1" si="29"/>
        <v>#DIV/0!</v>
      </c>
      <c r="N1363" s="20" t="str">
        <f ca="1">IFERROR(__xludf.DUMMYFUNCTION("IF(COUNTIFS($C$2:C1363, C1363, $A$2:A1363, ""&lt;="" &amp; A1363) &lt; 30, STDEV.P(FILTER($G$2:G1363, $C$2:C1363 = C1363)), STDEV.P(FILTER($G$2:G1363, $C$2:C1363 = C1363, $A$2:A1363 &gt;= A1363 - 30)))
"),"#DIV/0!")</f>
        <v>#DIV/0!</v>
      </c>
    </row>
    <row r="1364" spans="1:14" x14ac:dyDescent="0.2">
      <c r="A1364" s="41"/>
      <c r="B1364" s="40"/>
      <c r="C1364" s="40"/>
      <c r="D1364" s="31"/>
      <c r="E1364" s="31"/>
      <c r="F1364" s="31"/>
      <c r="G1364" s="19" t="e">
        <f t="shared" si="25"/>
        <v>#DIV/0!</v>
      </c>
      <c r="H1364" s="20" t="str">
        <f ca="1">IFERROR(__xludf.DUMMYFUNCTION("IF(COUNTIFS($C$2:C1364, C1364, $A$2:A1364, ""&lt;="" &amp; A1364) &lt; 30, AVERAGEIF($C$2:C1364, C1364, $G$2:G1364), AVERAGE(FILTER($G$2:G1364, $C$2:C1364 = C1364, $A$2:A1364 &gt;= A1364 - 30)))
"),"#DIV/0!")</f>
        <v>#DIV/0!</v>
      </c>
      <c r="I1364" s="20" t="e">
        <f t="shared" ca="1" si="26"/>
        <v>#DIV/0!</v>
      </c>
      <c r="J1364" s="20" t="str">
        <f ca="1">IFERROR(__xludf.DUMMYFUNCTION("IF(OR($I1364=2, $I1364=3), 0, IFERROR(COUNTIFS($C$2:C1364, $C1364, $A$2:A1364, ""&gt;""&amp;IFERROR(MAX(FILTER($A$2:A1364, $C$2:C1364=$C1364, $I$2:I1364&lt;&gt;1)), 0), $I$2:I1364, 1),1))
"),"#DIV/0!")</f>
        <v>#DIV/0!</v>
      </c>
      <c r="K1364" s="7" t="e">
        <f t="shared" ca="1" si="27"/>
        <v>#DIV/0!</v>
      </c>
      <c r="L1364" s="20" t="e">
        <f t="shared" ca="1" si="28"/>
        <v>#DIV/0!</v>
      </c>
      <c r="M1364" s="21" t="e">
        <f t="shared" ca="1" si="29"/>
        <v>#DIV/0!</v>
      </c>
      <c r="N1364" s="20" t="str">
        <f ca="1">IFERROR(__xludf.DUMMYFUNCTION("IF(COUNTIFS($C$2:C1364, C1364, $A$2:A1364, ""&lt;="" &amp; A1364) &lt; 30, STDEV.P(FILTER($G$2:G1364, $C$2:C1364 = C1364)), STDEV.P(FILTER($G$2:G1364, $C$2:C1364 = C1364, $A$2:A1364 &gt;= A1364 - 30)))
"),"#DIV/0!")</f>
        <v>#DIV/0!</v>
      </c>
    </row>
    <row r="1365" spans="1:14" x14ac:dyDescent="0.2">
      <c r="A1365" s="41"/>
      <c r="B1365" s="40"/>
      <c r="C1365" s="40"/>
      <c r="D1365" s="31"/>
      <c r="E1365" s="31"/>
      <c r="F1365" s="31"/>
      <c r="G1365" s="19" t="e">
        <f t="shared" si="25"/>
        <v>#DIV/0!</v>
      </c>
      <c r="H1365" s="20" t="str">
        <f ca="1">IFERROR(__xludf.DUMMYFUNCTION("IF(COUNTIFS($C$2:C1365, C1365, $A$2:A1365, ""&lt;="" &amp; A1365) &lt; 30, AVERAGEIF($C$2:C1365, C1365, $G$2:G1365), AVERAGE(FILTER($G$2:G1365, $C$2:C1365 = C1365, $A$2:A1365 &gt;= A1365 - 30)))
"),"#DIV/0!")</f>
        <v>#DIV/0!</v>
      </c>
      <c r="I1365" s="20" t="e">
        <f t="shared" ca="1" si="26"/>
        <v>#DIV/0!</v>
      </c>
      <c r="J1365" s="20" t="str">
        <f ca="1">IFERROR(__xludf.DUMMYFUNCTION("IF(OR($I1365=2, $I1365=3), 0, IFERROR(COUNTIFS($C$2:C1365, $C1365, $A$2:A1365, ""&gt;""&amp;IFERROR(MAX(FILTER($A$2:A1365, $C$2:C1365=$C1365, $I$2:I1365&lt;&gt;1)), 0), $I$2:I1365, 1),1))
"),"#DIV/0!")</f>
        <v>#DIV/0!</v>
      </c>
      <c r="K1365" s="7" t="e">
        <f t="shared" ca="1" si="27"/>
        <v>#DIV/0!</v>
      </c>
      <c r="L1365" s="20" t="e">
        <f t="shared" ca="1" si="28"/>
        <v>#DIV/0!</v>
      </c>
      <c r="M1365" s="21" t="e">
        <f t="shared" ca="1" si="29"/>
        <v>#DIV/0!</v>
      </c>
      <c r="N1365" s="20" t="str">
        <f ca="1">IFERROR(__xludf.DUMMYFUNCTION("IF(COUNTIFS($C$2:C1365, C1365, $A$2:A1365, ""&lt;="" &amp; A1365) &lt; 30, STDEV.P(FILTER($G$2:G1365, $C$2:C1365 = C1365)), STDEV.P(FILTER($G$2:G1365, $C$2:C1365 = C1365, $A$2:A1365 &gt;= A1365 - 30)))
"),"#DIV/0!")</f>
        <v>#DIV/0!</v>
      </c>
    </row>
    <row r="1366" spans="1:14" x14ac:dyDescent="0.2">
      <c r="A1366" s="41"/>
      <c r="B1366" s="40"/>
      <c r="C1366" s="40"/>
      <c r="D1366" s="31"/>
      <c r="E1366" s="31"/>
      <c r="F1366" s="31"/>
      <c r="G1366" s="19" t="e">
        <f t="shared" si="25"/>
        <v>#DIV/0!</v>
      </c>
      <c r="H1366" s="20" t="str">
        <f ca="1">IFERROR(__xludf.DUMMYFUNCTION("IF(COUNTIFS($C$2:C1366, C1366, $A$2:A1366, ""&lt;="" &amp; A1366) &lt; 30, AVERAGEIF($C$2:C1366, C1366, $G$2:G1366), AVERAGE(FILTER($G$2:G1366, $C$2:C1366 = C1366, $A$2:A1366 &gt;= A1366 - 30)))
"),"#DIV/0!")</f>
        <v>#DIV/0!</v>
      </c>
      <c r="I1366" s="20" t="e">
        <f t="shared" ca="1" si="26"/>
        <v>#DIV/0!</v>
      </c>
      <c r="J1366" s="20" t="str">
        <f ca="1">IFERROR(__xludf.DUMMYFUNCTION("IF(OR($I1366=2, $I1366=3), 0, IFERROR(COUNTIFS($C$2:C1366, $C1366, $A$2:A1366, ""&gt;""&amp;IFERROR(MAX(FILTER($A$2:A1366, $C$2:C1366=$C1366, $I$2:I1366&lt;&gt;1)), 0), $I$2:I1366, 1),1))
"),"#DIV/0!")</f>
        <v>#DIV/0!</v>
      </c>
      <c r="K1366" s="7" t="e">
        <f t="shared" ca="1" si="27"/>
        <v>#DIV/0!</v>
      </c>
      <c r="L1366" s="20" t="e">
        <f t="shared" ca="1" si="28"/>
        <v>#DIV/0!</v>
      </c>
      <c r="M1366" s="21" t="e">
        <f t="shared" ca="1" si="29"/>
        <v>#DIV/0!</v>
      </c>
      <c r="N1366" s="20" t="str">
        <f ca="1">IFERROR(__xludf.DUMMYFUNCTION("IF(COUNTIFS($C$2:C1366, C1366, $A$2:A1366, ""&lt;="" &amp; A1366) &lt; 30, STDEV.P(FILTER($G$2:G1366, $C$2:C1366 = C1366)), STDEV.P(FILTER($G$2:G1366, $C$2:C1366 = C1366, $A$2:A1366 &gt;= A1366 - 30)))
"),"#DIV/0!")</f>
        <v>#DIV/0!</v>
      </c>
    </row>
    <row r="1367" spans="1:14" x14ac:dyDescent="0.2">
      <c r="A1367" s="41"/>
      <c r="B1367" s="40"/>
      <c r="C1367" s="40"/>
      <c r="D1367" s="31"/>
      <c r="E1367" s="31"/>
      <c r="F1367" s="31"/>
      <c r="G1367" s="19" t="e">
        <f t="shared" si="25"/>
        <v>#DIV/0!</v>
      </c>
      <c r="H1367" s="20" t="str">
        <f ca="1">IFERROR(__xludf.DUMMYFUNCTION("IF(COUNTIFS($C$2:C1367, C1367, $A$2:A1367, ""&lt;="" &amp; A1367) &lt; 30, AVERAGEIF($C$2:C1367, C1367, $G$2:G1367), AVERAGE(FILTER($G$2:G1367, $C$2:C1367 = C1367, $A$2:A1367 &gt;= A1367 - 30)))
"),"#DIV/0!")</f>
        <v>#DIV/0!</v>
      </c>
      <c r="I1367" s="20" t="e">
        <f t="shared" ca="1" si="26"/>
        <v>#DIV/0!</v>
      </c>
      <c r="J1367" s="20" t="str">
        <f ca="1">IFERROR(__xludf.DUMMYFUNCTION("IF(OR($I1367=2, $I1367=3), 0, IFERROR(COUNTIFS($C$2:C1367, $C1367, $A$2:A1367, ""&gt;""&amp;IFERROR(MAX(FILTER($A$2:A1367, $C$2:C1367=$C1367, $I$2:I1367&lt;&gt;1)), 0), $I$2:I1367, 1),1))
"),"#DIV/0!")</f>
        <v>#DIV/0!</v>
      </c>
      <c r="K1367" s="7" t="e">
        <f t="shared" ca="1" si="27"/>
        <v>#DIV/0!</v>
      </c>
      <c r="L1367" s="20" t="e">
        <f t="shared" ca="1" si="28"/>
        <v>#DIV/0!</v>
      </c>
      <c r="M1367" s="21" t="e">
        <f t="shared" ca="1" si="29"/>
        <v>#DIV/0!</v>
      </c>
      <c r="N1367" s="20" t="str">
        <f ca="1">IFERROR(__xludf.DUMMYFUNCTION("IF(COUNTIFS($C$2:C1367, C1367, $A$2:A1367, ""&lt;="" &amp; A1367) &lt; 30, STDEV.P(FILTER($G$2:G1367, $C$2:C1367 = C1367)), STDEV.P(FILTER($G$2:G1367, $C$2:C1367 = C1367, $A$2:A1367 &gt;= A1367 - 30)))
"),"#DIV/0!")</f>
        <v>#DIV/0!</v>
      </c>
    </row>
    <row r="1368" spans="1:14" x14ac:dyDescent="0.2">
      <c r="A1368" s="41"/>
      <c r="B1368" s="40"/>
      <c r="C1368" s="40"/>
      <c r="D1368" s="31"/>
      <c r="E1368" s="31"/>
      <c r="F1368" s="31"/>
      <c r="G1368" s="19" t="e">
        <f t="shared" si="25"/>
        <v>#DIV/0!</v>
      </c>
      <c r="H1368" s="20" t="str">
        <f ca="1">IFERROR(__xludf.DUMMYFUNCTION("IF(COUNTIFS($C$2:C1368, C1368, $A$2:A1368, ""&lt;="" &amp; A1368) &lt; 30, AVERAGEIF($C$2:C1368, C1368, $G$2:G1368), AVERAGE(FILTER($G$2:G1368, $C$2:C1368 = C1368, $A$2:A1368 &gt;= A1368 - 30)))
"),"#DIV/0!")</f>
        <v>#DIV/0!</v>
      </c>
      <c r="I1368" s="20" t="e">
        <f t="shared" ca="1" si="26"/>
        <v>#DIV/0!</v>
      </c>
      <c r="J1368" s="20" t="str">
        <f ca="1">IFERROR(__xludf.DUMMYFUNCTION("IF(OR($I1368=2, $I1368=3), 0, IFERROR(COUNTIFS($C$2:C1368, $C1368, $A$2:A1368, ""&gt;""&amp;IFERROR(MAX(FILTER($A$2:A1368, $C$2:C1368=$C1368, $I$2:I1368&lt;&gt;1)), 0), $I$2:I1368, 1),1))
"),"#DIV/0!")</f>
        <v>#DIV/0!</v>
      </c>
      <c r="K1368" s="7" t="e">
        <f t="shared" ca="1" si="27"/>
        <v>#DIV/0!</v>
      </c>
      <c r="L1368" s="20" t="e">
        <f t="shared" ca="1" si="28"/>
        <v>#DIV/0!</v>
      </c>
      <c r="M1368" s="21" t="e">
        <f t="shared" ca="1" si="29"/>
        <v>#DIV/0!</v>
      </c>
      <c r="N1368" s="20" t="str">
        <f ca="1">IFERROR(__xludf.DUMMYFUNCTION("IF(COUNTIFS($C$2:C1368, C1368, $A$2:A1368, ""&lt;="" &amp; A1368) &lt; 30, STDEV.P(FILTER($G$2:G1368, $C$2:C1368 = C1368)), STDEV.P(FILTER($G$2:G1368, $C$2:C1368 = C1368, $A$2:A1368 &gt;= A1368 - 30)))
"),"#DIV/0!")</f>
        <v>#DIV/0!</v>
      </c>
    </row>
    <row r="1369" spans="1:14" x14ac:dyDescent="0.2">
      <c r="A1369" s="41"/>
      <c r="B1369" s="40"/>
      <c r="C1369" s="40"/>
      <c r="D1369" s="31"/>
      <c r="E1369" s="31"/>
      <c r="F1369" s="31"/>
      <c r="G1369" s="19" t="e">
        <f t="shared" si="25"/>
        <v>#DIV/0!</v>
      </c>
      <c r="H1369" s="20" t="str">
        <f ca="1">IFERROR(__xludf.DUMMYFUNCTION("IF(COUNTIFS($C$2:C1369, C1369, $A$2:A1369, ""&lt;="" &amp; A1369) &lt; 30, AVERAGEIF($C$2:C1369, C1369, $G$2:G1369), AVERAGE(FILTER($G$2:G1369, $C$2:C1369 = C1369, $A$2:A1369 &gt;= A1369 - 30)))
"),"#DIV/0!")</f>
        <v>#DIV/0!</v>
      </c>
      <c r="I1369" s="20" t="e">
        <f t="shared" ca="1" si="26"/>
        <v>#DIV/0!</v>
      </c>
      <c r="J1369" s="20" t="str">
        <f ca="1">IFERROR(__xludf.DUMMYFUNCTION("IF(OR($I1369=2, $I1369=3), 0, IFERROR(COUNTIFS($C$2:C1369, $C1369, $A$2:A1369, ""&gt;""&amp;IFERROR(MAX(FILTER($A$2:A1369, $C$2:C1369=$C1369, $I$2:I1369&lt;&gt;1)), 0), $I$2:I1369, 1),1))
"),"#DIV/0!")</f>
        <v>#DIV/0!</v>
      </c>
      <c r="K1369" s="7" t="e">
        <f t="shared" ca="1" si="27"/>
        <v>#DIV/0!</v>
      </c>
      <c r="L1369" s="20" t="e">
        <f t="shared" ca="1" si="28"/>
        <v>#DIV/0!</v>
      </c>
      <c r="M1369" s="21" t="e">
        <f t="shared" ca="1" si="29"/>
        <v>#DIV/0!</v>
      </c>
      <c r="N1369" s="20" t="str">
        <f ca="1">IFERROR(__xludf.DUMMYFUNCTION("IF(COUNTIFS($C$2:C1369, C1369, $A$2:A1369, ""&lt;="" &amp; A1369) &lt; 30, STDEV.P(FILTER($G$2:G1369, $C$2:C1369 = C1369)), STDEV.P(FILTER($G$2:G1369, $C$2:C1369 = C1369, $A$2:A1369 &gt;= A1369 - 30)))
"),"#DIV/0!")</f>
        <v>#DIV/0!</v>
      </c>
    </row>
    <row r="1370" spans="1:14" x14ac:dyDescent="0.2">
      <c r="A1370" s="41"/>
      <c r="B1370" s="40"/>
      <c r="C1370" s="40"/>
      <c r="D1370" s="31"/>
      <c r="E1370" s="31"/>
      <c r="F1370" s="31"/>
      <c r="G1370" s="19" t="e">
        <f t="shared" si="25"/>
        <v>#DIV/0!</v>
      </c>
      <c r="H1370" s="20" t="str">
        <f ca="1">IFERROR(__xludf.DUMMYFUNCTION("IF(COUNTIFS($C$2:C1370, C1370, $A$2:A1370, ""&lt;="" &amp; A1370) &lt; 30, AVERAGEIF($C$2:C1370, C1370, $G$2:G1370), AVERAGE(FILTER($G$2:G1370, $C$2:C1370 = C1370, $A$2:A1370 &gt;= A1370 - 30)))
"),"#DIV/0!")</f>
        <v>#DIV/0!</v>
      </c>
      <c r="I1370" s="20" t="e">
        <f t="shared" ca="1" si="26"/>
        <v>#DIV/0!</v>
      </c>
      <c r="J1370" s="20" t="str">
        <f ca="1">IFERROR(__xludf.DUMMYFUNCTION("IF(OR($I1370=2, $I1370=3), 0, IFERROR(COUNTIFS($C$2:C1370, $C1370, $A$2:A1370, ""&gt;""&amp;IFERROR(MAX(FILTER($A$2:A1370, $C$2:C1370=$C1370, $I$2:I1370&lt;&gt;1)), 0), $I$2:I1370, 1),1))
"),"#DIV/0!")</f>
        <v>#DIV/0!</v>
      </c>
      <c r="K1370" s="7" t="e">
        <f t="shared" ca="1" si="27"/>
        <v>#DIV/0!</v>
      </c>
      <c r="L1370" s="20" t="e">
        <f t="shared" ca="1" si="28"/>
        <v>#DIV/0!</v>
      </c>
      <c r="M1370" s="21" t="e">
        <f t="shared" ca="1" si="29"/>
        <v>#DIV/0!</v>
      </c>
      <c r="N1370" s="20" t="str">
        <f ca="1">IFERROR(__xludf.DUMMYFUNCTION("IF(COUNTIFS($C$2:C1370, C1370, $A$2:A1370, ""&lt;="" &amp; A1370) &lt; 30, STDEV.P(FILTER($G$2:G1370, $C$2:C1370 = C1370)), STDEV.P(FILTER($G$2:G1370, $C$2:C1370 = C1370, $A$2:A1370 &gt;= A1370 - 30)))
"),"#DIV/0!")</f>
        <v>#DIV/0!</v>
      </c>
    </row>
    <row r="1371" spans="1:14" x14ac:dyDescent="0.2">
      <c r="A1371" s="41"/>
      <c r="B1371" s="40"/>
      <c r="C1371" s="40"/>
      <c r="D1371" s="31"/>
      <c r="E1371" s="31"/>
      <c r="F1371" s="31"/>
      <c r="G1371" s="19" t="e">
        <f t="shared" si="25"/>
        <v>#DIV/0!</v>
      </c>
      <c r="H1371" s="20" t="str">
        <f ca="1">IFERROR(__xludf.DUMMYFUNCTION("IF(COUNTIFS($C$2:C1371, C1371, $A$2:A1371, ""&lt;="" &amp; A1371) &lt; 30, AVERAGEIF($C$2:C1371, C1371, $G$2:G1371), AVERAGE(FILTER($G$2:G1371, $C$2:C1371 = C1371, $A$2:A1371 &gt;= A1371 - 30)))
"),"#DIV/0!")</f>
        <v>#DIV/0!</v>
      </c>
      <c r="I1371" s="20" t="e">
        <f t="shared" ca="1" si="26"/>
        <v>#DIV/0!</v>
      </c>
      <c r="J1371" s="20" t="str">
        <f ca="1">IFERROR(__xludf.DUMMYFUNCTION("IF(OR($I1371=2, $I1371=3), 0, IFERROR(COUNTIFS($C$2:C1371, $C1371, $A$2:A1371, ""&gt;""&amp;IFERROR(MAX(FILTER($A$2:A1371, $C$2:C1371=$C1371, $I$2:I1371&lt;&gt;1)), 0), $I$2:I1371, 1),1))
"),"#DIV/0!")</f>
        <v>#DIV/0!</v>
      </c>
      <c r="K1371" s="7" t="e">
        <f t="shared" ca="1" si="27"/>
        <v>#DIV/0!</v>
      </c>
      <c r="L1371" s="20" t="e">
        <f t="shared" ca="1" si="28"/>
        <v>#DIV/0!</v>
      </c>
      <c r="M1371" s="21" t="e">
        <f t="shared" ca="1" si="29"/>
        <v>#DIV/0!</v>
      </c>
      <c r="N1371" s="20" t="str">
        <f ca="1">IFERROR(__xludf.DUMMYFUNCTION("IF(COUNTIFS($C$2:C1371, C1371, $A$2:A1371, ""&lt;="" &amp; A1371) &lt; 30, STDEV.P(FILTER($G$2:G1371, $C$2:C1371 = C1371)), STDEV.P(FILTER($G$2:G1371, $C$2:C1371 = C1371, $A$2:A1371 &gt;= A1371 - 30)))
"),"#DIV/0!")</f>
        <v>#DIV/0!</v>
      </c>
    </row>
    <row r="1372" spans="1:14" x14ac:dyDescent="0.2">
      <c r="A1372" s="41"/>
      <c r="B1372" s="40"/>
      <c r="C1372" s="40"/>
      <c r="D1372" s="31"/>
      <c r="E1372" s="31"/>
      <c r="F1372" s="31"/>
      <c r="G1372" s="19" t="e">
        <f t="shared" si="25"/>
        <v>#DIV/0!</v>
      </c>
      <c r="H1372" s="20" t="str">
        <f ca="1">IFERROR(__xludf.DUMMYFUNCTION("IF(COUNTIFS($C$2:C1372, C1372, $A$2:A1372, ""&lt;="" &amp; A1372) &lt; 30, AVERAGEIF($C$2:C1372, C1372, $G$2:G1372), AVERAGE(FILTER($G$2:G1372, $C$2:C1372 = C1372, $A$2:A1372 &gt;= A1372 - 30)))
"),"#DIV/0!")</f>
        <v>#DIV/0!</v>
      </c>
      <c r="I1372" s="20" t="e">
        <f t="shared" ca="1" si="26"/>
        <v>#DIV/0!</v>
      </c>
      <c r="J1372" s="20" t="str">
        <f ca="1">IFERROR(__xludf.DUMMYFUNCTION("IF(OR($I1372=2, $I1372=3), 0, IFERROR(COUNTIFS($C$2:C1372, $C1372, $A$2:A1372, ""&gt;""&amp;IFERROR(MAX(FILTER($A$2:A1372, $C$2:C1372=$C1372, $I$2:I1372&lt;&gt;1)), 0), $I$2:I1372, 1),1))
"),"#DIV/0!")</f>
        <v>#DIV/0!</v>
      </c>
      <c r="K1372" s="7" t="e">
        <f t="shared" ca="1" si="27"/>
        <v>#DIV/0!</v>
      </c>
      <c r="L1372" s="20" t="e">
        <f t="shared" ca="1" si="28"/>
        <v>#DIV/0!</v>
      </c>
      <c r="M1372" s="21" t="e">
        <f t="shared" ca="1" si="29"/>
        <v>#DIV/0!</v>
      </c>
      <c r="N1372" s="20" t="str">
        <f ca="1">IFERROR(__xludf.DUMMYFUNCTION("IF(COUNTIFS($C$2:C1372, C1372, $A$2:A1372, ""&lt;="" &amp; A1372) &lt; 30, STDEV.P(FILTER($G$2:G1372, $C$2:C1372 = C1372)), STDEV.P(FILTER($G$2:G1372, $C$2:C1372 = C1372, $A$2:A1372 &gt;= A1372 - 30)))
"),"#DIV/0!")</f>
        <v>#DIV/0!</v>
      </c>
    </row>
    <row r="1373" spans="1:14" x14ac:dyDescent="0.2">
      <c r="A1373" s="41"/>
      <c r="B1373" s="40"/>
      <c r="C1373" s="40"/>
      <c r="D1373" s="31"/>
      <c r="E1373" s="31"/>
      <c r="F1373" s="31"/>
      <c r="G1373" s="19" t="e">
        <f t="shared" si="25"/>
        <v>#DIV/0!</v>
      </c>
      <c r="H1373" s="20" t="str">
        <f ca="1">IFERROR(__xludf.DUMMYFUNCTION("IF(COUNTIFS($C$2:C1373, C1373, $A$2:A1373, ""&lt;="" &amp; A1373) &lt; 30, AVERAGEIF($C$2:C1373, C1373, $G$2:G1373), AVERAGE(FILTER($G$2:G1373, $C$2:C1373 = C1373, $A$2:A1373 &gt;= A1373 - 30)))
"),"#DIV/0!")</f>
        <v>#DIV/0!</v>
      </c>
      <c r="I1373" s="20" t="e">
        <f t="shared" ca="1" si="26"/>
        <v>#DIV/0!</v>
      </c>
      <c r="J1373" s="20" t="str">
        <f ca="1">IFERROR(__xludf.DUMMYFUNCTION("IF(OR($I1373=2, $I1373=3), 0, IFERROR(COUNTIFS($C$2:C1373, $C1373, $A$2:A1373, ""&gt;""&amp;IFERROR(MAX(FILTER($A$2:A1373, $C$2:C1373=$C1373, $I$2:I1373&lt;&gt;1)), 0), $I$2:I1373, 1),1))
"),"#DIV/0!")</f>
        <v>#DIV/0!</v>
      </c>
      <c r="K1373" s="7" t="e">
        <f t="shared" ca="1" si="27"/>
        <v>#DIV/0!</v>
      </c>
      <c r="L1373" s="20" t="e">
        <f t="shared" ca="1" si="28"/>
        <v>#DIV/0!</v>
      </c>
      <c r="M1373" s="21" t="e">
        <f t="shared" ca="1" si="29"/>
        <v>#DIV/0!</v>
      </c>
      <c r="N1373" s="20" t="str">
        <f ca="1">IFERROR(__xludf.DUMMYFUNCTION("IF(COUNTIFS($C$2:C1373, C1373, $A$2:A1373, ""&lt;="" &amp; A1373) &lt; 30, STDEV.P(FILTER($G$2:G1373, $C$2:C1373 = C1373)), STDEV.P(FILTER($G$2:G1373, $C$2:C1373 = C1373, $A$2:A1373 &gt;= A1373 - 30)))
"),"#DIV/0!")</f>
        <v>#DIV/0!</v>
      </c>
    </row>
    <row r="1374" spans="1:14" x14ac:dyDescent="0.2">
      <c r="A1374" s="41"/>
      <c r="B1374" s="40"/>
      <c r="C1374" s="40"/>
      <c r="D1374" s="31"/>
      <c r="E1374" s="31"/>
      <c r="F1374" s="31"/>
      <c r="G1374" s="19" t="e">
        <f t="shared" si="25"/>
        <v>#DIV/0!</v>
      </c>
      <c r="H1374" s="20" t="str">
        <f ca="1">IFERROR(__xludf.DUMMYFUNCTION("IF(COUNTIFS($C$2:C1374, C1374, $A$2:A1374, ""&lt;="" &amp; A1374) &lt; 30, AVERAGEIF($C$2:C1374, C1374, $G$2:G1374), AVERAGE(FILTER($G$2:G1374, $C$2:C1374 = C1374, $A$2:A1374 &gt;= A1374 - 30)))
"),"#DIV/0!")</f>
        <v>#DIV/0!</v>
      </c>
      <c r="I1374" s="20" t="e">
        <f t="shared" ca="1" si="26"/>
        <v>#DIV/0!</v>
      </c>
      <c r="J1374" s="20" t="str">
        <f ca="1">IFERROR(__xludf.DUMMYFUNCTION("IF(OR($I1374=2, $I1374=3), 0, IFERROR(COUNTIFS($C$2:C1374, $C1374, $A$2:A1374, ""&gt;""&amp;IFERROR(MAX(FILTER($A$2:A1374, $C$2:C1374=$C1374, $I$2:I1374&lt;&gt;1)), 0), $I$2:I1374, 1),1))
"),"#DIV/0!")</f>
        <v>#DIV/0!</v>
      </c>
      <c r="K1374" s="7" t="e">
        <f t="shared" ca="1" si="27"/>
        <v>#DIV/0!</v>
      </c>
      <c r="L1374" s="20" t="e">
        <f t="shared" ca="1" si="28"/>
        <v>#DIV/0!</v>
      </c>
      <c r="M1374" s="21" t="e">
        <f t="shared" ca="1" si="29"/>
        <v>#DIV/0!</v>
      </c>
      <c r="N1374" s="20" t="str">
        <f ca="1">IFERROR(__xludf.DUMMYFUNCTION("IF(COUNTIFS($C$2:C1374, C1374, $A$2:A1374, ""&lt;="" &amp; A1374) &lt; 30, STDEV.P(FILTER($G$2:G1374, $C$2:C1374 = C1374)), STDEV.P(FILTER($G$2:G1374, $C$2:C1374 = C1374, $A$2:A1374 &gt;= A1374 - 30)))
"),"#DIV/0!")</f>
        <v>#DIV/0!</v>
      </c>
    </row>
    <row r="1375" spans="1:14" x14ac:dyDescent="0.2">
      <c r="A1375" s="41"/>
      <c r="B1375" s="40"/>
      <c r="C1375" s="40"/>
      <c r="D1375" s="31"/>
      <c r="E1375" s="31"/>
      <c r="F1375" s="31"/>
      <c r="G1375" s="19" t="e">
        <f t="shared" si="25"/>
        <v>#DIV/0!</v>
      </c>
      <c r="H1375" s="20" t="str">
        <f ca="1">IFERROR(__xludf.DUMMYFUNCTION("IF(COUNTIFS($C$2:C1375, C1375, $A$2:A1375, ""&lt;="" &amp; A1375) &lt; 30, AVERAGEIF($C$2:C1375, C1375, $G$2:G1375), AVERAGE(FILTER($G$2:G1375, $C$2:C1375 = C1375, $A$2:A1375 &gt;= A1375 - 30)))
"),"#DIV/0!")</f>
        <v>#DIV/0!</v>
      </c>
      <c r="I1375" s="20" t="e">
        <f t="shared" ca="1" si="26"/>
        <v>#DIV/0!</v>
      </c>
      <c r="J1375" s="20" t="str">
        <f ca="1">IFERROR(__xludf.DUMMYFUNCTION("IF(OR($I1375=2, $I1375=3), 0, IFERROR(COUNTIFS($C$2:C1375, $C1375, $A$2:A1375, ""&gt;""&amp;IFERROR(MAX(FILTER($A$2:A1375, $C$2:C1375=$C1375, $I$2:I1375&lt;&gt;1)), 0), $I$2:I1375, 1),1))
"),"#DIV/0!")</f>
        <v>#DIV/0!</v>
      </c>
      <c r="K1375" s="7" t="e">
        <f t="shared" ca="1" si="27"/>
        <v>#DIV/0!</v>
      </c>
      <c r="L1375" s="20" t="e">
        <f t="shared" ca="1" si="28"/>
        <v>#DIV/0!</v>
      </c>
      <c r="M1375" s="21" t="e">
        <f t="shared" ca="1" si="29"/>
        <v>#DIV/0!</v>
      </c>
      <c r="N1375" s="20" t="str">
        <f ca="1">IFERROR(__xludf.DUMMYFUNCTION("IF(COUNTIFS($C$2:C1375, C1375, $A$2:A1375, ""&lt;="" &amp; A1375) &lt; 30, STDEV.P(FILTER($G$2:G1375, $C$2:C1375 = C1375)), STDEV.P(FILTER($G$2:G1375, $C$2:C1375 = C1375, $A$2:A1375 &gt;= A1375 - 30)))
"),"#DIV/0!")</f>
        <v>#DIV/0!</v>
      </c>
    </row>
    <row r="1376" spans="1:14" x14ac:dyDescent="0.2">
      <c r="A1376" s="41"/>
      <c r="B1376" s="40"/>
      <c r="C1376" s="40"/>
      <c r="D1376" s="31"/>
      <c r="E1376" s="31"/>
      <c r="F1376" s="31"/>
      <c r="G1376" s="19" t="e">
        <f t="shared" si="25"/>
        <v>#DIV/0!</v>
      </c>
      <c r="H1376" s="20" t="str">
        <f ca="1">IFERROR(__xludf.DUMMYFUNCTION("IF(COUNTIFS($C$2:C1376, C1376, $A$2:A1376, ""&lt;="" &amp; A1376) &lt; 30, AVERAGEIF($C$2:C1376, C1376, $G$2:G1376), AVERAGE(FILTER($G$2:G1376, $C$2:C1376 = C1376, $A$2:A1376 &gt;= A1376 - 30)))
"),"#DIV/0!")</f>
        <v>#DIV/0!</v>
      </c>
      <c r="I1376" s="20" t="e">
        <f t="shared" ca="1" si="26"/>
        <v>#DIV/0!</v>
      </c>
      <c r="J1376" s="20" t="str">
        <f ca="1">IFERROR(__xludf.DUMMYFUNCTION("IF(OR($I1376=2, $I1376=3), 0, IFERROR(COUNTIFS($C$2:C1376, $C1376, $A$2:A1376, ""&gt;""&amp;IFERROR(MAX(FILTER($A$2:A1376, $C$2:C1376=$C1376, $I$2:I1376&lt;&gt;1)), 0), $I$2:I1376, 1),1))
"),"#DIV/0!")</f>
        <v>#DIV/0!</v>
      </c>
      <c r="K1376" s="7" t="e">
        <f t="shared" ca="1" si="27"/>
        <v>#DIV/0!</v>
      </c>
      <c r="L1376" s="20" t="e">
        <f t="shared" ca="1" si="28"/>
        <v>#DIV/0!</v>
      </c>
      <c r="M1376" s="21" t="e">
        <f t="shared" ca="1" si="29"/>
        <v>#DIV/0!</v>
      </c>
      <c r="N1376" s="20" t="str">
        <f ca="1">IFERROR(__xludf.DUMMYFUNCTION("IF(COUNTIFS($C$2:C1376, C1376, $A$2:A1376, ""&lt;="" &amp; A1376) &lt; 30, STDEV.P(FILTER($G$2:G1376, $C$2:C1376 = C1376)), STDEV.P(FILTER($G$2:G1376, $C$2:C1376 = C1376, $A$2:A1376 &gt;= A1376 - 30)))
"),"#DIV/0!")</f>
        <v>#DIV/0!</v>
      </c>
    </row>
    <row r="1377" spans="1:14" x14ac:dyDescent="0.2">
      <c r="A1377" s="41"/>
      <c r="B1377" s="40"/>
      <c r="C1377" s="40"/>
      <c r="D1377" s="31"/>
      <c r="E1377" s="31"/>
      <c r="F1377" s="31"/>
      <c r="G1377" s="19" t="e">
        <f t="shared" si="25"/>
        <v>#DIV/0!</v>
      </c>
      <c r="H1377" s="20" t="str">
        <f ca="1">IFERROR(__xludf.DUMMYFUNCTION("IF(COUNTIFS($C$2:C1377, C1377, $A$2:A1377, ""&lt;="" &amp; A1377) &lt; 30, AVERAGEIF($C$2:C1377, C1377, $G$2:G1377), AVERAGE(FILTER($G$2:G1377, $C$2:C1377 = C1377, $A$2:A1377 &gt;= A1377 - 30)))
"),"#DIV/0!")</f>
        <v>#DIV/0!</v>
      </c>
      <c r="I1377" s="20" t="e">
        <f t="shared" ca="1" si="26"/>
        <v>#DIV/0!</v>
      </c>
      <c r="J1377" s="20" t="str">
        <f ca="1">IFERROR(__xludf.DUMMYFUNCTION("IF(OR($I1377=2, $I1377=3), 0, IFERROR(COUNTIFS($C$2:C1377, $C1377, $A$2:A1377, ""&gt;""&amp;IFERROR(MAX(FILTER($A$2:A1377, $C$2:C1377=$C1377, $I$2:I1377&lt;&gt;1)), 0), $I$2:I1377, 1),1))
"),"#DIV/0!")</f>
        <v>#DIV/0!</v>
      </c>
      <c r="K1377" s="7" t="e">
        <f t="shared" ca="1" si="27"/>
        <v>#DIV/0!</v>
      </c>
      <c r="L1377" s="20" t="e">
        <f t="shared" ca="1" si="28"/>
        <v>#DIV/0!</v>
      </c>
      <c r="M1377" s="21" t="e">
        <f t="shared" ca="1" si="29"/>
        <v>#DIV/0!</v>
      </c>
      <c r="N1377" s="20" t="str">
        <f ca="1">IFERROR(__xludf.DUMMYFUNCTION("IF(COUNTIFS($C$2:C1377, C1377, $A$2:A1377, ""&lt;="" &amp; A1377) &lt; 30, STDEV.P(FILTER($G$2:G1377, $C$2:C1377 = C1377)), STDEV.P(FILTER($G$2:G1377, $C$2:C1377 = C1377, $A$2:A1377 &gt;= A1377 - 30)))
"),"#DIV/0!")</f>
        <v>#DIV/0!</v>
      </c>
    </row>
    <row r="1378" spans="1:14" x14ac:dyDescent="0.2">
      <c r="A1378" s="41"/>
      <c r="B1378" s="40"/>
      <c r="C1378" s="40"/>
      <c r="D1378" s="31"/>
      <c r="E1378" s="31"/>
      <c r="F1378" s="31"/>
      <c r="G1378" s="19" t="e">
        <f t="shared" si="25"/>
        <v>#DIV/0!</v>
      </c>
      <c r="H1378" s="20" t="str">
        <f ca="1">IFERROR(__xludf.DUMMYFUNCTION("IF(COUNTIFS($C$2:C1378, C1378, $A$2:A1378, ""&lt;="" &amp; A1378) &lt; 30, AVERAGEIF($C$2:C1378, C1378, $G$2:G1378), AVERAGE(FILTER($G$2:G1378, $C$2:C1378 = C1378, $A$2:A1378 &gt;= A1378 - 30)))
"),"#DIV/0!")</f>
        <v>#DIV/0!</v>
      </c>
      <c r="I1378" s="20" t="e">
        <f t="shared" ca="1" si="26"/>
        <v>#DIV/0!</v>
      </c>
      <c r="J1378" s="20" t="str">
        <f ca="1">IFERROR(__xludf.DUMMYFUNCTION("IF(OR($I1378=2, $I1378=3), 0, IFERROR(COUNTIFS($C$2:C1378, $C1378, $A$2:A1378, ""&gt;""&amp;IFERROR(MAX(FILTER($A$2:A1378, $C$2:C1378=$C1378, $I$2:I1378&lt;&gt;1)), 0), $I$2:I1378, 1),1))
"),"#DIV/0!")</f>
        <v>#DIV/0!</v>
      </c>
      <c r="K1378" s="7" t="e">
        <f t="shared" ca="1" si="27"/>
        <v>#DIV/0!</v>
      </c>
      <c r="L1378" s="20" t="e">
        <f t="shared" ca="1" si="28"/>
        <v>#DIV/0!</v>
      </c>
      <c r="M1378" s="21" t="e">
        <f t="shared" ca="1" si="29"/>
        <v>#DIV/0!</v>
      </c>
      <c r="N1378" s="20" t="str">
        <f ca="1">IFERROR(__xludf.DUMMYFUNCTION("IF(COUNTIFS($C$2:C1378, C1378, $A$2:A1378, ""&lt;="" &amp; A1378) &lt; 30, STDEV.P(FILTER($G$2:G1378, $C$2:C1378 = C1378)), STDEV.P(FILTER($G$2:G1378, $C$2:C1378 = C1378, $A$2:A1378 &gt;= A1378 - 30)))
"),"#DIV/0!")</f>
        <v>#DIV/0!</v>
      </c>
    </row>
    <row r="1379" spans="1:14" x14ac:dyDescent="0.2">
      <c r="A1379" s="41"/>
      <c r="B1379" s="40"/>
      <c r="C1379" s="40"/>
      <c r="D1379" s="31"/>
      <c r="E1379" s="31"/>
      <c r="F1379" s="31"/>
      <c r="G1379" s="19" t="e">
        <f t="shared" si="25"/>
        <v>#DIV/0!</v>
      </c>
      <c r="H1379" s="20" t="str">
        <f ca="1">IFERROR(__xludf.DUMMYFUNCTION("IF(COUNTIFS($C$2:C1379, C1379, $A$2:A1379, ""&lt;="" &amp; A1379) &lt; 30, AVERAGEIF($C$2:C1379, C1379, $G$2:G1379), AVERAGE(FILTER($G$2:G1379, $C$2:C1379 = C1379, $A$2:A1379 &gt;= A1379 - 30)))
"),"#DIV/0!")</f>
        <v>#DIV/0!</v>
      </c>
      <c r="I1379" s="20" t="e">
        <f t="shared" ca="1" si="26"/>
        <v>#DIV/0!</v>
      </c>
      <c r="J1379" s="20" t="str">
        <f ca="1">IFERROR(__xludf.DUMMYFUNCTION("IF(OR($I1379=2, $I1379=3), 0, IFERROR(COUNTIFS($C$2:C1379, $C1379, $A$2:A1379, ""&gt;""&amp;IFERROR(MAX(FILTER($A$2:A1379, $C$2:C1379=$C1379, $I$2:I1379&lt;&gt;1)), 0), $I$2:I1379, 1),1))
"),"#DIV/0!")</f>
        <v>#DIV/0!</v>
      </c>
      <c r="K1379" s="7" t="e">
        <f t="shared" ca="1" si="27"/>
        <v>#DIV/0!</v>
      </c>
      <c r="L1379" s="20" t="e">
        <f t="shared" ca="1" si="28"/>
        <v>#DIV/0!</v>
      </c>
      <c r="M1379" s="21" t="e">
        <f t="shared" ca="1" si="29"/>
        <v>#DIV/0!</v>
      </c>
      <c r="N1379" s="20" t="str">
        <f ca="1">IFERROR(__xludf.DUMMYFUNCTION("IF(COUNTIFS($C$2:C1379, C1379, $A$2:A1379, ""&lt;="" &amp; A1379) &lt; 30, STDEV.P(FILTER($G$2:G1379, $C$2:C1379 = C1379)), STDEV.P(FILTER($G$2:G1379, $C$2:C1379 = C1379, $A$2:A1379 &gt;= A1379 - 30)))
"),"#DIV/0!")</f>
        <v>#DIV/0!</v>
      </c>
    </row>
    <row r="1380" spans="1:14" x14ac:dyDescent="0.2">
      <c r="A1380" s="41"/>
      <c r="B1380" s="40"/>
      <c r="C1380" s="40"/>
      <c r="D1380" s="31"/>
      <c r="E1380" s="31"/>
      <c r="F1380" s="31"/>
      <c r="G1380" s="19" t="e">
        <f t="shared" si="25"/>
        <v>#DIV/0!</v>
      </c>
      <c r="H1380" s="20" t="str">
        <f ca="1">IFERROR(__xludf.DUMMYFUNCTION("IF(COUNTIFS($C$2:C1380, C1380, $A$2:A1380, ""&lt;="" &amp; A1380) &lt; 30, AVERAGEIF($C$2:C1380, C1380, $G$2:G1380), AVERAGE(FILTER($G$2:G1380, $C$2:C1380 = C1380, $A$2:A1380 &gt;= A1380 - 30)))
"),"#DIV/0!")</f>
        <v>#DIV/0!</v>
      </c>
      <c r="I1380" s="20" t="e">
        <f t="shared" ca="1" si="26"/>
        <v>#DIV/0!</v>
      </c>
      <c r="J1380" s="20" t="str">
        <f ca="1">IFERROR(__xludf.DUMMYFUNCTION("IF(OR($I1380=2, $I1380=3), 0, IFERROR(COUNTIFS($C$2:C1380, $C1380, $A$2:A1380, ""&gt;""&amp;IFERROR(MAX(FILTER($A$2:A1380, $C$2:C1380=$C1380, $I$2:I1380&lt;&gt;1)), 0), $I$2:I1380, 1),1))
"),"#DIV/0!")</f>
        <v>#DIV/0!</v>
      </c>
      <c r="K1380" s="7" t="e">
        <f t="shared" ca="1" si="27"/>
        <v>#DIV/0!</v>
      </c>
      <c r="L1380" s="20" t="e">
        <f t="shared" ca="1" si="28"/>
        <v>#DIV/0!</v>
      </c>
      <c r="M1380" s="21" t="e">
        <f t="shared" ca="1" si="29"/>
        <v>#DIV/0!</v>
      </c>
      <c r="N1380" s="20" t="str">
        <f ca="1">IFERROR(__xludf.DUMMYFUNCTION("IF(COUNTIFS($C$2:C1380, C1380, $A$2:A1380, ""&lt;="" &amp; A1380) &lt; 30, STDEV.P(FILTER($G$2:G1380, $C$2:C1380 = C1380)), STDEV.P(FILTER($G$2:G1380, $C$2:C1380 = C1380, $A$2:A1380 &gt;= A1380 - 30)))
"),"#DIV/0!")</f>
        <v>#DIV/0!</v>
      </c>
    </row>
    <row r="1381" spans="1:14" x14ac:dyDescent="0.2">
      <c r="A1381" s="41"/>
      <c r="B1381" s="40"/>
      <c r="C1381" s="40"/>
      <c r="D1381" s="31"/>
      <c r="E1381" s="31"/>
      <c r="F1381" s="31"/>
      <c r="G1381" s="19" t="e">
        <f t="shared" si="25"/>
        <v>#DIV/0!</v>
      </c>
      <c r="H1381" s="20" t="str">
        <f ca="1">IFERROR(__xludf.DUMMYFUNCTION("IF(COUNTIFS($C$2:C1381, C1381, $A$2:A1381, ""&lt;="" &amp; A1381) &lt; 30, AVERAGEIF($C$2:C1381, C1381, $G$2:G1381), AVERAGE(FILTER($G$2:G1381, $C$2:C1381 = C1381, $A$2:A1381 &gt;= A1381 - 30)))
"),"#DIV/0!")</f>
        <v>#DIV/0!</v>
      </c>
      <c r="I1381" s="20" t="e">
        <f t="shared" ca="1" si="26"/>
        <v>#DIV/0!</v>
      </c>
      <c r="J1381" s="20" t="str">
        <f ca="1">IFERROR(__xludf.DUMMYFUNCTION("IF(OR($I1381=2, $I1381=3), 0, IFERROR(COUNTIFS($C$2:C1381, $C1381, $A$2:A1381, ""&gt;""&amp;IFERROR(MAX(FILTER($A$2:A1381, $C$2:C1381=$C1381, $I$2:I1381&lt;&gt;1)), 0), $I$2:I1381, 1),1))
"),"#DIV/0!")</f>
        <v>#DIV/0!</v>
      </c>
      <c r="K1381" s="7" t="e">
        <f t="shared" ca="1" si="27"/>
        <v>#DIV/0!</v>
      </c>
      <c r="L1381" s="20" t="e">
        <f t="shared" ca="1" si="28"/>
        <v>#DIV/0!</v>
      </c>
      <c r="M1381" s="21" t="e">
        <f t="shared" ca="1" si="29"/>
        <v>#DIV/0!</v>
      </c>
      <c r="N1381" s="20" t="str">
        <f ca="1">IFERROR(__xludf.DUMMYFUNCTION("IF(COUNTIFS($C$2:C1381, C1381, $A$2:A1381, ""&lt;="" &amp; A1381) &lt; 30, STDEV.P(FILTER($G$2:G1381, $C$2:C1381 = C1381)), STDEV.P(FILTER($G$2:G1381, $C$2:C1381 = C1381, $A$2:A1381 &gt;= A1381 - 30)))
"),"#DIV/0!")</f>
        <v>#DIV/0!</v>
      </c>
    </row>
    <row r="1382" spans="1:14" x14ac:dyDescent="0.2">
      <c r="A1382" s="41"/>
      <c r="B1382" s="40"/>
      <c r="C1382" s="40"/>
      <c r="D1382" s="31"/>
      <c r="E1382" s="31"/>
      <c r="F1382" s="31"/>
      <c r="G1382" s="19" t="e">
        <f t="shared" si="25"/>
        <v>#DIV/0!</v>
      </c>
      <c r="H1382" s="20" t="str">
        <f ca="1">IFERROR(__xludf.DUMMYFUNCTION("IF(COUNTIFS($C$2:C1382, C1382, $A$2:A1382, ""&lt;="" &amp; A1382) &lt; 30, AVERAGEIF($C$2:C1382, C1382, $G$2:G1382), AVERAGE(FILTER($G$2:G1382, $C$2:C1382 = C1382, $A$2:A1382 &gt;= A1382 - 30)))
"),"#DIV/0!")</f>
        <v>#DIV/0!</v>
      </c>
      <c r="I1382" s="20" t="e">
        <f t="shared" ca="1" si="26"/>
        <v>#DIV/0!</v>
      </c>
      <c r="J1382" s="20" t="str">
        <f ca="1">IFERROR(__xludf.DUMMYFUNCTION("IF(OR($I1382=2, $I1382=3), 0, IFERROR(COUNTIFS($C$2:C1382, $C1382, $A$2:A1382, ""&gt;""&amp;IFERROR(MAX(FILTER($A$2:A1382, $C$2:C1382=$C1382, $I$2:I1382&lt;&gt;1)), 0), $I$2:I1382, 1),1))
"),"#DIV/0!")</f>
        <v>#DIV/0!</v>
      </c>
      <c r="K1382" s="7" t="e">
        <f t="shared" ca="1" si="27"/>
        <v>#DIV/0!</v>
      </c>
      <c r="L1382" s="20" t="e">
        <f t="shared" ca="1" si="28"/>
        <v>#DIV/0!</v>
      </c>
      <c r="M1382" s="21" t="e">
        <f t="shared" ca="1" si="29"/>
        <v>#DIV/0!</v>
      </c>
      <c r="N1382" s="20" t="str">
        <f ca="1">IFERROR(__xludf.DUMMYFUNCTION("IF(COUNTIFS($C$2:C1382, C1382, $A$2:A1382, ""&lt;="" &amp; A1382) &lt; 30, STDEV.P(FILTER($G$2:G1382, $C$2:C1382 = C1382)), STDEV.P(FILTER($G$2:G1382, $C$2:C1382 = C1382, $A$2:A1382 &gt;= A1382 - 30)))
"),"#DIV/0!")</f>
        <v>#DIV/0!</v>
      </c>
    </row>
    <row r="1383" spans="1:14" x14ac:dyDescent="0.2">
      <c r="A1383" s="41"/>
      <c r="B1383" s="40"/>
      <c r="C1383" s="40"/>
      <c r="D1383" s="31"/>
      <c r="E1383" s="31"/>
      <c r="F1383" s="31"/>
      <c r="G1383" s="19" t="e">
        <f t="shared" si="25"/>
        <v>#DIV/0!</v>
      </c>
      <c r="H1383" s="20" t="str">
        <f ca="1">IFERROR(__xludf.DUMMYFUNCTION("IF(COUNTIFS($C$2:C1383, C1383, $A$2:A1383, ""&lt;="" &amp; A1383) &lt; 30, AVERAGEIF($C$2:C1383, C1383, $G$2:G1383), AVERAGE(FILTER($G$2:G1383, $C$2:C1383 = C1383, $A$2:A1383 &gt;= A1383 - 30)))
"),"#DIV/0!")</f>
        <v>#DIV/0!</v>
      </c>
      <c r="I1383" s="20" t="e">
        <f t="shared" ca="1" si="26"/>
        <v>#DIV/0!</v>
      </c>
      <c r="J1383" s="20" t="str">
        <f ca="1">IFERROR(__xludf.DUMMYFUNCTION("IF(OR($I1383=2, $I1383=3), 0, IFERROR(COUNTIFS($C$2:C1383, $C1383, $A$2:A1383, ""&gt;""&amp;IFERROR(MAX(FILTER($A$2:A1383, $C$2:C1383=$C1383, $I$2:I1383&lt;&gt;1)), 0), $I$2:I1383, 1),1))
"),"#DIV/0!")</f>
        <v>#DIV/0!</v>
      </c>
      <c r="K1383" s="7" t="e">
        <f t="shared" ca="1" si="27"/>
        <v>#DIV/0!</v>
      </c>
      <c r="L1383" s="20" t="e">
        <f t="shared" ca="1" si="28"/>
        <v>#DIV/0!</v>
      </c>
      <c r="M1383" s="21" t="e">
        <f t="shared" ca="1" si="29"/>
        <v>#DIV/0!</v>
      </c>
      <c r="N1383" s="20" t="str">
        <f ca="1">IFERROR(__xludf.DUMMYFUNCTION("IF(COUNTIFS($C$2:C1383, C1383, $A$2:A1383, ""&lt;="" &amp; A1383) &lt; 30, STDEV.P(FILTER($G$2:G1383, $C$2:C1383 = C1383)), STDEV.P(FILTER($G$2:G1383, $C$2:C1383 = C1383, $A$2:A1383 &gt;= A1383 - 30)))
"),"#DIV/0!")</f>
        <v>#DIV/0!</v>
      </c>
    </row>
    <row r="1384" spans="1:14" x14ac:dyDescent="0.2">
      <c r="A1384" s="41"/>
      <c r="B1384" s="40"/>
      <c r="C1384" s="40"/>
      <c r="D1384" s="31"/>
      <c r="E1384" s="31"/>
      <c r="F1384" s="31"/>
      <c r="G1384" s="19" t="e">
        <f t="shared" si="25"/>
        <v>#DIV/0!</v>
      </c>
      <c r="H1384" s="20" t="str">
        <f ca="1">IFERROR(__xludf.DUMMYFUNCTION("IF(COUNTIFS($C$2:C1384, C1384, $A$2:A1384, ""&lt;="" &amp; A1384) &lt; 30, AVERAGEIF($C$2:C1384, C1384, $G$2:G1384), AVERAGE(FILTER($G$2:G1384, $C$2:C1384 = C1384, $A$2:A1384 &gt;= A1384 - 30)))
"),"#DIV/0!")</f>
        <v>#DIV/0!</v>
      </c>
      <c r="I1384" s="20" t="e">
        <f t="shared" ca="1" si="26"/>
        <v>#DIV/0!</v>
      </c>
      <c r="J1384" s="20" t="str">
        <f ca="1">IFERROR(__xludf.DUMMYFUNCTION("IF(OR($I1384=2, $I1384=3), 0, IFERROR(COUNTIFS($C$2:C1384, $C1384, $A$2:A1384, ""&gt;""&amp;IFERROR(MAX(FILTER($A$2:A1384, $C$2:C1384=$C1384, $I$2:I1384&lt;&gt;1)), 0), $I$2:I1384, 1),1))
"),"#DIV/0!")</f>
        <v>#DIV/0!</v>
      </c>
      <c r="K1384" s="7" t="e">
        <f t="shared" ca="1" si="27"/>
        <v>#DIV/0!</v>
      </c>
      <c r="L1384" s="20" t="e">
        <f t="shared" ca="1" si="28"/>
        <v>#DIV/0!</v>
      </c>
      <c r="M1384" s="21" t="e">
        <f t="shared" ca="1" si="29"/>
        <v>#DIV/0!</v>
      </c>
      <c r="N1384" s="20" t="str">
        <f ca="1">IFERROR(__xludf.DUMMYFUNCTION("IF(COUNTIFS($C$2:C1384, C1384, $A$2:A1384, ""&lt;="" &amp; A1384) &lt; 30, STDEV.P(FILTER($G$2:G1384, $C$2:C1384 = C1384)), STDEV.P(FILTER($G$2:G1384, $C$2:C1384 = C1384, $A$2:A1384 &gt;= A1384 - 30)))
"),"#DIV/0!")</f>
        <v>#DIV/0!</v>
      </c>
    </row>
    <row r="1385" spans="1:14" x14ac:dyDescent="0.2">
      <c r="A1385" s="41"/>
      <c r="B1385" s="40"/>
      <c r="C1385" s="40"/>
      <c r="D1385" s="31"/>
      <c r="E1385" s="31"/>
      <c r="F1385" s="31"/>
      <c r="G1385" s="19" t="e">
        <f t="shared" si="25"/>
        <v>#DIV/0!</v>
      </c>
      <c r="H1385" s="20" t="str">
        <f ca="1">IFERROR(__xludf.DUMMYFUNCTION("IF(COUNTIFS($C$2:C1385, C1385, $A$2:A1385, ""&lt;="" &amp; A1385) &lt; 30, AVERAGEIF($C$2:C1385, C1385, $G$2:G1385), AVERAGE(FILTER($G$2:G1385, $C$2:C1385 = C1385, $A$2:A1385 &gt;= A1385 - 30)))
"),"#DIV/0!")</f>
        <v>#DIV/0!</v>
      </c>
      <c r="I1385" s="20" t="e">
        <f t="shared" ca="1" si="26"/>
        <v>#DIV/0!</v>
      </c>
      <c r="J1385" s="20" t="str">
        <f ca="1">IFERROR(__xludf.DUMMYFUNCTION("IF(OR($I1385=2, $I1385=3), 0, IFERROR(COUNTIFS($C$2:C1385, $C1385, $A$2:A1385, ""&gt;""&amp;IFERROR(MAX(FILTER($A$2:A1385, $C$2:C1385=$C1385, $I$2:I1385&lt;&gt;1)), 0), $I$2:I1385, 1),1))
"),"#DIV/0!")</f>
        <v>#DIV/0!</v>
      </c>
      <c r="K1385" s="7" t="e">
        <f t="shared" ca="1" si="27"/>
        <v>#DIV/0!</v>
      </c>
      <c r="L1385" s="20" t="e">
        <f t="shared" ca="1" si="28"/>
        <v>#DIV/0!</v>
      </c>
      <c r="M1385" s="21" t="e">
        <f t="shared" ca="1" si="29"/>
        <v>#DIV/0!</v>
      </c>
      <c r="N1385" s="20" t="str">
        <f ca="1">IFERROR(__xludf.DUMMYFUNCTION("IF(COUNTIFS($C$2:C1385, C1385, $A$2:A1385, ""&lt;="" &amp; A1385) &lt; 30, STDEV.P(FILTER($G$2:G1385, $C$2:C1385 = C1385)), STDEV.P(FILTER($G$2:G1385, $C$2:C1385 = C1385, $A$2:A1385 &gt;= A1385 - 30)))
"),"#DIV/0!")</f>
        <v>#DIV/0!</v>
      </c>
    </row>
    <row r="1386" spans="1:14" x14ac:dyDescent="0.2">
      <c r="A1386" s="41"/>
      <c r="B1386" s="40"/>
      <c r="C1386" s="40"/>
      <c r="D1386" s="31"/>
      <c r="E1386" s="31"/>
      <c r="F1386" s="31"/>
      <c r="G1386" s="19" t="e">
        <f t="shared" si="25"/>
        <v>#DIV/0!</v>
      </c>
      <c r="H1386" s="20" t="str">
        <f ca="1">IFERROR(__xludf.DUMMYFUNCTION("IF(COUNTIFS($C$2:C1386, C1386, $A$2:A1386, ""&lt;="" &amp; A1386) &lt; 30, AVERAGEIF($C$2:C1386, C1386, $G$2:G1386), AVERAGE(FILTER($G$2:G1386, $C$2:C1386 = C1386, $A$2:A1386 &gt;= A1386 - 30)))
"),"#DIV/0!")</f>
        <v>#DIV/0!</v>
      </c>
      <c r="I1386" s="20" t="e">
        <f t="shared" ca="1" si="26"/>
        <v>#DIV/0!</v>
      </c>
      <c r="J1386" s="20" t="str">
        <f ca="1">IFERROR(__xludf.DUMMYFUNCTION("IF(OR($I1386=2, $I1386=3), 0, IFERROR(COUNTIFS($C$2:C1386, $C1386, $A$2:A1386, ""&gt;""&amp;IFERROR(MAX(FILTER($A$2:A1386, $C$2:C1386=$C1386, $I$2:I1386&lt;&gt;1)), 0), $I$2:I1386, 1),1))
"),"#DIV/0!")</f>
        <v>#DIV/0!</v>
      </c>
      <c r="K1386" s="7" t="e">
        <f t="shared" ca="1" si="27"/>
        <v>#DIV/0!</v>
      </c>
      <c r="L1386" s="20" t="e">
        <f t="shared" ca="1" si="28"/>
        <v>#DIV/0!</v>
      </c>
      <c r="M1386" s="21" t="e">
        <f t="shared" ca="1" si="29"/>
        <v>#DIV/0!</v>
      </c>
      <c r="N1386" s="20" t="str">
        <f ca="1">IFERROR(__xludf.DUMMYFUNCTION("IF(COUNTIFS($C$2:C1386, C1386, $A$2:A1386, ""&lt;="" &amp; A1386) &lt; 30, STDEV.P(FILTER($G$2:G1386, $C$2:C1386 = C1386)), STDEV.P(FILTER($G$2:G1386, $C$2:C1386 = C1386, $A$2:A1386 &gt;= A1386 - 30)))
"),"#DIV/0!")</f>
        <v>#DIV/0!</v>
      </c>
    </row>
    <row r="1387" spans="1:14" x14ac:dyDescent="0.2">
      <c r="A1387" s="41"/>
      <c r="B1387" s="40"/>
      <c r="C1387" s="40"/>
      <c r="D1387" s="31"/>
      <c r="E1387" s="31"/>
      <c r="F1387" s="31"/>
      <c r="G1387" s="19" t="e">
        <f t="shared" si="25"/>
        <v>#DIV/0!</v>
      </c>
      <c r="H1387" s="20" t="str">
        <f ca="1">IFERROR(__xludf.DUMMYFUNCTION("IF(COUNTIFS($C$2:C1387, C1387, $A$2:A1387, ""&lt;="" &amp; A1387) &lt; 30, AVERAGEIF($C$2:C1387, C1387, $G$2:G1387), AVERAGE(FILTER($G$2:G1387, $C$2:C1387 = C1387, $A$2:A1387 &gt;= A1387 - 30)))
"),"#DIV/0!")</f>
        <v>#DIV/0!</v>
      </c>
      <c r="I1387" s="20" t="e">
        <f t="shared" ca="1" si="26"/>
        <v>#DIV/0!</v>
      </c>
      <c r="J1387" s="20" t="str">
        <f ca="1">IFERROR(__xludf.DUMMYFUNCTION("IF(OR($I1387=2, $I1387=3), 0, IFERROR(COUNTIFS($C$2:C1387, $C1387, $A$2:A1387, ""&gt;""&amp;IFERROR(MAX(FILTER($A$2:A1387, $C$2:C1387=$C1387, $I$2:I1387&lt;&gt;1)), 0), $I$2:I1387, 1),1))
"),"#DIV/0!")</f>
        <v>#DIV/0!</v>
      </c>
      <c r="K1387" s="7" t="e">
        <f t="shared" ca="1" si="27"/>
        <v>#DIV/0!</v>
      </c>
      <c r="L1387" s="20" t="e">
        <f t="shared" ca="1" si="28"/>
        <v>#DIV/0!</v>
      </c>
      <c r="M1387" s="21" t="e">
        <f t="shared" ca="1" si="29"/>
        <v>#DIV/0!</v>
      </c>
      <c r="N1387" s="20" t="str">
        <f ca="1">IFERROR(__xludf.DUMMYFUNCTION("IF(COUNTIFS($C$2:C1387, C1387, $A$2:A1387, ""&lt;="" &amp; A1387) &lt; 30, STDEV.P(FILTER($G$2:G1387, $C$2:C1387 = C1387)), STDEV.P(FILTER($G$2:G1387, $C$2:C1387 = C1387, $A$2:A1387 &gt;= A1387 - 30)))
"),"#DIV/0!")</f>
        <v>#DIV/0!</v>
      </c>
    </row>
    <row r="1388" spans="1:14" x14ac:dyDescent="0.2">
      <c r="A1388" s="41"/>
      <c r="B1388" s="40"/>
      <c r="C1388" s="40"/>
      <c r="D1388" s="31"/>
      <c r="E1388" s="31"/>
      <c r="F1388" s="31"/>
      <c r="G1388" s="19" t="e">
        <f t="shared" si="25"/>
        <v>#DIV/0!</v>
      </c>
      <c r="H1388" s="20" t="str">
        <f ca="1">IFERROR(__xludf.DUMMYFUNCTION("IF(COUNTIFS($C$2:C1388, C1388, $A$2:A1388, ""&lt;="" &amp; A1388) &lt; 30, AVERAGEIF($C$2:C1388, C1388, $G$2:G1388), AVERAGE(FILTER($G$2:G1388, $C$2:C1388 = C1388, $A$2:A1388 &gt;= A1388 - 30)))
"),"#DIV/0!")</f>
        <v>#DIV/0!</v>
      </c>
      <c r="I1388" s="20" t="e">
        <f t="shared" ca="1" si="26"/>
        <v>#DIV/0!</v>
      </c>
      <c r="J1388" s="20" t="str">
        <f ca="1">IFERROR(__xludf.DUMMYFUNCTION("IF(OR($I1388=2, $I1388=3), 0, IFERROR(COUNTIFS($C$2:C1388, $C1388, $A$2:A1388, ""&gt;""&amp;IFERROR(MAX(FILTER($A$2:A1388, $C$2:C1388=$C1388, $I$2:I1388&lt;&gt;1)), 0), $I$2:I1388, 1),1))
"),"#DIV/0!")</f>
        <v>#DIV/0!</v>
      </c>
      <c r="K1388" s="7" t="e">
        <f t="shared" ca="1" si="27"/>
        <v>#DIV/0!</v>
      </c>
      <c r="L1388" s="20" t="e">
        <f t="shared" ca="1" si="28"/>
        <v>#DIV/0!</v>
      </c>
      <c r="M1388" s="21" t="e">
        <f t="shared" ca="1" si="29"/>
        <v>#DIV/0!</v>
      </c>
      <c r="N1388" s="20" t="str">
        <f ca="1">IFERROR(__xludf.DUMMYFUNCTION("IF(COUNTIFS($C$2:C1388, C1388, $A$2:A1388, ""&lt;="" &amp; A1388) &lt; 30, STDEV.P(FILTER($G$2:G1388, $C$2:C1388 = C1388)), STDEV.P(FILTER($G$2:G1388, $C$2:C1388 = C1388, $A$2:A1388 &gt;= A1388 - 30)))
"),"#DIV/0!")</f>
        <v>#DIV/0!</v>
      </c>
    </row>
    <row r="1389" spans="1:14" x14ac:dyDescent="0.2">
      <c r="A1389" s="41"/>
      <c r="B1389" s="40"/>
      <c r="C1389" s="40"/>
      <c r="D1389" s="31"/>
      <c r="E1389" s="31"/>
      <c r="F1389" s="31"/>
      <c r="G1389" s="19" t="e">
        <f t="shared" si="25"/>
        <v>#DIV/0!</v>
      </c>
      <c r="H1389" s="20" t="str">
        <f ca="1">IFERROR(__xludf.DUMMYFUNCTION("IF(COUNTIFS($C$2:C1389, C1389, $A$2:A1389, ""&lt;="" &amp; A1389) &lt; 30, AVERAGEIF($C$2:C1389, C1389, $G$2:G1389), AVERAGE(FILTER($G$2:G1389, $C$2:C1389 = C1389, $A$2:A1389 &gt;= A1389 - 30)))
"),"#DIV/0!")</f>
        <v>#DIV/0!</v>
      </c>
      <c r="I1389" s="20" t="e">
        <f t="shared" ca="1" si="26"/>
        <v>#DIV/0!</v>
      </c>
      <c r="J1389" s="20" t="str">
        <f ca="1">IFERROR(__xludf.DUMMYFUNCTION("IF(OR($I1389=2, $I1389=3), 0, IFERROR(COUNTIFS($C$2:C1389, $C1389, $A$2:A1389, ""&gt;""&amp;IFERROR(MAX(FILTER($A$2:A1389, $C$2:C1389=$C1389, $I$2:I1389&lt;&gt;1)), 0), $I$2:I1389, 1),1))
"),"#DIV/0!")</f>
        <v>#DIV/0!</v>
      </c>
      <c r="K1389" s="7" t="e">
        <f t="shared" ca="1" si="27"/>
        <v>#DIV/0!</v>
      </c>
      <c r="L1389" s="20" t="e">
        <f t="shared" ca="1" si="28"/>
        <v>#DIV/0!</v>
      </c>
      <c r="M1389" s="21" t="e">
        <f t="shared" ca="1" si="29"/>
        <v>#DIV/0!</v>
      </c>
      <c r="N1389" s="20" t="str">
        <f ca="1">IFERROR(__xludf.DUMMYFUNCTION("IF(COUNTIFS($C$2:C1389, C1389, $A$2:A1389, ""&lt;="" &amp; A1389) &lt; 30, STDEV.P(FILTER($G$2:G1389, $C$2:C1389 = C1389)), STDEV.P(FILTER($G$2:G1389, $C$2:C1389 = C1389, $A$2:A1389 &gt;= A1389 - 30)))
"),"#DIV/0!")</f>
        <v>#DIV/0!</v>
      </c>
    </row>
    <row r="1390" spans="1:14" x14ac:dyDescent="0.2">
      <c r="A1390" s="41"/>
      <c r="B1390" s="40"/>
      <c r="C1390" s="40"/>
      <c r="D1390" s="31"/>
      <c r="E1390" s="31"/>
      <c r="F1390" s="31"/>
      <c r="G1390" s="19" t="e">
        <f t="shared" si="25"/>
        <v>#DIV/0!</v>
      </c>
      <c r="H1390" s="20" t="str">
        <f ca="1">IFERROR(__xludf.DUMMYFUNCTION("IF(COUNTIFS($C$2:C1390, C1390, $A$2:A1390, ""&lt;="" &amp; A1390) &lt; 30, AVERAGEIF($C$2:C1390, C1390, $G$2:G1390), AVERAGE(FILTER($G$2:G1390, $C$2:C1390 = C1390, $A$2:A1390 &gt;= A1390 - 30)))
"),"#DIV/0!")</f>
        <v>#DIV/0!</v>
      </c>
      <c r="I1390" s="20" t="e">
        <f t="shared" ca="1" si="26"/>
        <v>#DIV/0!</v>
      </c>
      <c r="J1390" s="20" t="str">
        <f ca="1">IFERROR(__xludf.DUMMYFUNCTION("IF(OR($I1390=2, $I1390=3), 0, IFERROR(COUNTIFS($C$2:C1390, $C1390, $A$2:A1390, ""&gt;""&amp;IFERROR(MAX(FILTER($A$2:A1390, $C$2:C1390=$C1390, $I$2:I1390&lt;&gt;1)), 0), $I$2:I1390, 1),1))
"),"#DIV/0!")</f>
        <v>#DIV/0!</v>
      </c>
      <c r="K1390" s="7" t="e">
        <f t="shared" ca="1" si="27"/>
        <v>#DIV/0!</v>
      </c>
      <c r="L1390" s="20" t="e">
        <f t="shared" ca="1" si="28"/>
        <v>#DIV/0!</v>
      </c>
      <c r="M1390" s="21" t="e">
        <f t="shared" ca="1" si="29"/>
        <v>#DIV/0!</v>
      </c>
      <c r="N1390" s="20" t="str">
        <f ca="1">IFERROR(__xludf.DUMMYFUNCTION("IF(COUNTIFS($C$2:C1390, C1390, $A$2:A1390, ""&lt;="" &amp; A1390) &lt; 30, STDEV.P(FILTER($G$2:G1390, $C$2:C1390 = C1390)), STDEV.P(FILTER($G$2:G1390, $C$2:C1390 = C1390, $A$2:A1390 &gt;= A1390 - 30)))
"),"#DIV/0!")</f>
        <v>#DIV/0!</v>
      </c>
    </row>
    <row r="1391" spans="1:14" x14ac:dyDescent="0.2">
      <c r="A1391" s="41"/>
      <c r="B1391" s="40"/>
      <c r="C1391" s="40"/>
      <c r="D1391" s="31"/>
      <c r="E1391" s="31"/>
      <c r="F1391" s="31"/>
      <c r="G1391" s="19" t="e">
        <f t="shared" si="25"/>
        <v>#DIV/0!</v>
      </c>
      <c r="H1391" s="20" t="str">
        <f ca="1">IFERROR(__xludf.DUMMYFUNCTION("IF(COUNTIFS($C$2:C1391, C1391, $A$2:A1391, ""&lt;="" &amp; A1391) &lt; 30, AVERAGEIF($C$2:C1391, C1391, $G$2:G1391), AVERAGE(FILTER($G$2:G1391, $C$2:C1391 = C1391, $A$2:A1391 &gt;= A1391 - 30)))
"),"#DIV/0!")</f>
        <v>#DIV/0!</v>
      </c>
      <c r="I1391" s="20" t="e">
        <f t="shared" ca="1" si="26"/>
        <v>#DIV/0!</v>
      </c>
      <c r="J1391" s="20" t="str">
        <f ca="1">IFERROR(__xludf.DUMMYFUNCTION("IF(OR($I1391=2, $I1391=3), 0, IFERROR(COUNTIFS($C$2:C1391, $C1391, $A$2:A1391, ""&gt;""&amp;IFERROR(MAX(FILTER($A$2:A1391, $C$2:C1391=$C1391, $I$2:I1391&lt;&gt;1)), 0), $I$2:I1391, 1),1))
"),"#DIV/0!")</f>
        <v>#DIV/0!</v>
      </c>
      <c r="K1391" s="7" t="e">
        <f t="shared" ca="1" si="27"/>
        <v>#DIV/0!</v>
      </c>
      <c r="L1391" s="20" t="e">
        <f t="shared" ca="1" si="28"/>
        <v>#DIV/0!</v>
      </c>
      <c r="M1391" s="21" t="e">
        <f t="shared" ca="1" si="29"/>
        <v>#DIV/0!</v>
      </c>
      <c r="N1391" s="20" t="str">
        <f ca="1">IFERROR(__xludf.DUMMYFUNCTION("IF(COUNTIFS($C$2:C1391, C1391, $A$2:A1391, ""&lt;="" &amp; A1391) &lt; 30, STDEV.P(FILTER($G$2:G1391, $C$2:C1391 = C1391)), STDEV.P(FILTER($G$2:G1391, $C$2:C1391 = C1391, $A$2:A1391 &gt;= A1391 - 30)))
"),"#DIV/0!")</f>
        <v>#DIV/0!</v>
      </c>
    </row>
    <row r="1392" spans="1:14" x14ac:dyDescent="0.2">
      <c r="A1392" s="41"/>
      <c r="B1392" s="40"/>
      <c r="C1392" s="40"/>
      <c r="D1392" s="31"/>
      <c r="E1392" s="31"/>
      <c r="F1392" s="31"/>
      <c r="G1392" s="19" t="e">
        <f t="shared" si="25"/>
        <v>#DIV/0!</v>
      </c>
      <c r="H1392" s="20" t="str">
        <f ca="1">IFERROR(__xludf.DUMMYFUNCTION("IF(COUNTIFS($C$2:C1392, C1392, $A$2:A1392, ""&lt;="" &amp; A1392) &lt; 30, AVERAGEIF($C$2:C1392, C1392, $G$2:G1392), AVERAGE(FILTER($G$2:G1392, $C$2:C1392 = C1392, $A$2:A1392 &gt;= A1392 - 30)))
"),"#DIV/0!")</f>
        <v>#DIV/0!</v>
      </c>
      <c r="I1392" s="20" t="e">
        <f t="shared" ca="1" si="26"/>
        <v>#DIV/0!</v>
      </c>
      <c r="J1392" s="20" t="str">
        <f ca="1">IFERROR(__xludf.DUMMYFUNCTION("IF(OR($I1392=2, $I1392=3), 0, IFERROR(COUNTIFS($C$2:C1392, $C1392, $A$2:A1392, ""&gt;""&amp;IFERROR(MAX(FILTER($A$2:A1392, $C$2:C1392=$C1392, $I$2:I1392&lt;&gt;1)), 0), $I$2:I1392, 1),1))
"),"#DIV/0!")</f>
        <v>#DIV/0!</v>
      </c>
      <c r="K1392" s="7" t="e">
        <f t="shared" ca="1" si="27"/>
        <v>#DIV/0!</v>
      </c>
      <c r="L1392" s="20" t="e">
        <f t="shared" ca="1" si="28"/>
        <v>#DIV/0!</v>
      </c>
      <c r="M1392" s="21" t="e">
        <f t="shared" ca="1" si="29"/>
        <v>#DIV/0!</v>
      </c>
      <c r="N1392" s="20" t="str">
        <f ca="1">IFERROR(__xludf.DUMMYFUNCTION("IF(COUNTIFS($C$2:C1392, C1392, $A$2:A1392, ""&lt;="" &amp; A1392) &lt; 30, STDEV.P(FILTER($G$2:G1392, $C$2:C1392 = C1392)), STDEV.P(FILTER($G$2:G1392, $C$2:C1392 = C1392, $A$2:A1392 &gt;= A1392 - 30)))
"),"#DIV/0!")</f>
        <v>#DIV/0!</v>
      </c>
    </row>
    <row r="1393" spans="1:14" x14ac:dyDescent="0.2">
      <c r="A1393" s="41"/>
      <c r="B1393" s="40"/>
      <c r="C1393" s="40"/>
      <c r="D1393" s="31"/>
      <c r="E1393" s="31"/>
      <c r="F1393" s="31"/>
      <c r="G1393" s="19" t="e">
        <f t="shared" si="25"/>
        <v>#DIV/0!</v>
      </c>
      <c r="H1393" s="20" t="str">
        <f ca="1">IFERROR(__xludf.DUMMYFUNCTION("IF(COUNTIFS($C$2:C1393, C1393, $A$2:A1393, ""&lt;="" &amp; A1393) &lt; 30, AVERAGEIF($C$2:C1393, C1393, $G$2:G1393), AVERAGE(FILTER($G$2:G1393, $C$2:C1393 = C1393, $A$2:A1393 &gt;= A1393 - 30)))
"),"#DIV/0!")</f>
        <v>#DIV/0!</v>
      </c>
      <c r="I1393" s="20" t="e">
        <f t="shared" ca="1" si="26"/>
        <v>#DIV/0!</v>
      </c>
      <c r="J1393" s="20" t="str">
        <f ca="1">IFERROR(__xludf.DUMMYFUNCTION("IF(OR($I1393=2, $I1393=3), 0, IFERROR(COUNTIFS($C$2:C1393, $C1393, $A$2:A1393, ""&gt;""&amp;IFERROR(MAX(FILTER($A$2:A1393, $C$2:C1393=$C1393, $I$2:I1393&lt;&gt;1)), 0), $I$2:I1393, 1),1))
"),"#DIV/0!")</f>
        <v>#DIV/0!</v>
      </c>
      <c r="K1393" s="7" t="e">
        <f t="shared" ca="1" si="27"/>
        <v>#DIV/0!</v>
      </c>
      <c r="L1393" s="20" t="e">
        <f t="shared" ca="1" si="28"/>
        <v>#DIV/0!</v>
      </c>
      <c r="M1393" s="21" t="e">
        <f t="shared" ca="1" si="29"/>
        <v>#DIV/0!</v>
      </c>
      <c r="N1393" s="20" t="str">
        <f ca="1">IFERROR(__xludf.DUMMYFUNCTION("IF(COUNTIFS($C$2:C1393, C1393, $A$2:A1393, ""&lt;="" &amp; A1393) &lt; 30, STDEV.P(FILTER($G$2:G1393, $C$2:C1393 = C1393)), STDEV.P(FILTER($G$2:G1393, $C$2:C1393 = C1393, $A$2:A1393 &gt;= A1393 - 30)))
"),"#DIV/0!")</f>
        <v>#DIV/0!</v>
      </c>
    </row>
    <row r="1394" spans="1:14" x14ac:dyDescent="0.2">
      <c r="A1394" s="41"/>
      <c r="B1394" s="40"/>
      <c r="C1394" s="40"/>
      <c r="D1394" s="31"/>
      <c r="E1394" s="31"/>
      <c r="F1394" s="31"/>
      <c r="G1394" s="19" t="e">
        <f t="shared" si="25"/>
        <v>#DIV/0!</v>
      </c>
      <c r="H1394" s="20" t="str">
        <f ca="1">IFERROR(__xludf.DUMMYFUNCTION("IF(COUNTIFS($C$2:C1394, C1394, $A$2:A1394, ""&lt;="" &amp; A1394) &lt; 30, AVERAGEIF($C$2:C1394, C1394, $G$2:G1394), AVERAGE(FILTER($G$2:G1394, $C$2:C1394 = C1394, $A$2:A1394 &gt;= A1394 - 30)))
"),"#DIV/0!")</f>
        <v>#DIV/0!</v>
      </c>
      <c r="I1394" s="20" t="e">
        <f t="shared" ca="1" si="26"/>
        <v>#DIV/0!</v>
      </c>
      <c r="J1394" s="20" t="str">
        <f ca="1">IFERROR(__xludf.DUMMYFUNCTION("IF(OR($I1394=2, $I1394=3), 0, IFERROR(COUNTIFS($C$2:C1394, $C1394, $A$2:A1394, ""&gt;""&amp;IFERROR(MAX(FILTER($A$2:A1394, $C$2:C1394=$C1394, $I$2:I1394&lt;&gt;1)), 0), $I$2:I1394, 1),1))
"),"#DIV/0!")</f>
        <v>#DIV/0!</v>
      </c>
      <c r="K1394" s="7" t="e">
        <f t="shared" ca="1" si="27"/>
        <v>#DIV/0!</v>
      </c>
      <c r="L1394" s="20" t="e">
        <f t="shared" ca="1" si="28"/>
        <v>#DIV/0!</v>
      </c>
      <c r="M1394" s="21" t="e">
        <f t="shared" ca="1" si="29"/>
        <v>#DIV/0!</v>
      </c>
      <c r="N1394" s="20" t="str">
        <f ca="1">IFERROR(__xludf.DUMMYFUNCTION("IF(COUNTIFS($C$2:C1394, C1394, $A$2:A1394, ""&lt;="" &amp; A1394) &lt; 30, STDEV.P(FILTER($G$2:G1394, $C$2:C1394 = C1394)), STDEV.P(FILTER($G$2:G1394, $C$2:C1394 = C1394, $A$2:A1394 &gt;= A1394 - 30)))
"),"#DIV/0!")</f>
        <v>#DIV/0!</v>
      </c>
    </row>
    <row r="1395" spans="1:14" x14ac:dyDescent="0.2">
      <c r="A1395" s="41"/>
      <c r="B1395" s="40"/>
      <c r="C1395" s="40"/>
      <c r="D1395" s="31"/>
      <c r="E1395" s="31"/>
      <c r="F1395" s="31"/>
      <c r="G1395" s="19" t="e">
        <f t="shared" si="25"/>
        <v>#DIV/0!</v>
      </c>
      <c r="H1395" s="20" t="str">
        <f ca="1">IFERROR(__xludf.DUMMYFUNCTION("IF(COUNTIFS($C$2:C1395, C1395, $A$2:A1395, ""&lt;="" &amp; A1395) &lt; 30, AVERAGEIF($C$2:C1395, C1395, $G$2:G1395), AVERAGE(FILTER($G$2:G1395, $C$2:C1395 = C1395, $A$2:A1395 &gt;= A1395 - 30)))
"),"#DIV/0!")</f>
        <v>#DIV/0!</v>
      </c>
      <c r="I1395" s="20" t="e">
        <f t="shared" ca="1" si="26"/>
        <v>#DIV/0!</v>
      </c>
      <c r="J1395" s="20" t="str">
        <f ca="1">IFERROR(__xludf.DUMMYFUNCTION("IF(OR($I1395=2, $I1395=3), 0, IFERROR(COUNTIFS($C$2:C1395, $C1395, $A$2:A1395, ""&gt;""&amp;IFERROR(MAX(FILTER($A$2:A1395, $C$2:C1395=$C1395, $I$2:I1395&lt;&gt;1)), 0), $I$2:I1395, 1),1))
"),"#DIV/0!")</f>
        <v>#DIV/0!</v>
      </c>
      <c r="K1395" s="7" t="e">
        <f t="shared" ca="1" si="27"/>
        <v>#DIV/0!</v>
      </c>
      <c r="L1395" s="20" t="e">
        <f t="shared" ca="1" si="28"/>
        <v>#DIV/0!</v>
      </c>
      <c r="M1395" s="21" t="e">
        <f t="shared" ca="1" si="29"/>
        <v>#DIV/0!</v>
      </c>
      <c r="N1395" s="20" t="str">
        <f ca="1">IFERROR(__xludf.DUMMYFUNCTION("IF(COUNTIFS($C$2:C1395, C1395, $A$2:A1395, ""&lt;="" &amp; A1395) &lt; 30, STDEV.P(FILTER($G$2:G1395, $C$2:C1395 = C1395)), STDEV.P(FILTER($G$2:G1395, $C$2:C1395 = C1395, $A$2:A1395 &gt;= A1395 - 30)))
"),"#DIV/0!")</f>
        <v>#DIV/0!</v>
      </c>
    </row>
    <row r="1396" spans="1:14" x14ac:dyDescent="0.2">
      <c r="A1396" s="41"/>
      <c r="B1396" s="40"/>
      <c r="C1396" s="40"/>
      <c r="D1396" s="31"/>
      <c r="E1396" s="31"/>
      <c r="F1396" s="31"/>
      <c r="G1396" s="19" t="e">
        <f t="shared" si="25"/>
        <v>#DIV/0!</v>
      </c>
      <c r="H1396" s="20" t="str">
        <f ca="1">IFERROR(__xludf.DUMMYFUNCTION("IF(COUNTIFS($C$2:C1396, C1396, $A$2:A1396, ""&lt;="" &amp; A1396) &lt; 30, AVERAGEIF($C$2:C1396, C1396, $G$2:G1396), AVERAGE(FILTER($G$2:G1396, $C$2:C1396 = C1396, $A$2:A1396 &gt;= A1396 - 30)))
"),"#DIV/0!")</f>
        <v>#DIV/0!</v>
      </c>
      <c r="I1396" s="20" t="e">
        <f t="shared" ca="1" si="26"/>
        <v>#DIV/0!</v>
      </c>
      <c r="J1396" s="20" t="str">
        <f ca="1">IFERROR(__xludf.DUMMYFUNCTION("IF(OR($I1396=2, $I1396=3), 0, IFERROR(COUNTIFS($C$2:C1396, $C1396, $A$2:A1396, ""&gt;""&amp;IFERROR(MAX(FILTER($A$2:A1396, $C$2:C1396=$C1396, $I$2:I1396&lt;&gt;1)), 0), $I$2:I1396, 1),1))
"),"#DIV/0!")</f>
        <v>#DIV/0!</v>
      </c>
      <c r="K1396" s="7" t="e">
        <f t="shared" ca="1" si="27"/>
        <v>#DIV/0!</v>
      </c>
      <c r="L1396" s="20" t="e">
        <f t="shared" ca="1" si="28"/>
        <v>#DIV/0!</v>
      </c>
      <c r="M1396" s="21" t="e">
        <f t="shared" ca="1" si="29"/>
        <v>#DIV/0!</v>
      </c>
      <c r="N1396" s="20" t="str">
        <f ca="1">IFERROR(__xludf.DUMMYFUNCTION("IF(COUNTIFS($C$2:C1396, C1396, $A$2:A1396, ""&lt;="" &amp; A1396) &lt; 30, STDEV.P(FILTER($G$2:G1396, $C$2:C1396 = C1396)), STDEV.P(FILTER($G$2:G1396, $C$2:C1396 = C1396, $A$2:A1396 &gt;= A1396 - 30)))
"),"#DIV/0!")</f>
        <v>#DIV/0!</v>
      </c>
    </row>
    <row r="1397" spans="1:14" x14ac:dyDescent="0.2">
      <c r="A1397" s="41"/>
      <c r="B1397" s="40"/>
      <c r="C1397" s="40"/>
      <c r="D1397" s="31"/>
      <c r="E1397" s="31"/>
      <c r="F1397" s="31"/>
      <c r="G1397" s="19" t="e">
        <f t="shared" si="25"/>
        <v>#DIV/0!</v>
      </c>
      <c r="H1397" s="20" t="str">
        <f ca="1">IFERROR(__xludf.DUMMYFUNCTION("IF(COUNTIFS($C$2:C1397, C1397, $A$2:A1397, ""&lt;="" &amp; A1397) &lt; 30, AVERAGEIF($C$2:C1397, C1397, $G$2:G1397), AVERAGE(FILTER($G$2:G1397, $C$2:C1397 = C1397, $A$2:A1397 &gt;= A1397 - 30)))
"),"#DIV/0!")</f>
        <v>#DIV/0!</v>
      </c>
      <c r="I1397" s="20" t="e">
        <f t="shared" ca="1" si="26"/>
        <v>#DIV/0!</v>
      </c>
      <c r="J1397" s="20" t="str">
        <f ca="1">IFERROR(__xludf.DUMMYFUNCTION("IF(OR($I1397=2, $I1397=3), 0, IFERROR(COUNTIFS($C$2:C1397, $C1397, $A$2:A1397, ""&gt;""&amp;IFERROR(MAX(FILTER($A$2:A1397, $C$2:C1397=$C1397, $I$2:I1397&lt;&gt;1)), 0), $I$2:I1397, 1),1))
"),"#DIV/0!")</f>
        <v>#DIV/0!</v>
      </c>
      <c r="K1397" s="7" t="e">
        <f t="shared" ca="1" si="27"/>
        <v>#DIV/0!</v>
      </c>
      <c r="L1397" s="20" t="e">
        <f t="shared" ca="1" si="28"/>
        <v>#DIV/0!</v>
      </c>
      <c r="M1397" s="21" t="e">
        <f t="shared" ca="1" si="29"/>
        <v>#DIV/0!</v>
      </c>
      <c r="N1397" s="20" t="str">
        <f ca="1">IFERROR(__xludf.DUMMYFUNCTION("IF(COUNTIFS($C$2:C1397, C1397, $A$2:A1397, ""&lt;="" &amp; A1397) &lt; 30, STDEV.P(FILTER($G$2:G1397, $C$2:C1397 = C1397)), STDEV.P(FILTER($G$2:G1397, $C$2:C1397 = C1397, $A$2:A1397 &gt;= A1397 - 30)))
"),"#DIV/0!")</f>
        <v>#DIV/0!</v>
      </c>
    </row>
    <row r="1398" spans="1:14" x14ac:dyDescent="0.2">
      <c r="A1398" s="41"/>
      <c r="B1398" s="40"/>
      <c r="C1398" s="40"/>
      <c r="D1398" s="31"/>
      <c r="E1398" s="31"/>
      <c r="F1398" s="31"/>
      <c r="G1398" s="19" t="e">
        <f t="shared" si="25"/>
        <v>#DIV/0!</v>
      </c>
      <c r="H1398" s="20" t="str">
        <f ca="1">IFERROR(__xludf.DUMMYFUNCTION("IF(COUNTIFS($C$2:C1398, C1398, $A$2:A1398, ""&lt;="" &amp; A1398) &lt; 30, AVERAGEIF($C$2:C1398, C1398, $G$2:G1398), AVERAGE(FILTER($G$2:G1398, $C$2:C1398 = C1398, $A$2:A1398 &gt;= A1398 - 30)))
"),"#DIV/0!")</f>
        <v>#DIV/0!</v>
      </c>
      <c r="I1398" s="20" t="e">
        <f t="shared" ca="1" si="26"/>
        <v>#DIV/0!</v>
      </c>
      <c r="J1398" s="20" t="str">
        <f ca="1">IFERROR(__xludf.DUMMYFUNCTION("IF(OR($I1398=2, $I1398=3), 0, IFERROR(COUNTIFS($C$2:C1398, $C1398, $A$2:A1398, ""&gt;""&amp;IFERROR(MAX(FILTER($A$2:A1398, $C$2:C1398=$C1398, $I$2:I1398&lt;&gt;1)), 0), $I$2:I1398, 1),1))
"),"#DIV/0!")</f>
        <v>#DIV/0!</v>
      </c>
      <c r="K1398" s="7" t="e">
        <f t="shared" ca="1" si="27"/>
        <v>#DIV/0!</v>
      </c>
      <c r="L1398" s="20" t="e">
        <f t="shared" ca="1" si="28"/>
        <v>#DIV/0!</v>
      </c>
      <c r="M1398" s="21" t="e">
        <f t="shared" ca="1" si="29"/>
        <v>#DIV/0!</v>
      </c>
      <c r="N1398" s="20" t="str">
        <f ca="1">IFERROR(__xludf.DUMMYFUNCTION("IF(COUNTIFS($C$2:C1398, C1398, $A$2:A1398, ""&lt;="" &amp; A1398) &lt; 30, STDEV.P(FILTER($G$2:G1398, $C$2:C1398 = C1398)), STDEV.P(FILTER($G$2:G1398, $C$2:C1398 = C1398, $A$2:A1398 &gt;= A1398 - 30)))
"),"#DIV/0!")</f>
        <v>#DIV/0!</v>
      </c>
    </row>
    <row r="1399" spans="1:14" x14ac:dyDescent="0.2">
      <c r="A1399" s="41"/>
      <c r="B1399" s="40"/>
      <c r="C1399" s="40"/>
      <c r="D1399" s="31"/>
      <c r="E1399" s="31"/>
      <c r="F1399" s="31"/>
      <c r="G1399" s="19" t="e">
        <f t="shared" si="25"/>
        <v>#DIV/0!</v>
      </c>
      <c r="H1399" s="20" t="str">
        <f ca="1">IFERROR(__xludf.DUMMYFUNCTION("IF(COUNTIFS($C$2:C1399, C1399, $A$2:A1399, ""&lt;="" &amp; A1399) &lt; 30, AVERAGEIF($C$2:C1399, C1399, $G$2:G1399), AVERAGE(FILTER($G$2:G1399, $C$2:C1399 = C1399, $A$2:A1399 &gt;= A1399 - 30)))
"),"#DIV/0!")</f>
        <v>#DIV/0!</v>
      </c>
      <c r="I1399" s="20" t="e">
        <f t="shared" ca="1" si="26"/>
        <v>#DIV/0!</v>
      </c>
      <c r="J1399" s="20" t="str">
        <f ca="1">IFERROR(__xludf.DUMMYFUNCTION("IF(OR($I1399=2, $I1399=3), 0, IFERROR(COUNTIFS($C$2:C1399, $C1399, $A$2:A1399, ""&gt;""&amp;IFERROR(MAX(FILTER($A$2:A1399, $C$2:C1399=$C1399, $I$2:I1399&lt;&gt;1)), 0), $I$2:I1399, 1),1))
"),"#DIV/0!")</f>
        <v>#DIV/0!</v>
      </c>
      <c r="K1399" s="7" t="e">
        <f t="shared" ca="1" si="27"/>
        <v>#DIV/0!</v>
      </c>
      <c r="L1399" s="20" t="e">
        <f t="shared" ca="1" si="28"/>
        <v>#DIV/0!</v>
      </c>
      <c r="M1399" s="21" t="e">
        <f t="shared" ca="1" si="29"/>
        <v>#DIV/0!</v>
      </c>
      <c r="N1399" s="20" t="str">
        <f ca="1">IFERROR(__xludf.DUMMYFUNCTION("IF(COUNTIFS($C$2:C1399, C1399, $A$2:A1399, ""&lt;="" &amp; A1399) &lt; 30, STDEV.P(FILTER($G$2:G1399, $C$2:C1399 = C1399)), STDEV.P(FILTER($G$2:G1399, $C$2:C1399 = C1399, $A$2:A1399 &gt;= A1399 - 30)))
"),"#DIV/0!")</f>
        <v>#DIV/0!</v>
      </c>
    </row>
    <row r="1400" spans="1:14" x14ac:dyDescent="0.2">
      <c r="A1400" s="41"/>
      <c r="B1400" s="40"/>
      <c r="C1400" s="40"/>
      <c r="D1400" s="31"/>
      <c r="E1400" s="31"/>
      <c r="F1400" s="31"/>
      <c r="G1400" s="19" t="e">
        <f t="shared" si="25"/>
        <v>#DIV/0!</v>
      </c>
      <c r="H1400" s="20" t="str">
        <f ca="1">IFERROR(__xludf.DUMMYFUNCTION("IF(COUNTIFS($C$2:C1400, C1400, $A$2:A1400, ""&lt;="" &amp; A1400) &lt; 30, AVERAGEIF($C$2:C1400, C1400, $G$2:G1400), AVERAGE(FILTER($G$2:G1400, $C$2:C1400 = C1400, $A$2:A1400 &gt;= A1400 - 30)))
"),"#DIV/0!")</f>
        <v>#DIV/0!</v>
      </c>
      <c r="I1400" s="20" t="e">
        <f t="shared" ca="1" si="26"/>
        <v>#DIV/0!</v>
      </c>
      <c r="J1400" s="20" t="str">
        <f ca="1">IFERROR(__xludf.DUMMYFUNCTION("IF(OR($I1400=2, $I1400=3), 0, IFERROR(COUNTIFS($C$2:C1400, $C1400, $A$2:A1400, ""&gt;""&amp;IFERROR(MAX(FILTER($A$2:A1400, $C$2:C1400=$C1400, $I$2:I1400&lt;&gt;1)), 0), $I$2:I1400, 1),1))
"),"#DIV/0!")</f>
        <v>#DIV/0!</v>
      </c>
      <c r="K1400" s="7" t="e">
        <f t="shared" ca="1" si="27"/>
        <v>#DIV/0!</v>
      </c>
      <c r="L1400" s="20" t="e">
        <f t="shared" ca="1" si="28"/>
        <v>#DIV/0!</v>
      </c>
      <c r="M1400" s="21" t="e">
        <f t="shared" ca="1" si="29"/>
        <v>#DIV/0!</v>
      </c>
      <c r="N1400" s="20" t="str">
        <f ca="1">IFERROR(__xludf.DUMMYFUNCTION("IF(COUNTIFS($C$2:C1400, C1400, $A$2:A1400, ""&lt;="" &amp; A1400) &lt; 30, STDEV.P(FILTER($G$2:G1400, $C$2:C1400 = C1400)), STDEV.P(FILTER($G$2:G1400, $C$2:C1400 = C1400, $A$2:A1400 &gt;= A1400 - 30)))
"),"#DIV/0!")</f>
        <v>#DIV/0!</v>
      </c>
    </row>
    <row r="1401" spans="1:14" x14ac:dyDescent="0.2">
      <c r="A1401" s="41"/>
      <c r="B1401" s="40"/>
      <c r="C1401" s="40"/>
      <c r="D1401" s="31"/>
      <c r="E1401" s="31"/>
      <c r="F1401" s="31"/>
      <c r="G1401" s="19" t="e">
        <f t="shared" si="25"/>
        <v>#DIV/0!</v>
      </c>
      <c r="H1401" s="20" t="str">
        <f ca="1">IFERROR(__xludf.DUMMYFUNCTION("IF(COUNTIFS($C$2:C1401, C1401, $A$2:A1401, ""&lt;="" &amp; A1401) &lt; 30, AVERAGEIF($C$2:C1401, C1401, $G$2:G1401), AVERAGE(FILTER($G$2:G1401, $C$2:C1401 = C1401, $A$2:A1401 &gt;= A1401 - 30)))
"),"#DIV/0!")</f>
        <v>#DIV/0!</v>
      </c>
      <c r="I1401" s="20" t="e">
        <f t="shared" ca="1" si="26"/>
        <v>#DIV/0!</v>
      </c>
      <c r="J1401" s="20" t="str">
        <f ca="1">IFERROR(__xludf.DUMMYFUNCTION("IF(OR($I1401=2, $I1401=3), 0, IFERROR(COUNTIFS($C$2:C1401, $C1401, $A$2:A1401, ""&gt;""&amp;IFERROR(MAX(FILTER($A$2:A1401, $C$2:C1401=$C1401, $I$2:I1401&lt;&gt;1)), 0), $I$2:I1401, 1),1))
"),"#DIV/0!")</f>
        <v>#DIV/0!</v>
      </c>
      <c r="K1401" s="7" t="e">
        <f t="shared" ca="1" si="27"/>
        <v>#DIV/0!</v>
      </c>
      <c r="L1401" s="20" t="e">
        <f t="shared" ca="1" si="28"/>
        <v>#DIV/0!</v>
      </c>
      <c r="M1401" s="21" t="e">
        <f t="shared" ca="1" si="29"/>
        <v>#DIV/0!</v>
      </c>
      <c r="N1401" s="20" t="str">
        <f ca="1">IFERROR(__xludf.DUMMYFUNCTION("IF(COUNTIFS($C$2:C1401, C1401, $A$2:A1401, ""&lt;="" &amp; A1401) &lt; 30, STDEV.P(FILTER($G$2:G1401, $C$2:C1401 = C1401)), STDEV.P(FILTER($G$2:G1401, $C$2:C1401 = C1401, $A$2:A1401 &gt;= A1401 - 30)))
"),"#DIV/0!")</f>
        <v>#DIV/0!</v>
      </c>
    </row>
    <row r="1402" spans="1:14" x14ac:dyDescent="0.2">
      <c r="A1402" s="41"/>
      <c r="B1402" s="40"/>
      <c r="C1402" s="40"/>
      <c r="D1402" s="31"/>
      <c r="E1402" s="31"/>
      <c r="F1402" s="31"/>
      <c r="G1402" s="19" t="e">
        <f t="shared" si="25"/>
        <v>#DIV/0!</v>
      </c>
      <c r="H1402" s="20" t="str">
        <f ca="1">IFERROR(__xludf.DUMMYFUNCTION("IF(COUNTIFS($C$2:C1402, C1402, $A$2:A1402, ""&lt;="" &amp; A1402) &lt; 30, AVERAGEIF($C$2:C1402, C1402, $G$2:G1402), AVERAGE(FILTER($G$2:G1402, $C$2:C1402 = C1402, $A$2:A1402 &gt;= A1402 - 30)))
"),"#DIV/0!")</f>
        <v>#DIV/0!</v>
      </c>
      <c r="I1402" s="20" t="e">
        <f t="shared" ca="1" si="26"/>
        <v>#DIV/0!</v>
      </c>
      <c r="J1402" s="20" t="str">
        <f ca="1">IFERROR(__xludf.DUMMYFUNCTION("IF(OR($I1402=2, $I1402=3), 0, IFERROR(COUNTIFS($C$2:C1402, $C1402, $A$2:A1402, ""&gt;""&amp;IFERROR(MAX(FILTER($A$2:A1402, $C$2:C1402=$C1402, $I$2:I1402&lt;&gt;1)), 0), $I$2:I1402, 1),1))
"),"#DIV/0!")</f>
        <v>#DIV/0!</v>
      </c>
      <c r="K1402" s="7" t="e">
        <f t="shared" ca="1" si="27"/>
        <v>#DIV/0!</v>
      </c>
      <c r="L1402" s="20" t="e">
        <f t="shared" ca="1" si="28"/>
        <v>#DIV/0!</v>
      </c>
      <c r="M1402" s="21" t="e">
        <f t="shared" ca="1" si="29"/>
        <v>#DIV/0!</v>
      </c>
      <c r="N1402" s="20" t="str">
        <f ca="1">IFERROR(__xludf.DUMMYFUNCTION("IF(COUNTIFS($C$2:C1402, C1402, $A$2:A1402, ""&lt;="" &amp; A1402) &lt; 30, STDEV.P(FILTER($G$2:G1402, $C$2:C1402 = C1402)), STDEV.P(FILTER($G$2:G1402, $C$2:C1402 = C1402, $A$2:A1402 &gt;= A1402 - 30)))
"),"#DIV/0!")</f>
        <v>#DIV/0!</v>
      </c>
    </row>
    <row r="1403" spans="1:14" x14ac:dyDescent="0.2">
      <c r="A1403" s="41"/>
      <c r="B1403" s="40"/>
      <c r="C1403" s="40"/>
      <c r="D1403" s="31"/>
      <c r="E1403" s="31"/>
      <c r="F1403" s="31"/>
      <c r="G1403" s="19" t="e">
        <f t="shared" si="25"/>
        <v>#DIV/0!</v>
      </c>
      <c r="H1403" s="20" t="str">
        <f ca="1">IFERROR(__xludf.DUMMYFUNCTION("IF(COUNTIFS($C$2:C1403, C1403, $A$2:A1403, ""&lt;="" &amp; A1403) &lt; 30, AVERAGEIF($C$2:C1403, C1403, $G$2:G1403), AVERAGE(FILTER($G$2:G1403, $C$2:C1403 = C1403, $A$2:A1403 &gt;= A1403 - 30)))
"),"#DIV/0!")</f>
        <v>#DIV/0!</v>
      </c>
      <c r="I1403" s="20" t="e">
        <f t="shared" ca="1" si="26"/>
        <v>#DIV/0!</v>
      </c>
      <c r="J1403" s="20" t="str">
        <f ca="1">IFERROR(__xludf.DUMMYFUNCTION("IF(OR($I1403=2, $I1403=3), 0, IFERROR(COUNTIFS($C$2:C1403, $C1403, $A$2:A1403, ""&gt;""&amp;IFERROR(MAX(FILTER($A$2:A1403, $C$2:C1403=$C1403, $I$2:I1403&lt;&gt;1)), 0), $I$2:I1403, 1),1))
"),"#DIV/0!")</f>
        <v>#DIV/0!</v>
      </c>
      <c r="K1403" s="7" t="e">
        <f t="shared" ca="1" si="27"/>
        <v>#DIV/0!</v>
      </c>
      <c r="L1403" s="20" t="e">
        <f t="shared" ca="1" si="28"/>
        <v>#DIV/0!</v>
      </c>
      <c r="M1403" s="21" t="e">
        <f t="shared" ca="1" si="29"/>
        <v>#DIV/0!</v>
      </c>
      <c r="N1403" s="20" t="str">
        <f ca="1">IFERROR(__xludf.DUMMYFUNCTION("IF(COUNTIFS($C$2:C1403, C1403, $A$2:A1403, ""&lt;="" &amp; A1403) &lt; 30, STDEV.P(FILTER($G$2:G1403, $C$2:C1403 = C1403)), STDEV.P(FILTER($G$2:G1403, $C$2:C1403 = C1403, $A$2:A1403 &gt;= A1403 - 30)))
"),"#DIV/0!")</f>
        <v>#DIV/0!</v>
      </c>
    </row>
    <row r="1404" spans="1:14" x14ac:dyDescent="0.2">
      <c r="A1404" s="41"/>
      <c r="B1404" s="40"/>
      <c r="C1404" s="40"/>
      <c r="D1404" s="31"/>
      <c r="E1404" s="31"/>
      <c r="F1404" s="31"/>
      <c r="G1404" s="19" t="e">
        <f t="shared" si="25"/>
        <v>#DIV/0!</v>
      </c>
      <c r="H1404" s="20" t="str">
        <f ca="1">IFERROR(__xludf.DUMMYFUNCTION("IF(COUNTIFS($C$2:C1404, C1404, $A$2:A1404, ""&lt;="" &amp; A1404) &lt; 30, AVERAGEIF($C$2:C1404, C1404, $G$2:G1404), AVERAGE(FILTER($G$2:G1404, $C$2:C1404 = C1404, $A$2:A1404 &gt;= A1404 - 30)))
"),"#DIV/0!")</f>
        <v>#DIV/0!</v>
      </c>
      <c r="I1404" s="20" t="e">
        <f t="shared" ca="1" si="26"/>
        <v>#DIV/0!</v>
      </c>
      <c r="J1404" s="20" t="str">
        <f ca="1">IFERROR(__xludf.DUMMYFUNCTION("IF(OR($I1404=2, $I1404=3), 0, IFERROR(COUNTIFS($C$2:C1404, $C1404, $A$2:A1404, ""&gt;""&amp;IFERROR(MAX(FILTER($A$2:A1404, $C$2:C1404=$C1404, $I$2:I1404&lt;&gt;1)), 0), $I$2:I1404, 1),1))
"),"#DIV/0!")</f>
        <v>#DIV/0!</v>
      </c>
      <c r="K1404" s="7" t="e">
        <f t="shared" ca="1" si="27"/>
        <v>#DIV/0!</v>
      </c>
      <c r="L1404" s="20" t="e">
        <f t="shared" ca="1" si="28"/>
        <v>#DIV/0!</v>
      </c>
      <c r="M1404" s="21" t="e">
        <f t="shared" ca="1" si="29"/>
        <v>#DIV/0!</v>
      </c>
      <c r="N1404" s="20" t="str">
        <f ca="1">IFERROR(__xludf.DUMMYFUNCTION("IF(COUNTIFS($C$2:C1404, C1404, $A$2:A1404, ""&lt;="" &amp; A1404) &lt; 30, STDEV.P(FILTER($G$2:G1404, $C$2:C1404 = C1404)), STDEV.P(FILTER($G$2:G1404, $C$2:C1404 = C1404, $A$2:A1404 &gt;= A1404 - 30)))
"),"#DIV/0!")</f>
        <v>#DIV/0!</v>
      </c>
    </row>
    <row r="1405" spans="1:14" x14ac:dyDescent="0.2">
      <c r="A1405" s="41"/>
      <c r="B1405" s="40"/>
      <c r="C1405" s="40"/>
      <c r="D1405" s="31"/>
      <c r="E1405" s="31"/>
      <c r="F1405" s="31"/>
      <c r="G1405" s="19" t="e">
        <f t="shared" si="25"/>
        <v>#DIV/0!</v>
      </c>
      <c r="H1405" s="20" t="str">
        <f ca="1">IFERROR(__xludf.DUMMYFUNCTION("IF(COUNTIFS($C$2:C1405, C1405, $A$2:A1405, ""&lt;="" &amp; A1405) &lt; 30, AVERAGEIF($C$2:C1405, C1405, $G$2:G1405), AVERAGE(FILTER($G$2:G1405, $C$2:C1405 = C1405, $A$2:A1405 &gt;= A1405 - 30)))
"),"#DIV/0!")</f>
        <v>#DIV/0!</v>
      </c>
      <c r="I1405" s="20" t="e">
        <f t="shared" ca="1" si="26"/>
        <v>#DIV/0!</v>
      </c>
      <c r="J1405" s="20" t="str">
        <f ca="1">IFERROR(__xludf.DUMMYFUNCTION("IF(OR($I1405=2, $I1405=3), 0, IFERROR(COUNTIFS($C$2:C1405, $C1405, $A$2:A1405, ""&gt;""&amp;IFERROR(MAX(FILTER($A$2:A1405, $C$2:C1405=$C1405, $I$2:I1405&lt;&gt;1)), 0), $I$2:I1405, 1),1))
"),"#DIV/0!")</f>
        <v>#DIV/0!</v>
      </c>
      <c r="K1405" s="7" t="e">
        <f t="shared" ca="1" si="27"/>
        <v>#DIV/0!</v>
      </c>
      <c r="L1405" s="20" t="e">
        <f t="shared" ca="1" si="28"/>
        <v>#DIV/0!</v>
      </c>
      <c r="M1405" s="21" t="e">
        <f t="shared" ca="1" si="29"/>
        <v>#DIV/0!</v>
      </c>
      <c r="N1405" s="20" t="str">
        <f ca="1">IFERROR(__xludf.DUMMYFUNCTION("IF(COUNTIFS($C$2:C1405, C1405, $A$2:A1405, ""&lt;="" &amp; A1405) &lt; 30, STDEV.P(FILTER($G$2:G1405, $C$2:C1405 = C1405)), STDEV.P(FILTER($G$2:G1405, $C$2:C1405 = C1405, $A$2:A1405 &gt;= A1405 - 30)))
"),"#DIV/0!")</f>
        <v>#DIV/0!</v>
      </c>
    </row>
    <row r="1406" spans="1:14" x14ac:dyDescent="0.2">
      <c r="A1406" s="41"/>
      <c r="B1406" s="40"/>
      <c r="C1406" s="40"/>
      <c r="D1406" s="31"/>
      <c r="E1406" s="31"/>
      <c r="F1406" s="31"/>
      <c r="G1406" s="19" t="e">
        <f t="shared" si="25"/>
        <v>#DIV/0!</v>
      </c>
      <c r="H1406" s="20" t="str">
        <f ca="1">IFERROR(__xludf.DUMMYFUNCTION("IF(COUNTIFS($C$2:C1406, C1406, $A$2:A1406, ""&lt;="" &amp; A1406) &lt; 30, AVERAGEIF($C$2:C1406, C1406, $G$2:G1406), AVERAGE(FILTER($G$2:G1406, $C$2:C1406 = C1406, $A$2:A1406 &gt;= A1406 - 30)))
"),"#DIV/0!")</f>
        <v>#DIV/0!</v>
      </c>
      <c r="I1406" s="20" t="e">
        <f t="shared" ca="1" si="26"/>
        <v>#DIV/0!</v>
      </c>
      <c r="J1406" s="20" t="str">
        <f ca="1">IFERROR(__xludf.DUMMYFUNCTION("IF(OR($I1406=2, $I1406=3), 0, IFERROR(COUNTIFS($C$2:C1406, $C1406, $A$2:A1406, ""&gt;""&amp;IFERROR(MAX(FILTER($A$2:A1406, $C$2:C1406=$C1406, $I$2:I1406&lt;&gt;1)), 0), $I$2:I1406, 1),1))
"),"#DIV/0!")</f>
        <v>#DIV/0!</v>
      </c>
      <c r="K1406" s="7" t="e">
        <f t="shared" ca="1" si="27"/>
        <v>#DIV/0!</v>
      </c>
      <c r="L1406" s="20" t="e">
        <f t="shared" ca="1" si="28"/>
        <v>#DIV/0!</v>
      </c>
      <c r="M1406" s="21" t="e">
        <f t="shared" ca="1" si="29"/>
        <v>#DIV/0!</v>
      </c>
      <c r="N1406" s="20" t="str">
        <f ca="1">IFERROR(__xludf.DUMMYFUNCTION("IF(COUNTIFS($C$2:C1406, C1406, $A$2:A1406, ""&lt;="" &amp; A1406) &lt; 30, STDEV.P(FILTER($G$2:G1406, $C$2:C1406 = C1406)), STDEV.P(FILTER($G$2:G1406, $C$2:C1406 = C1406, $A$2:A1406 &gt;= A1406 - 30)))
"),"#DIV/0!")</f>
        <v>#DIV/0!</v>
      </c>
    </row>
    <row r="1407" spans="1:14" x14ac:dyDescent="0.2">
      <c r="A1407" s="41"/>
      <c r="B1407" s="40"/>
      <c r="C1407" s="40"/>
      <c r="D1407" s="31"/>
      <c r="E1407" s="31"/>
      <c r="F1407" s="31"/>
      <c r="G1407" s="19" t="e">
        <f t="shared" si="25"/>
        <v>#DIV/0!</v>
      </c>
      <c r="H1407" s="20" t="str">
        <f ca="1">IFERROR(__xludf.DUMMYFUNCTION("IF(COUNTIFS($C$2:C1407, C1407, $A$2:A1407, ""&lt;="" &amp; A1407) &lt; 30, AVERAGEIF($C$2:C1407, C1407, $G$2:G1407), AVERAGE(FILTER($G$2:G1407, $C$2:C1407 = C1407, $A$2:A1407 &gt;= A1407 - 30)))
"),"#DIV/0!")</f>
        <v>#DIV/0!</v>
      </c>
      <c r="I1407" s="20" t="e">
        <f t="shared" ca="1" si="26"/>
        <v>#DIV/0!</v>
      </c>
      <c r="J1407" s="20" t="str">
        <f ca="1">IFERROR(__xludf.DUMMYFUNCTION("IF(OR($I1407=2, $I1407=3), 0, IFERROR(COUNTIFS($C$2:C1407, $C1407, $A$2:A1407, ""&gt;""&amp;IFERROR(MAX(FILTER($A$2:A1407, $C$2:C1407=$C1407, $I$2:I1407&lt;&gt;1)), 0), $I$2:I1407, 1),1))
"),"#DIV/0!")</f>
        <v>#DIV/0!</v>
      </c>
      <c r="K1407" s="7" t="e">
        <f t="shared" ca="1" si="27"/>
        <v>#DIV/0!</v>
      </c>
      <c r="L1407" s="20" t="e">
        <f t="shared" ca="1" si="28"/>
        <v>#DIV/0!</v>
      </c>
      <c r="M1407" s="21" t="e">
        <f t="shared" ca="1" si="29"/>
        <v>#DIV/0!</v>
      </c>
      <c r="N1407" s="20" t="str">
        <f ca="1">IFERROR(__xludf.DUMMYFUNCTION("IF(COUNTIFS($C$2:C1407, C1407, $A$2:A1407, ""&lt;="" &amp; A1407) &lt; 30, STDEV.P(FILTER($G$2:G1407, $C$2:C1407 = C1407)), STDEV.P(FILTER($G$2:G1407, $C$2:C1407 = C1407, $A$2:A1407 &gt;= A1407 - 30)))
"),"#DIV/0!")</f>
        <v>#DIV/0!</v>
      </c>
    </row>
    <row r="1408" spans="1:14" x14ac:dyDescent="0.2">
      <c r="A1408" s="41"/>
      <c r="B1408" s="40"/>
      <c r="C1408" s="40"/>
      <c r="D1408" s="31"/>
      <c r="E1408" s="31"/>
      <c r="F1408" s="31"/>
      <c r="G1408" s="19" t="e">
        <f t="shared" si="25"/>
        <v>#DIV/0!</v>
      </c>
      <c r="H1408" s="20" t="str">
        <f ca="1">IFERROR(__xludf.DUMMYFUNCTION("IF(COUNTIFS($C$2:C1408, C1408, $A$2:A1408, ""&lt;="" &amp; A1408) &lt; 30, AVERAGEIF($C$2:C1408, C1408, $G$2:G1408), AVERAGE(FILTER($G$2:G1408, $C$2:C1408 = C1408, $A$2:A1408 &gt;= A1408 - 30)))
"),"#DIV/0!")</f>
        <v>#DIV/0!</v>
      </c>
      <c r="I1408" s="20" t="e">
        <f t="shared" ca="1" si="26"/>
        <v>#DIV/0!</v>
      </c>
      <c r="J1408" s="20" t="str">
        <f ca="1">IFERROR(__xludf.DUMMYFUNCTION("IF(OR($I1408=2, $I1408=3), 0, IFERROR(COUNTIFS($C$2:C1408, $C1408, $A$2:A1408, ""&gt;""&amp;IFERROR(MAX(FILTER($A$2:A1408, $C$2:C1408=$C1408, $I$2:I1408&lt;&gt;1)), 0), $I$2:I1408, 1),1))
"),"#DIV/0!")</f>
        <v>#DIV/0!</v>
      </c>
      <c r="K1408" s="7" t="e">
        <f t="shared" ca="1" si="27"/>
        <v>#DIV/0!</v>
      </c>
      <c r="L1408" s="20" t="e">
        <f t="shared" ca="1" si="28"/>
        <v>#DIV/0!</v>
      </c>
      <c r="M1408" s="21" t="e">
        <f t="shared" ca="1" si="29"/>
        <v>#DIV/0!</v>
      </c>
      <c r="N1408" s="20" t="str">
        <f ca="1">IFERROR(__xludf.DUMMYFUNCTION("IF(COUNTIFS($C$2:C1408, C1408, $A$2:A1408, ""&lt;="" &amp; A1408) &lt; 30, STDEV.P(FILTER($G$2:G1408, $C$2:C1408 = C1408)), STDEV.P(FILTER($G$2:G1408, $C$2:C1408 = C1408, $A$2:A1408 &gt;= A1408 - 30)))
"),"#DIV/0!")</f>
        <v>#DIV/0!</v>
      </c>
    </row>
    <row r="1409" spans="1:14" x14ac:dyDescent="0.2">
      <c r="A1409" s="41"/>
      <c r="B1409" s="40"/>
      <c r="C1409" s="40"/>
      <c r="D1409" s="31"/>
      <c r="E1409" s="31"/>
      <c r="F1409" s="31"/>
      <c r="G1409" s="19" t="e">
        <f t="shared" si="25"/>
        <v>#DIV/0!</v>
      </c>
      <c r="H1409" s="20" t="str">
        <f ca="1">IFERROR(__xludf.DUMMYFUNCTION("IF(COUNTIFS($C$2:C1409, C1409, $A$2:A1409, ""&lt;="" &amp; A1409) &lt; 30, AVERAGEIF($C$2:C1409, C1409, $G$2:G1409), AVERAGE(FILTER($G$2:G1409, $C$2:C1409 = C1409, $A$2:A1409 &gt;= A1409 - 30)))
"),"#DIV/0!")</f>
        <v>#DIV/0!</v>
      </c>
      <c r="I1409" s="20" t="e">
        <f t="shared" ca="1" si="26"/>
        <v>#DIV/0!</v>
      </c>
      <c r="J1409" s="20" t="str">
        <f ca="1">IFERROR(__xludf.DUMMYFUNCTION("IF(OR($I1409=2, $I1409=3), 0, IFERROR(COUNTIFS($C$2:C1409, $C1409, $A$2:A1409, ""&gt;""&amp;IFERROR(MAX(FILTER($A$2:A1409, $C$2:C1409=$C1409, $I$2:I1409&lt;&gt;1)), 0), $I$2:I1409, 1),1))
"),"#DIV/0!")</f>
        <v>#DIV/0!</v>
      </c>
      <c r="K1409" s="7" t="e">
        <f t="shared" ca="1" si="27"/>
        <v>#DIV/0!</v>
      </c>
      <c r="L1409" s="20" t="e">
        <f t="shared" ca="1" si="28"/>
        <v>#DIV/0!</v>
      </c>
      <c r="M1409" s="21" t="e">
        <f t="shared" ca="1" si="29"/>
        <v>#DIV/0!</v>
      </c>
      <c r="N1409" s="20" t="str">
        <f ca="1">IFERROR(__xludf.DUMMYFUNCTION("IF(COUNTIFS($C$2:C1409, C1409, $A$2:A1409, ""&lt;="" &amp; A1409) &lt; 30, STDEV.P(FILTER($G$2:G1409, $C$2:C1409 = C1409)), STDEV.P(FILTER($G$2:G1409, $C$2:C1409 = C1409, $A$2:A1409 &gt;= A1409 - 30)))
"),"#DIV/0!")</f>
        <v>#DIV/0!</v>
      </c>
    </row>
    <row r="1410" spans="1:14" x14ac:dyDescent="0.2">
      <c r="A1410" s="41"/>
      <c r="B1410" s="40"/>
      <c r="C1410" s="40"/>
      <c r="D1410" s="31"/>
      <c r="E1410" s="31"/>
      <c r="F1410" s="31"/>
      <c r="G1410" s="19" t="e">
        <f t="shared" si="25"/>
        <v>#DIV/0!</v>
      </c>
      <c r="H1410" s="20" t="str">
        <f ca="1">IFERROR(__xludf.DUMMYFUNCTION("IF(COUNTIFS($C$2:C1410, C1410, $A$2:A1410, ""&lt;="" &amp; A1410) &lt; 30, AVERAGEIF($C$2:C1410, C1410, $G$2:G1410), AVERAGE(FILTER($G$2:G1410, $C$2:C1410 = C1410, $A$2:A1410 &gt;= A1410 - 30)))
"),"#DIV/0!")</f>
        <v>#DIV/0!</v>
      </c>
      <c r="I1410" s="20" t="e">
        <f t="shared" ca="1" si="26"/>
        <v>#DIV/0!</v>
      </c>
      <c r="J1410" s="20" t="str">
        <f ca="1">IFERROR(__xludf.DUMMYFUNCTION("IF(OR($I1410=2, $I1410=3), 0, IFERROR(COUNTIFS($C$2:C1410, $C1410, $A$2:A1410, ""&gt;""&amp;IFERROR(MAX(FILTER($A$2:A1410, $C$2:C1410=$C1410, $I$2:I1410&lt;&gt;1)), 0), $I$2:I1410, 1),1))
"),"#DIV/0!")</f>
        <v>#DIV/0!</v>
      </c>
      <c r="K1410" s="7" t="e">
        <f t="shared" ca="1" si="27"/>
        <v>#DIV/0!</v>
      </c>
      <c r="L1410" s="20" t="e">
        <f t="shared" ca="1" si="28"/>
        <v>#DIV/0!</v>
      </c>
      <c r="M1410" s="21" t="e">
        <f t="shared" ca="1" si="29"/>
        <v>#DIV/0!</v>
      </c>
      <c r="N1410" s="20" t="str">
        <f ca="1">IFERROR(__xludf.DUMMYFUNCTION("IF(COUNTIFS($C$2:C1410, C1410, $A$2:A1410, ""&lt;="" &amp; A1410) &lt; 30, STDEV.P(FILTER($G$2:G1410, $C$2:C1410 = C1410)), STDEV.P(FILTER($G$2:G1410, $C$2:C1410 = C1410, $A$2:A1410 &gt;= A1410 - 30)))
"),"#DIV/0!")</f>
        <v>#DIV/0!</v>
      </c>
    </row>
    <row r="1411" spans="1:14" x14ac:dyDescent="0.2">
      <c r="A1411" s="41"/>
      <c r="B1411" s="40"/>
      <c r="C1411" s="40"/>
      <c r="D1411" s="31"/>
      <c r="E1411" s="31"/>
      <c r="F1411" s="31"/>
      <c r="G1411" s="19" t="e">
        <f t="shared" si="25"/>
        <v>#DIV/0!</v>
      </c>
      <c r="H1411" s="20" t="str">
        <f ca="1">IFERROR(__xludf.DUMMYFUNCTION("IF(COUNTIFS($C$2:C1411, C1411, $A$2:A1411, ""&lt;="" &amp; A1411) &lt; 30, AVERAGEIF($C$2:C1411, C1411, $G$2:G1411), AVERAGE(FILTER($G$2:G1411, $C$2:C1411 = C1411, $A$2:A1411 &gt;= A1411 - 30)))
"),"#DIV/0!")</f>
        <v>#DIV/0!</v>
      </c>
      <c r="I1411" s="20" t="e">
        <f t="shared" ca="1" si="26"/>
        <v>#DIV/0!</v>
      </c>
      <c r="J1411" s="20" t="str">
        <f ca="1">IFERROR(__xludf.DUMMYFUNCTION("IF(OR($I1411=2, $I1411=3), 0, IFERROR(COUNTIFS($C$2:C1411, $C1411, $A$2:A1411, ""&gt;""&amp;IFERROR(MAX(FILTER($A$2:A1411, $C$2:C1411=$C1411, $I$2:I1411&lt;&gt;1)), 0), $I$2:I1411, 1),1))
"),"#DIV/0!")</f>
        <v>#DIV/0!</v>
      </c>
      <c r="K1411" s="7" t="e">
        <f t="shared" ca="1" si="27"/>
        <v>#DIV/0!</v>
      </c>
      <c r="L1411" s="20" t="e">
        <f t="shared" ca="1" si="28"/>
        <v>#DIV/0!</v>
      </c>
      <c r="M1411" s="21" t="e">
        <f t="shared" ca="1" si="29"/>
        <v>#DIV/0!</v>
      </c>
      <c r="N1411" s="20" t="str">
        <f ca="1">IFERROR(__xludf.DUMMYFUNCTION("IF(COUNTIFS($C$2:C1411, C1411, $A$2:A1411, ""&lt;="" &amp; A1411) &lt; 30, STDEV.P(FILTER($G$2:G1411, $C$2:C1411 = C1411)), STDEV.P(FILTER($G$2:G1411, $C$2:C1411 = C1411, $A$2:A1411 &gt;= A1411 - 30)))
"),"#DIV/0!")</f>
        <v>#DIV/0!</v>
      </c>
    </row>
    <row r="1412" spans="1:14" x14ac:dyDescent="0.2">
      <c r="A1412" s="41"/>
      <c r="B1412" s="40"/>
      <c r="C1412" s="40"/>
      <c r="D1412" s="31"/>
      <c r="E1412" s="31"/>
      <c r="F1412" s="31"/>
      <c r="G1412" s="19" t="e">
        <f t="shared" si="25"/>
        <v>#DIV/0!</v>
      </c>
      <c r="H1412" s="20" t="str">
        <f ca="1">IFERROR(__xludf.DUMMYFUNCTION("IF(COUNTIFS($C$2:C1412, C1412, $A$2:A1412, ""&lt;="" &amp; A1412) &lt; 30, AVERAGEIF($C$2:C1412, C1412, $G$2:G1412), AVERAGE(FILTER($G$2:G1412, $C$2:C1412 = C1412, $A$2:A1412 &gt;= A1412 - 30)))
"),"#DIV/0!")</f>
        <v>#DIV/0!</v>
      </c>
      <c r="I1412" s="20" t="e">
        <f t="shared" ca="1" si="26"/>
        <v>#DIV/0!</v>
      </c>
      <c r="J1412" s="20" t="str">
        <f ca="1">IFERROR(__xludf.DUMMYFUNCTION("IF(OR($I1412=2, $I1412=3), 0, IFERROR(COUNTIFS($C$2:C1412, $C1412, $A$2:A1412, ""&gt;""&amp;IFERROR(MAX(FILTER($A$2:A1412, $C$2:C1412=$C1412, $I$2:I1412&lt;&gt;1)), 0), $I$2:I1412, 1),1))
"),"#DIV/0!")</f>
        <v>#DIV/0!</v>
      </c>
      <c r="K1412" s="7" t="e">
        <f t="shared" ca="1" si="27"/>
        <v>#DIV/0!</v>
      </c>
      <c r="L1412" s="20" t="e">
        <f t="shared" ca="1" si="28"/>
        <v>#DIV/0!</v>
      </c>
      <c r="M1412" s="21" t="e">
        <f t="shared" ca="1" si="29"/>
        <v>#DIV/0!</v>
      </c>
      <c r="N1412" s="20" t="str">
        <f ca="1">IFERROR(__xludf.DUMMYFUNCTION("IF(COUNTIFS($C$2:C1412, C1412, $A$2:A1412, ""&lt;="" &amp; A1412) &lt; 30, STDEV.P(FILTER($G$2:G1412, $C$2:C1412 = C1412)), STDEV.P(FILTER($G$2:G1412, $C$2:C1412 = C1412, $A$2:A1412 &gt;= A1412 - 30)))
"),"#DIV/0!")</f>
        <v>#DIV/0!</v>
      </c>
    </row>
    <row r="1413" spans="1:14" x14ac:dyDescent="0.2">
      <c r="A1413" s="41"/>
      <c r="B1413" s="40"/>
      <c r="C1413" s="40"/>
      <c r="D1413" s="31"/>
      <c r="E1413" s="31"/>
      <c r="F1413" s="31"/>
      <c r="G1413" s="19" t="e">
        <f t="shared" si="25"/>
        <v>#DIV/0!</v>
      </c>
      <c r="H1413" s="20" t="str">
        <f ca="1">IFERROR(__xludf.DUMMYFUNCTION("IF(COUNTIFS($C$2:C1413, C1413, $A$2:A1413, ""&lt;="" &amp; A1413) &lt; 30, AVERAGEIF($C$2:C1413, C1413, $G$2:G1413), AVERAGE(FILTER($G$2:G1413, $C$2:C1413 = C1413, $A$2:A1413 &gt;= A1413 - 30)))
"),"#DIV/0!")</f>
        <v>#DIV/0!</v>
      </c>
      <c r="I1413" s="20" t="e">
        <f t="shared" ca="1" si="26"/>
        <v>#DIV/0!</v>
      </c>
      <c r="J1413" s="20" t="str">
        <f ca="1">IFERROR(__xludf.DUMMYFUNCTION("IF(OR($I1413=2, $I1413=3), 0, IFERROR(COUNTIFS($C$2:C1413, $C1413, $A$2:A1413, ""&gt;""&amp;IFERROR(MAX(FILTER($A$2:A1413, $C$2:C1413=$C1413, $I$2:I1413&lt;&gt;1)), 0), $I$2:I1413, 1),1))
"),"#DIV/0!")</f>
        <v>#DIV/0!</v>
      </c>
      <c r="K1413" s="7" t="e">
        <f t="shared" ca="1" si="27"/>
        <v>#DIV/0!</v>
      </c>
      <c r="L1413" s="20" t="e">
        <f t="shared" ca="1" si="28"/>
        <v>#DIV/0!</v>
      </c>
      <c r="M1413" s="21" t="e">
        <f t="shared" ca="1" si="29"/>
        <v>#DIV/0!</v>
      </c>
      <c r="N1413" s="20" t="str">
        <f ca="1">IFERROR(__xludf.DUMMYFUNCTION("IF(COUNTIFS($C$2:C1413, C1413, $A$2:A1413, ""&lt;="" &amp; A1413) &lt; 30, STDEV.P(FILTER($G$2:G1413, $C$2:C1413 = C1413)), STDEV.P(FILTER($G$2:G1413, $C$2:C1413 = C1413, $A$2:A1413 &gt;= A1413 - 30)))
"),"#DIV/0!")</f>
        <v>#DIV/0!</v>
      </c>
    </row>
    <row r="1414" spans="1:14" x14ac:dyDescent="0.2">
      <c r="A1414" s="41"/>
      <c r="B1414" s="40"/>
      <c r="C1414" s="40"/>
      <c r="D1414" s="31"/>
      <c r="E1414" s="31"/>
      <c r="F1414" s="31"/>
      <c r="G1414" s="19" t="e">
        <f t="shared" si="25"/>
        <v>#DIV/0!</v>
      </c>
      <c r="H1414" s="20" t="str">
        <f ca="1">IFERROR(__xludf.DUMMYFUNCTION("IF(COUNTIFS($C$2:C1414, C1414, $A$2:A1414, ""&lt;="" &amp; A1414) &lt; 30, AVERAGEIF($C$2:C1414, C1414, $G$2:G1414), AVERAGE(FILTER($G$2:G1414, $C$2:C1414 = C1414, $A$2:A1414 &gt;= A1414 - 30)))
"),"#DIV/0!")</f>
        <v>#DIV/0!</v>
      </c>
      <c r="I1414" s="20" t="e">
        <f t="shared" ca="1" si="26"/>
        <v>#DIV/0!</v>
      </c>
      <c r="J1414" s="20" t="str">
        <f ca="1">IFERROR(__xludf.DUMMYFUNCTION("IF(OR($I1414=2, $I1414=3), 0, IFERROR(COUNTIFS($C$2:C1414, $C1414, $A$2:A1414, ""&gt;""&amp;IFERROR(MAX(FILTER($A$2:A1414, $C$2:C1414=$C1414, $I$2:I1414&lt;&gt;1)), 0), $I$2:I1414, 1),1))
"),"#DIV/0!")</f>
        <v>#DIV/0!</v>
      </c>
      <c r="K1414" s="7" t="e">
        <f t="shared" ca="1" si="27"/>
        <v>#DIV/0!</v>
      </c>
      <c r="L1414" s="20" t="e">
        <f t="shared" ca="1" si="28"/>
        <v>#DIV/0!</v>
      </c>
      <c r="M1414" s="21" t="e">
        <f t="shared" ca="1" si="29"/>
        <v>#DIV/0!</v>
      </c>
      <c r="N1414" s="20" t="str">
        <f ca="1">IFERROR(__xludf.DUMMYFUNCTION("IF(COUNTIFS($C$2:C1414, C1414, $A$2:A1414, ""&lt;="" &amp; A1414) &lt; 30, STDEV.P(FILTER($G$2:G1414, $C$2:C1414 = C1414)), STDEV.P(FILTER($G$2:G1414, $C$2:C1414 = C1414, $A$2:A1414 &gt;= A1414 - 30)))
"),"#DIV/0!")</f>
        <v>#DIV/0!</v>
      </c>
    </row>
    <row r="1415" spans="1:14" x14ac:dyDescent="0.2">
      <c r="A1415" s="41"/>
      <c r="B1415" s="40"/>
      <c r="C1415" s="40"/>
      <c r="D1415" s="31"/>
      <c r="E1415" s="31"/>
      <c r="F1415" s="31"/>
      <c r="G1415" s="19" t="e">
        <f t="shared" si="25"/>
        <v>#DIV/0!</v>
      </c>
      <c r="H1415" s="20" t="str">
        <f ca="1">IFERROR(__xludf.DUMMYFUNCTION("IF(COUNTIFS($C$2:C1415, C1415, $A$2:A1415, ""&lt;="" &amp; A1415) &lt; 30, AVERAGEIF($C$2:C1415, C1415, $G$2:G1415), AVERAGE(FILTER($G$2:G1415, $C$2:C1415 = C1415, $A$2:A1415 &gt;= A1415 - 30)))
"),"#DIV/0!")</f>
        <v>#DIV/0!</v>
      </c>
      <c r="I1415" s="20" t="e">
        <f t="shared" ca="1" si="26"/>
        <v>#DIV/0!</v>
      </c>
      <c r="J1415" s="20" t="str">
        <f ca="1">IFERROR(__xludf.DUMMYFUNCTION("IF(OR($I1415=2, $I1415=3), 0, IFERROR(COUNTIFS($C$2:C1415, $C1415, $A$2:A1415, ""&gt;""&amp;IFERROR(MAX(FILTER($A$2:A1415, $C$2:C1415=$C1415, $I$2:I1415&lt;&gt;1)), 0), $I$2:I1415, 1),1))
"),"#DIV/0!")</f>
        <v>#DIV/0!</v>
      </c>
      <c r="K1415" s="7" t="e">
        <f t="shared" ca="1" si="27"/>
        <v>#DIV/0!</v>
      </c>
      <c r="L1415" s="20" t="e">
        <f t="shared" ca="1" si="28"/>
        <v>#DIV/0!</v>
      </c>
      <c r="M1415" s="21" t="e">
        <f t="shared" ca="1" si="29"/>
        <v>#DIV/0!</v>
      </c>
      <c r="N1415" s="20" t="str">
        <f ca="1">IFERROR(__xludf.DUMMYFUNCTION("IF(COUNTIFS($C$2:C1415, C1415, $A$2:A1415, ""&lt;="" &amp; A1415) &lt; 30, STDEV.P(FILTER($G$2:G1415, $C$2:C1415 = C1415)), STDEV.P(FILTER($G$2:G1415, $C$2:C1415 = C1415, $A$2:A1415 &gt;= A1415 - 30)))
"),"#DIV/0!")</f>
        <v>#DIV/0!</v>
      </c>
    </row>
    <row r="1416" spans="1:14" x14ac:dyDescent="0.2">
      <c r="A1416" s="41"/>
      <c r="B1416" s="40"/>
      <c r="C1416" s="40"/>
      <c r="D1416" s="31"/>
      <c r="E1416" s="31"/>
      <c r="F1416" s="31"/>
      <c r="G1416" s="19" t="e">
        <f t="shared" si="25"/>
        <v>#DIV/0!</v>
      </c>
      <c r="H1416" s="20" t="str">
        <f ca="1">IFERROR(__xludf.DUMMYFUNCTION("IF(COUNTIFS($C$2:C1416, C1416, $A$2:A1416, ""&lt;="" &amp; A1416) &lt; 30, AVERAGEIF($C$2:C1416, C1416, $G$2:G1416), AVERAGE(FILTER($G$2:G1416, $C$2:C1416 = C1416, $A$2:A1416 &gt;= A1416 - 30)))
"),"#DIV/0!")</f>
        <v>#DIV/0!</v>
      </c>
      <c r="I1416" s="20" t="e">
        <f t="shared" ca="1" si="26"/>
        <v>#DIV/0!</v>
      </c>
      <c r="J1416" s="20" t="str">
        <f ca="1">IFERROR(__xludf.DUMMYFUNCTION("IF(OR($I1416=2, $I1416=3), 0, IFERROR(COUNTIFS($C$2:C1416, $C1416, $A$2:A1416, ""&gt;""&amp;IFERROR(MAX(FILTER($A$2:A1416, $C$2:C1416=$C1416, $I$2:I1416&lt;&gt;1)), 0), $I$2:I1416, 1),1))
"),"#DIV/0!")</f>
        <v>#DIV/0!</v>
      </c>
      <c r="K1416" s="7" t="e">
        <f t="shared" ca="1" si="27"/>
        <v>#DIV/0!</v>
      </c>
      <c r="L1416" s="20" t="e">
        <f t="shared" ca="1" si="28"/>
        <v>#DIV/0!</v>
      </c>
      <c r="M1416" s="21" t="e">
        <f t="shared" ca="1" si="29"/>
        <v>#DIV/0!</v>
      </c>
      <c r="N1416" s="20" t="str">
        <f ca="1">IFERROR(__xludf.DUMMYFUNCTION("IF(COUNTIFS($C$2:C1416, C1416, $A$2:A1416, ""&lt;="" &amp; A1416) &lt; 30, STDEV.P(FILTER($G$2:G1416, $C$2:C1416 = C1416)), STDEV.P(FILTER($G$2:G1416, $C$2:C1416 = C1416, $A$2:A1416 &gt;= A1416 - 30)))
"),"#DIV/0!")</f>
        <v>#DIV/0!</v>
      </c>
    </row>
    <row r="1417" spans="1:14" x14ac:dyDescent="0.2">
      <c r="A1417" s="41"/>
      <c r="B1417" s="40"/>
      <c r="C1417" s="40"/>
      <c r="D1417" s="31"/>
      <c r="E1417" s="31"/>
      <c r="F1417" s="31"/>
      <c r="G1417" s="19" t="e">
        <f t="shared" si="25"/>
        <v>#DIV/0!</v>
      </c>
      <c r="H1417" s="20" t="str">
        <f ca="1">IFERROR(__xludf.DUMMYFUNCTION("IF(COUNTIFS($C$2:C1417, C1417, $A$2:A1417, ""&lt;="" &amp; A1417) &lt; 30, AVERAGEIF($C$2:C1417, C1417, $G$2:G1417), AVERAGE(FILTER($G$2:G1417, $C$2:C1417 = C1417, $A$2:A1417 &gt;= A1417 - 30)))
"),"#DIV/0!")</f>
        <v>#DIV/0!</v>
      </c>
      <c r="I1417" s="20" t="e">
        <f t="shared" ca="1" si="26"/>
        <v>#DIV/0!</v>
      </c>
      <c r="J1417" s="20" t="str">
        <f ca="1">IFERROR(__xludf.DUMMYFUNCTION("IF(OR($I1417=2, $I1417=3), 0, IFERROR(COUNTIFS($C$2:C1417, $C1417, $A$2:A1417, ""&gt;""&amp;IFERROR(MAX(FILTER($A$2:A1417, $C$2:C1417=$C1417, $I$2:I1417&lt;&gt;1)), 0), $I$2:I1417, 1),1))
"),"#DIV/0!")</f>
        <v>#DIV/0!</v>
      </c>
      <c r="K1417" s="7" t="e">
        <f t="shared" ca="1" si="27"/>
        <v>#DIV/0!</v>
      </c>
      <c r="L1417" s="20" t="e">
        <f t="shared" ca="1" si="28"/>
        <v>#DIV/0!</v>
      </c>
      <c r="M1417" s="21" t="e">
        <f t="shared" ca="1" si="29"/>
        <v>#DIV/0!</v>
      </c>
      <c r="N1417" s="20" t="str">
        <f ca="1">IFERROR(__xludf.DUMMYFUNCTION("IF(COUNTIFS($C$2:C1417, C1417, $A$2:A1417, ""&lt;="" &amp; A1417) &lt; 30, STDEV.P(FILTER($G$2:G1417, $C$2:C1417 = C1417)), STDEV.P(FILTER($G$2:G1417, $C$2:C1417 = C1417, $A$2:A1417 &gt;= A1417 - 30)))
"),"#DIV/0!")</f>
        <v>#DIV/0!</v>
      </c>
    </row>
    <row r="1418" spans="1:14" x14ac:dyDescent="0.2">
      <c r="A1418" s="41"/>
      <c r="B1418" s="40"/>
      <c r="C1418" s="40"/>
      <c r="D1418" s="31"/>
      <c r="E1418" s="31"/>
      <c r="F1418" s="31"/>
      <c r="G1418" s="19" t="e">
        <f t="shared" si="25"/>
        <v>#DIV/0!</v>
      </c>
      <c r="H1418" s="20" t="str">
        <f ca="1">IFERROR(__xludf.DUMMYFUNCTION("IF(COUNTIFS($C$2:C1418, C1418, $A$2:A1418, ""&lt;="" &amp; A1418) &lt; 30, AVERAGEIF($C$2:C1418, C1418, $G$2:G1418), AVERAGE(FILTER($G$2:G1418, $C$2:C1418 = C1418, $A$2:A1418 &gt;= A1418 - 30)))
"),"#DIV/0!")</f>
        <v>#DIV/0!</v>
      </c>
      <c r="I1418" s="20" t="e">
        <f t="shared" ca="1" si="26"/>
        <v>#DIV/0!</v>
      </c>
      <c r="J1418" s="20" t="str">
        <f ca="1">IFERROR(__xludf.DUMMYFUNCTION("IF(OR($I1418=2, $I1418=3), 0, IFERROR(COUNTIFS($C$2:C1418, $C1418, $A$2:A1418, ""&gt;""&amp;IFERROR(MAX(FILTER($A$2:A1418, $C$2:C1418=$C1418, $I$2:I1418&lt;&gt;1)), 0), $I$2:I1418, 1),1))
"),"#DIV/0!")</f>
        <v>#DIV/0!</v>
      </c>
      <c r="K1418" s="7" t="e">
        <f t="shared" ca="1" si="27"/>
        <v>#DIV/0!</v>
      </c>
      <c r="L1418" s="20" t="e">
        <f t="shared" ca="1" si="28"/>
        <v>#DIV/0!</v>
      </c>
      <c r="M1418" s="21" t="e">
        <f t="shared" ca="1" si="29"/>
        <v>#DIV/0!</v>
      </c>
      <c r="N1418" s="20" t="str">
        <f ca="1">IFERROR(__xludf.DUMMYFUNCTION("IF(COUNTIFS($C$2:C1418, C1418, $A$2:A1418, ""&lt;="" &amp; A1418) &lt; 30, STDEV.P(FILTER($G$2:G1418, $C$2:C1418 = C1418)), STDEV.P(FILTER($G$2:G1418, $C$2:C1418 = C1418, $A$2:A1418 &gt;= A1418 - 30)))
"),"#DIV/0!")</f>
        <v>#DIV/0!</v>
      </c>
    </row>
    <row r="1419" spans="1:14" x14ac:dyDescent="0.2">
      <c r="A1419" s="41"/>
      <c r="B1419" s="40"/>
      <c r="C1419" s="40"/>
      <c r="D1419" s="31"/>
      <c r="E1419" s="31"/>
      <c r="F1419" s="31"/>
      <c r="G1419" s="19" t="e">
        <f t="shared" si="25"/>
        <v>#DIV/0!</v>
      </c>
      <c r="H1419" s="20" t="str">
        <f ca="1">IFERROR(__xludf.DUMMYFUNCTION("IF(COUNTIFS($C$2:C1419, C1419, $A$2:A1419, ""&lt;="" &amp; A1419) &lt; 30, AVERAGEIF($C$2:C1419, C1419, $G$2:G1419), AVERAGE(FILTER($G$2:G1419, $C$2:C1419 = C1419, $A$2:A1419 &gt;= A1419 - 30)))
"),"#DIV/0!")</f>
        <v>#DIV/0!</v>
      </c>
      <c r="I1419" s="20" t="e">
        <f t="shared" ca="1" si="26"/>
        <v>#DIV/0!</v>
      </c>
      <c r="J1419" s="20" t="str">
        <f ca="1">IFERROR(__xludf.DUMMYFUNCTION("IF(OR($I1419=2, $I1419=3), 0, IFERROR(COUNTIFS($C$2:C1419, $C1419, $A$2:A1419, ""&gt;""&amp;IFERROR(MAX(FILTER($A$2:A1419, $C$2:C1419=$C1419, $I$2:I1419&lt;&gt;1)), 0), $I$2:I1419, 1),1))
"),"#DIV/0!")</f>
        <v>#DIV/0!</v>
      </c>
      <c r="K1419" s="7" t="e">
        <f t="shared" ca="1" si="27"/>
        <v>#DIV/0!</v>
      </c>
      <c r="L1419" s="20" t="e">
        <f t="shared" ca="1" si="28"/>
        <v>#DIV/0!</v>
      </c>
      <c r="M1419" s="21" t="e">
        <f t="shared" ca="1" si="29"/>
        <v>#DIV/0!</v>
      </c>
      <c r="N1419" s="20" t="str">
        <f ca="1">IFERROR(__xludf.DUMMYFUNCTION("IF(COUNTIFS($C$2:C1419, C1419, $A$2:A1419, ""&lt;="" &amp; A1419) &lt; 30, STDEV.P(FILTER($G$2:G1419, $C$2:C1419 = C1419)), STDEV.P(FILTER($G$2:G1419, $C$2:C1419 = C1419, $A$2:A1419 &gt;= A1419 - 30)))
"),"#DIV/0!")</f>
        <v>#DIV/0!</v>
      </c>
    </row>
    <row r="1420" spans="1:14" x14ac:dyDescent="0.2">
      <c r="A1420" s="41"/>
      <c r="B1420" s="40"/>
      <c r="C1420" s="40"/>
      <c r="D1420" s="31"/>
      <c r="E1420" s="31"/>
      <c r="F1420" s="31"/>
      <c r="G1420" s="19" t="e">
        <f t="shared" si="25"/>
        <v>#DIV/0!</v>
      </c>
      <c r="H1420" s="20" t="str">
        <f ca="1">IFERROR(__xludf.DUMMYFUNCTION("IF(COUNTIFS($C$2:C1420, C1420, $A$2:A1420, ""&lt;="" &amp; A1420) &lt; 30, AVERAGEIF($C$2:C1420, C1420, $G$2:G1420), AVERAGE(FILTER($G$2:G1420, $C$2:C1420 = C1420, $A$2:A1420 &gt;= A1420 - 30)))
"),"#DIV/0!")</f>
        <v>#DIV/0!</v>
      </c>
      <c r="I1420" s="20" t="e">
        <f t="shared" ca="1" si="26"/>
        <v>#DIV/0!</v>
      </c>
      <c r="J1420" s="20" t="str">
        <f ca="1">IFERROR(__xludf.DUMMYFUNCTION("IF(OR($I1420=2, $I1420=3), 0, IFERROR(COUNTIFS($C$2:C1420, $C1420, $A$2:A1420, ""&gt;""&amp;IFERROR(MAX(FILTER($A$2:A1420, $C$2:C1420=$C1420, $I$2:I1420&lt;&gt;1)), 0), $I$2:I1420, 1),1))
"),"#DIV/0!")</f>
        <v>#DIV/0!</v>
      </c>
      <c r="K1420" s="7" t="e">
        <f t="shared" ca="1" si="27"/>
        <v>#DIV/0!</v>
      </c>
      <c r="L1420" s="20" t="e">
        <f t="shared" ca="1" si="28"/>
        <v>#DIV/0!</v>
      </c>
      <c r="M1420" s="21" t="e">
        <f t="shared" ca="1" si="29"/>
        <v>#DIV/0!</v>
      </c>
      <c r="N1420" s="20" t="str">
        <f ca="1">IFERROR(__xludf.DUMMYFUNCTION("IF(COUNTIFS($C$2:C1420, C1420, $A$2:A1420, ""&lt;="" &amp; A1420) &lt; 30, STDEV.P(FILTER($G$2:G1420, $C$2:C1420 = C1420)), STDEV.P(FILTER($G$2:G1420, $C$2:C1420 = C1420, $A$2:A1420 &gt;= A1420 - 30)))
"),"#DIV/0!")</f>
        <v>#DIV/0!</v>
      </c>
    </row>
    <row r="1421" spans="1:14" x14ac:dyDescent="0.2">
      <c r="A1421" s="41"/>
      <c r="B1421" s="40"/>
      <c r="C1421" s="40"/>
      <c r="D1421" s="31"/>
      <c r="E1421" s="31"/>
      <c r="F1421" s="31"/>
      <c r="G1421" s="19" t="e">
        <f t="shared" si="25"/>
        <v>#DIV/0!</v>
      </c>
      <c r="H1421" s="20" t="str">
        <f ca="1">IFERROR(__xludf.DUMMYFUNCTION("IF(COUNTIFS($C$2:C1421, C1421, $A$2:A1421, ""&lt;="" &amp; A1421) &lt; 30, AVERAGEIF($C$2:C1421, C1421, $G$2:G1421), AVERAGE(FILTER($G$2:G1421, $C$2:C1421 = C1421, $A$2:A1421 &gt;= A1421 - 30)))
"),"#DIV/0!")</f>
        <v>#DIV/0!</v>
      </c>
      <c r="I1421" s="20" t="e">
        <f t="shared" ca="1" si="26"/>
        <v>#DIV/0!</v>
      </c>
      <c r="J1421" s="20" t="str">
        <f ca="1">IFERROR(__xludf.DUMMYFUNCTION("IF(OR($I1421=2, $I1421=3), 0, IFERROR(COUNTIFS($C$2:C1421, $C1421, $A$2:A1421, ""&gt;""&amp;IFERROR(MAX(FILTER($A$2:A1421, $C$2:C1421=$C1421, $I$2:I1421&lt;&gt;1)), 0), $I$2:I1421, 1),1))
"),"#DIV/0!")</f>
        <v>#DIV/0!</v>
      </c>
      <c r="K1421" s="7" t="e">
        <f t="shared" ca="1" si="27"/>
        <v>#DIV/0!</v>
      </c>
      <c r="L1421" s="20" t="e">
        <f t="shared" ca="1" si="28"/>
        <v>#DIV/0!</v>
      </c>
      <c r="M1421" s="21" t="e">
        <f t="shared" ca="1" si="29"/>
        <v>#DIV/0!</v>
      </c>
      <c r="N1421" s="20" t="str">
        <f ca="1">IFERROR(__xludf.DUMMYFUNCTION("IF(COUNTIFS($C$2:C1421, C1421, $A$2:A1421, ""&lt;="" &amp; A1421) &lt; 30, STDEV.P(FILTER($G$2:G1421, $C$2:C1421 = C1421)), STDEV.P(FILTER($G$2:G1421, $C$2:C1421 = C1421, $A$2:A1421 &gt;= A1421 - 30)))
"),"#DIV/0!")</f>
        <v>#DIV/0!</v>
      </c>
    </row>
    <row r="1422" spans="1:14" x14ac:dyDescent="0.2">
      <c r="A1422" s="41"/>
      <c r="B1422" s="40"/>
      <c r="C1422" s="40"/>
      <c r="D1422" s="31"/>
      <c r="E1422" s="31"/>
      <c r="F1422" s="31"/>
      <c r="G1422" s="19" t="e">
        <f t="shared" si="25"/>
        <v>#DIV/0!</v>
      </c>
      <c r="H1422" s="20" t="str">
        <f ca="1">IFERROR(__xludf.DUMMYFUNCTION("IF(COUNTIFS($C$2:C1422, C1422, $A$2:A1422, ""&lt;="" &amp; A1422) &lt; 30, AVERAGEIF($C$2:C1422, C1422, $G$2:G1422), AVERAGE(FILTER($G$2:G1422, $C$2:C1422 = C1422, $A$2:A1422 &gt;= A1422 - 30)))
"),"#DIV/0!")</f>
        <v>#DIV/0!</v>
      </c>
      <c r="I1422" s="20" t="e">
        <f t="shared" ca="1" si="26"/>
        <v>#DIV/0!</v>
      </c>
      <c r="J1422" s="20" t="str">
        <f ca="1">IFERROR(__xludf.DUMMYFUNCTION("IF(OR($I1422=2, $I1422=3), 0, IFERROR(COUNTIFS($C$2:C1422, $C1422, $A$2:A1422, ""&gt;""&amp;IFERROR(MAX(FILTER($A$2:A1422, $C$2:C1422=$C1422, $I$2:I1422&lt;&gt;1)), 0), $I$2:I1422, 1),1))
"),"#DIV/0!")</f>
        <v>#DIV/0!</v>
      </c>
      <c r="K1422" s="7" t="e">
        <f t="shared" ca="1" si="27"/>
        <v>#DIV/0!</v>
      </c>
      <c r="L1422" s="20" t="e">
        <f t="shared" ca="1" si="28"/>
        <v>#DIV/0!</v>
      </c>
      <c r="M1422" s="21" t="e">
        <f t="shared" ca="1" si="29"/>
        <v>#DIV/0!</v>
      </c>
      <c r="N1422" s="20" t="str">
        <f ca="1">IFERROR(__xludf.DUMMYFUNCTION("IF(COUNTIFS($C$2:C1422, C1422, $A$2:A1422, ""&lt;="" &amp; A1422) &lt; 30, STDEV.P(FILTER($G$2:G1422, $C$2:C1422 = C1422)), STDEV.P(FILTER($G$2:G1422, $C$2:C1422 = C1422, $A$2:A1422 &gt;= A1422 - 30)))
"),"#DIV/0!")</f>
        <v>#DIV/0!</v>
      </c>
    </row>
    <row r="1423" spans="1:14" x14ac:dyDescent="0.2">
      <c r="A1423" s="41"/>
      <c r="B1423" s="40"/>
      <c r="C1423" s="40"/>
      <c r="D1423" s="31"/>
      <c r="E1423" s="31"/>
      <c r="F1423" s="31"/>
      <c r="G1423" s="19" t="e">
        <f t="shared" si="25"/>
        <v>#DIV/0!</v>
      </c>
      <c r="H1423" s="20" t="str">
        <f ca="1">IFERROR(__xludf.DUMMYFUNCTION("IF(COUNTIFS($C$2:C1423, C1423, $A$2:A1423, ""&lt;="" &amp; A1423) &lt; 30, AVERAGEIF($C$2:C1423, C1423, $G$2:G1423), AVERAGE(FILTER($G$2:G1423, $C$2:C1423 = C1423, $A$2:A1423 &gt;= A1423 - 30)))
"),"#DIV/0!")</f>
        <v>#DIV/0!</v>
      </c>
      <c r="I1423" s="20" t="e">
        <f t="shared" ca="1" si="26"/>
        <v>#DIV/0!</v>
      </c>
      <c r="J1423" s="20" t="str">
        <f ca="1">IFERROR(__xludf.DUMMYFUNCTION("IF(OR($I1423=2, $I1423=3), 0, IFERROR(COUNTIFS($C$2:C1423, $C1423, $A$2:A1423, ""&gt;""&amp;IFERROR(MAX(FILTER($A$2:A1423, $C$2:C1423=$C1423, $I$2:I1423&lt;&gt;1)), 0), $I$2:I1423, 1),1))
"),"#DIV/0!")</f>
        <v>#DIV/0!</v>
      </c>
      <c r="K1423" s="7" t="e">
        <f t="shared" ca="1" si="27"/>
        <v>#DIV/0!</v>
      </c>
      <c r="L1423" s="20" t="e">
        <f t="shared" ca="1" si="28"/>
        <v>#DIV/0!</v>
      </c>
      <c r="M1423" s="21" t="e">
        <f t="shared" ca="1" si="29"/>
        <v>#DIV/0!</v>
      </c>
      <c r="N1423" s="20" t="str">
        <f ca="1">IFERROR(__xludf.DUMMYFUNCTION("IF(COUNTIFS($C$2:C1423, C1423, $A$2:A1423, ""&lt;="" &amp; A1423) &lt; 30, STDEV.P(FILTER($G$2:G1423, $C$2:C1423 = C1423)), STDEV.P(FILTER($G$2:G1423, $C$2:C1423 = C1423, $A$2:A1423 &gt;= A1423 - 30)))
"),"#DIV/0!")</f>
        <v>#DIV/0!</v>
      </c>
    </row>
    <row r="1424" spans="1:14" x14ac:dyDescent="0.2">
      <c r="A1424" s="41"/>
      <c r="B1424" s="40"/>
      <c r="C1424" s="40"/>
      <c r="D1424" s="31"/>
      <c r="E1424" s="31"/>
      <c r="F1424" s="31"/>
      <c r="G1424" s="19" t="e">
        <f t="shared" si="25"/>
        <v>#DIV/0!</v>
      </c>
      <c r="H1424" s="20" t="str">
        <f ca="1">IFERROR(__xludf.DUMMYFUNCTION("IF(COUNTIFS($C$2:C1424, C1424, $A$2:A1424, ""&lt;="" &amp; A1424) &lt; 30, AVERAGEIF($C$2:C1424, C1424, $G$2:G1424), AVERAGE(FILTER($G$2:G1424, $C$2:C1424 = C1424, $A$2:A1424 &gt;= A1424 - 30)))
"),"#DIV/0!")</f>
        <v>#DIV/0!</v>
      </c>
      <c r="I1424" s="20" t="e">
        <f t="shared" ca="1" si="26"/>
        <v>#DIV/0!</v>
      </c>
      <c r="J1424" s="20" t="str">
        <f ca="1">IFERROR(__xludf.DUMMYFUNCTION("IF(OR($I1424=2, $I1424=3), 0, IFERROR(COUNTIFS($C$2:C1424, $C1424, $A$2:A1424, ""&gt;""&amp;IFERROR(MAX(FILTER($A$2:A1424, $C$2:C1424=$C1424, $I$2:I1424&lt;&gt;1)), 0), $I$2:I1424, 1),1))
"),"#DIV/0!")</f>
        <v>#DIV/0!</v>
      </c>
      <c r="K1424" s="7" t="e">
        <f t="shared" ca="1" si="27"/>
        <v>#DIV/0!</v>
      </c>
      <c r="L1424" s="20" t="e">
        <f t="shared" ca="1" si="28"/>
        <v>#DIV/0!</v>
      </c>
      <c r="M1424" s="21" t="e">
        <f t="shared" ca="1" si="29"/>
        <v>#DIV/0!</v>
      </c>
      <c r="N1424" s="20" t="str">
        <f ca="1">IFERROR(__xludf.DUMMYFUNCTION("IF(COUNTIFS($C$2:C1424, C1424, $A$2:A1424, ""&lt;="" &amp; A1424) &lt; 30, STDEV.P(FILTER($G$2:G1424, $C$2:C1424 = C1424)), STDEV.P(FILTER($G$2:G1424, $C$2:C1424 = C1424, $A$2:A1424 &gt;= A1424 - 30)))
"),"#DIV/0!")</f>
        <v>#DIV/0!</v>
      </c>
    </row>
    <row r="1425" spans="1:14" x14ac:dyDescent="0.2">
      <c r="A1425" s="41"/>
      <c r="B1425" s="40"/>
      <c r="C1425" s="40"/>
      <c r="D1425" s="31"/>
      <c r="E1425" s="31"/>
      <c r="F1425" s="31"/>
      <c r="G1425" s="19" t="e">
        <f t="shared" si="25"/>
        <v>#DIV/0!</v>
      </c>
      <c r="H1425" s="20" t="str">
        <f ca="1">IFERROR(__xludf.DUMMYFUNCTION("IF(COUNTIFS($C$2:C1425, C1425, $A$2:A1425, ""&lt;="" &amp; A1425) &lt; 30, AVERAGEIF($C$2:C1425, C1425, $G$2:G1425), AVERAGE(FILTER($G$2:G1425, $C$2:C1425 = C1425, $A$2:A1425 &gt;= A1425 - 30)))
"),"#DIV/0!")</f>
        <v>#DIV/0!</v>
      </c>
      <c r="I1425" s="20" t="e">
        <f t="shared" ca="1" si="26"/>
        <v>#DIV/0!</v>
      </c>
      <c r="J1425" s="20" t="str">
        <f ca="1">IFERROR(__xludf.DUMMYFUNCTION("IF(OR($I1425=2, $I1425=3), 0, IFERROR(COUNTIFS($C$2:C1425, $C1425, $A$2:A1425, ""&gt;""&amp;IFERROR(MAX(FILTER($A$2:A1425, $C$2:C1425=$C1425, $I$2:I1425&lt;&gt;1)), 0), $I$2:I1425, 1),1))
"),"#DIV/0!")</f>
        <v>#DIV/0!</v>
      </c>
      <c r="K1425" s="7" t="e">
        <f t="shared" ca="1" si="27"/>
        <v>#DIV/0!</v>
      </c>
      <c r="L1425" s="20" t="e">
        <f t="shared" ca="1" si="28"/>
        <v>#DIV/0!</v>
      </c>
      <c r="M1425" s="21" t="e">
        <f t="shared" ca="1" si="29"/>
        <v>#DIV/0!</v>
      </c>
      <c r="N1425" s="20" t="str">
        <f ca="1">IFERROR(__xludf.DUMMYFUNCTION("IF(COUNTIFS($C$2:C1425, C1425, $A$2:A1425, ""&lt;="" &amp; A1425) &lt; 30, STDEV.P(FILTER($G$2:G1425, $C$2:C1425 = C1425)), STDEV.P(FILTER($G$2:G1425, $C$2:C1425 = C1425, $A$2:A1425 &gt;= A1425 - 30)))
"),"#DIV/0!")</f>
        <v>#DIV/0!</v>
      </c>
    </row>
    <row r="1426" spans="1:14" x14ac:dyDescent="0.2">
      <c r="A1426" s="41"/>
      <c r="B1426" s="40"/>
      <c r="C1426" s="40"/>
      <c r="D1426" s="31"/>
      <c r="E1426" s="31"/>
      <c r="F1426" s="31"/>
      <c r="G1426" s="19" t="e">
        <f t="shared" si="25"/>
        <v>#DIV/0!</v>
      </c>
      <c r="H1426" s="20" t="str">
        <f ca="1">IFERROR(__xludf.DUMMYFUNCTION("IF(COUNTIFS($C$2:C1426, C1426, $A$2:A1426, ""&lt;="" &amp; A1426) &lt; 30, AVERAGEIF($C$2:C1426, C1426, $G$2:G1426), AVERAGE(FILTER($G$2:G1426, $C$2:C1426 = C1426, $A$2:A1426 &gt;= A1426 - 30)))
"),"#DIV/0!")</f>
        <v>#DIV/0!</v>
      </c>
      <c r="I1426" s="20" t="e">
        <f t="shared" ca="1" si="26"/>
        <v>#DIV/0!</v>
      </c>
      <c r="J1426" s="20" t="str">
        <f ca="1">IFERROR(__xludf.DUMMYFUNCTION("IF(OR($I1426=2, $I1426=3), 0, IFERROR(COUNTIFS($C$2:C1426, $C1426, $A$2:A1426, ""&gt;""&amp;IFERROR(MAX(FILTER($A$2:A1426, $C$2:C1426=$C1426, $I$2:I1426&lt;&gt;1)), 0), $I$2:I1426, 1),1))
"),"#DIV/0!")</f>
        <v>#DIV/0!</v>
      </c>
      <c r="K1426" s="7" t="e">
        <f t="shared" ca="1" si="27"/>
        <v>#DIV/0!</v>
      </c>
      <c r="L1426" s="20" t="e">
        <f t="shared" ca="1" si="28"/>
        <v>#DIV/0!</v>
      </c>
      <c r="M1426" s="21" t="e">
        <f t="shared" ca="1" si="29"/>
        <v>#DIV/0!</v>
      </c>
      <c r="N1426" s="20" t="str">
        <f ca="1">IFERROR(__xludf.DUMMYFUNCTION("IF(COUNTIFS($C$2:C1426, C1426, $A$2:A1426, ""&lt;="" &amp; A1426) &lt; 30, STDEV.P(FILTER($G$2:G1426, $C$2:C1426 = C1426)), STDEV.P(FILTER($G$2:G1426, $C$2:C1426 = C1426, $A$2:A1426 &gt;= A1426 - 30)))
"),"#DIV/0!")</f>
        <v>#DIV/0!</v>
      </c>
    </row>
    <row r="1427" spans="1:14" x14ac:dyDescent="0.2">
      <c r="A1427" s="41"/>
      <c r="B1427" s="40"/>
      <c r="C1427" s="40"/>
      <c r="D1427" s="31"/>
      <c r="E1427" s="31"/>
      <c r="F1427" s="31"/>
      <c r="G1427" s="19" t="e">
        <f t="shared" si="25"/>
        <v>#DIV/0!</v>
      </c>
      <c r="H1427" s="20" t="str">
        <f ca="1">IFERROR(__xludf.DUMMYFUNCTION("IF(COUNTIFS($C$2:C1427, C1427, $A$2:A1427, ""&lt;="" &amp; A1427) &lt; 30, AVERAGEIF($C$2:C1427, C1427, $G$2:G1427), AVERAGE(FILTER($G$2:G1427, $C$2:C1427 = C1427, $A$2:A1427 &gt;= A1427 - 30)))
"),"#DIV/0!")</f>
        <v>#DIV/0!</v>
      </c>
      <c r="I1427" s="20" t="e">
        <f t="shared" ca="1" si="26"/>
        <v>#DIV/0!</v>
      </c>
      <c r="J1427" s="20" t="str">
        <f ca="1">IFERROR(__xludf.DUMMYFUNCTION("IF(OR($I1427=2, $I1427=3), 0, IFERROR(COUNTIFS($C$2:C1427, $C1427, $A$2:A1427, ""&gt;""&amp;IFERROR(MAX(FILTER($A$2:A1427, $C$2:C1427=$C1427, $I$2:I1427&lt;&gt;1)), 0), $I$2:I1427, 1),1))
"),"#DIV/0!")</f>
        <v>#DIV/0!</v>
      </c>
      <c r="K1427" s="7" t="e">
        <f t="shared" ca="1" si="27"/>
        <v>#DIV/0!</v>
      </c>
      <c r="L1427" s="20" t="e">
        <f t="shared" ca="1" si="28"/>
        <v>#DIV/0!</v>
      </c>
      <c r="M1427" s="21" t="e">
        <f t="shared" ca="1" si="29"/>
        <v>#DIV/0!</v>
      </c>
      <c r="N1427" s="20" t="str">
        <f ca="1">IFERROR(__xludf.DUMMYFUNCTION("IF(COUNTIFS($C$2:C1427, C1427, $A$2:A1427, ""&lt;="" &amp; A1427) &lt; 30, STDEV.P(FILTER($G$2:G1427, $C$2:C1427 = C1427)), STDEV.P(FILTER($G$2:G1427, $C$2:C1427 = C1427, $A$2:A1427 &gt;= A1427 - 30)))
"),"#DIV/0!")</f>
        <v>#DIV/0!</v>
      </c>
    </row>
    <row r="1428" spans="1:14" x14ac:dyDescent="0.2">
      <c r="A1428" s="41"/>
      <c r="B1428" s="40"/>
      <c r="C1428" s="40"/>
      <c r="D1428" s="31"/>
      <c r="E1428" s="31"/>
      <c r="F1428" s="31"/>
      <c r="G1428" s="19" t="e">
        <f t="shared" si="25"/>
        <v>#DIV/0!</v>
      </c>
      <c r="H1428" s="20" t="str">
        <f ca="1">IFERROR(__xludf.DUMMYFUNCTION("IF(COUNTIFS($C$2:C1428, C1428, $A$2:A1428, ""&lt;="" &amp; A1428) &lt; 30, AVERAGEIF($C$2:C1428, C1428, $G$2:G1428), AVERAGE(FILTER($G$2:G1428, $C$2:C1428 = C1428, $A$2:A1428 &gt;= A1428 - 30)))
"),"#DIV/0!")</f>
        <v>#DIV/0!</v>
      </c>
      <c r="I1428" s="20" t="e">
        <f t="shared" ca="1" si="26"/>
        <v>#DIV/0!</v>
      </c>
      <c r="J1428" s="20" t="str">
        <f ca="1">IFERROR(__xludf.DUMMYFUNCTION("IF(OR($I1428=2, $I1428=3), 0, IFERROR(COUNTIFS($C$2:C1428, $C1428, $A$2:A1428, ""&gt;""&amp;IFERROR(MAX(FILTER($A$2:A1428, $C$2:C1428=$C1428, $I$2:I1428&lt;&gt;1)), 0), $I$2:I1428, 1),1))
"),"#DIV/0!")</f>
        <v>#DIV/0!</v>
      </c>
      <c r="K1428" s="7" t="e">
        <f t="shared" ca="1" si="27"/>
        <v>#DIV/0!</v>
      </c>
      <c r="L1428" s="20" t="e">
        <f t="shared" ca="1" si="28"/>
        <v>#DIV/0!</v>
      </c>
      <c r="M1428" s="21" t="e">
        <f t="shared" ca="1" si="29"/>
        <v>#DIV/0!</v>
      </c>
      <c r="N1428" s="20" t="str">
        <f ca="1">IFERROR(__xludf.DUMMYFUNCTION("IF(COUNTIFS($C$2:C1428, C1428, $A$2:A1428, ""&lt;="" &amp; A1428) &lt; 30, STDEV.P(FILTER($G$2:G1428, $C$2:C1428 = C1428)), STDEV.P(FILTER($G$2:G1428, $C$2:C1428 = C1428, $A$2:A1428 &gt;= A1428 - 30)))
"),"#DIV/0!")</f>
        <v>#DIV/0!</v>
      </c>
    </row>
    <row r="1429" spans="1:14" x14ac:dyDescent="0.2">
      <c r="A1429" s="41"/>
      <c r="B1429" s="40"/>
      <c r="C1429" s="40"/>
      <c r="D1429" s="31"/>
      <c r="E1429" s="31"/>
      <c r="F1429" s="31"/>
      <c r="G1429" s="19" t="e">
        <f t="shared" si="25"/>
        <v>#DIV/0!</v>
      </c>
      <c r="H1429" s="20" t="str">
        <f ca="1">IFERROR(__xludf.DUMMYFUNCTION("IF(COUNTIFS($C$2:C1429, C1429, $A$2:A1429, ""&lt;="" &amp; A1429) &lt; 30, AVERAGEIF($C$2:C1429, C1429, $G$2:G1429), AVERAGE(FILTER($G$2:G1429, $C$2:C1429 = C1429, $A$2:A1429 &gt;= A1429 - 30)))
"),"#DIV/0!")</f>
        <v>#DIV/0!</v>
      </c>
      <c r="I1429" s="20" t="e">
        <f t="shared" ca="1" si="26"/>
        <v>#DIV/0!</v>
      </c>
      <c r="J1429" s="20" t="str">
        <f ca="1">IFERROR(__xludf.DUMMYFUNCTION("IF(OR($I1429=2, $I1429=3), 0, IFERROR(COUNTIFS($C$2:C1429, $C1429, $A$2:A1429, ""&gt;""&amp;IFERROR(MAX(FILTER($A$2:A1429, $C$2:C1429=$C1429, $I$2:I1429&lt;&gt;1)), 0), $I$2:I1429, 1),1))
"),"#DIV/0!")</f>
        <v>#DIV/0!</v>
      </c>
      <c r="K1429" s="7" t="e">
        <f t="shared" ca="1" si="27"/>
        <v>#DIV/0!</v>
      </c>
      <c r="L1429" s="20" t="e">
        <f t="shared" ca="1" si="28"/>
        <v>#DIV/0!</v>
      </c>
      <c r="M1429" s="21" t="e">
        <f t="shared" ca="1" si="29"/>
        <v>#DIV/0!</v>
      </c>
      <c r="N1429" s="20" t="str">
        <f ca="1">IFERROR(__xludf.DUMMYFUNCTION("IF(COUNTIFS($C$2:C1429, C1429, $A$2:A1429, ""&lt;="" &amp; A1429) &lt; 30, STDEV.P(FILTER($G$2:G1429, $C$2:C1429 = C1429)), STDEV.P(FILTER($G$2:G1429, $C$2:C1429 = C1429, $A$2:A1429 &gt;= A1429 - 30)))
"),"#DIV/0!")</f>
        <v>#DIV/0!</v>
      </c>
    </row>
    <row r="1430" spans="1:14" x14ac:dyDescent="0.2">
      <c r="A1430" s="41"/>
      <c r="B1430" s="40"/>
      <c r="C1430" s="40"/>
      <c r="D1430" s="31"/>
      <c r="E1430" s="31"/>
      <c r="F1430" s="31"/>
      <c r="G1430" s="19" t="e">
        <f t="shared" si="25"/>
        <v>#DIV/0!</v>
      </c>
      <c r="H1430" s="20" t="str">
        <f ca="1">IFERROR(__xludf.DUMMYFUNCTION("IF(COUNTIFS($C$2:C1430, C1430, $A$2:A1430, ""&lt;="" &amp; A1430) &lt; 30, AVERAGEIF($C$2:C1430, C1430, $G$2:G1430), AVERAGE(FILTER($G$2:G1430, $C$2:C1430 = C1430, $A$2:A1430 &gt;= A1430 - 30)))
"),"#DIV/0!")</f>
        <v>#DIV/0!</v>
      </c>
      <c r="I1430" s="20" t="e">
        <f t="shared" ca="1" si="26"/>
        <v>#DIV/0!</v>
      </c>
      <c r="J1430" s="20" t="str">
        <f ca="1">IFERROR(__xludf.DUMMYFUNCTION("IF(OR($I1430=2, $I1430=3), 0, IFERROR(COUNTIFS($C$2:C1430, $C1430, $A$2:A1430, ""&gt;""&amp;IFERROR(MAX(FILTER($A$2:A1430, $C$2:C1430=$C1430, $I$2:I1430&lt;&gt;1)), 0), $I$2:I1430, 1),1))
"),"#DIV/0!")</f>
        <v>#DIV/0!</v>
      </c>
      <c r="K1430" s="7" t="e">
        <f t="shared" ca="1" si="27"/>
        <v>#DIV/0!</v>
      </c>
      <c r="L1430" s="20" t="e">
        <f t="shared" ca="1" si="28"/>
        <v>#DIV/0!</v>
      </c>
      <c r="M1430" s="21" t="e">
        <f t="shared" ca="1" si="29"/>
        <v>#DIV/0!</v>
      </c>
      <c r="N1430" s="20" t="str">
        <f ca="1">IFERROR(__xludf.DUMMYFUNCTION("IF(COUNTIFS($C$2:C1430, C1430, $A$2:A1430, ""&lt;="" &amp; A1430) &lt; 30, STDEV.P(FILTER($G$2:G1430, $C$2:C1430 = C1430)), STDEV.P(FILTER($G$2:G1430, $C$2:C1430 = C1430, $A$2:A1430 &gt;= A1430 - 30)))
"),"#DIV/0!")</f>
        <v>#DIV/0!</v>
      </c>
    </row>
    <row r="1431" spans="1:14" x14ac:dyDescent="0.2">
      <c r="A1431" s="41"/>
      <c r="B1431" s="40"/>
      <c r="C1431" s="40"/>
      <c r="D1431" s="31"/>
      <c r="E1431" s="31"/>
      <c r="F1431" s="31"/>
      <c r="G1431" s="19" t="e">
        <f t="shared" si="25"/>
        <v>#DIV/0!</v>
      </c>
      <c r="H1431" s="20" t="str">
        <f ca="1">IFERROR(__xludf.DUMMYFUNCTION("IF(COUNTIFS($C$2:C1431, C1431, $A$2:A1431, ""&lt;="" &amp; A1431) &lt; 30, AVERAGEIF($C$2:C1431, C1431, $G$2:G1431), AVERAGE(FILTER($G$2:G1431, $C$2:C1431 = C1431, $A$2:A1431 &gt;= A1431 - 30)))
"),"#DIV/0!")</f>
        <v>#DIV/0!</v>
      </c>
      <c r="I1431" s="20" t="e">
        <f t="shared" ca="1" si="26"/>
        <v>#DIV/0!</v>
      </c>
      <c r="J1431" s="20" t="str">
        <f ca="1">IFERROR(__xludf.DUMMYFUNCTION("IF(OR($I1431=2, $I1431=3), 0, IFERROR(COUNTIFS($C$2:C1431, $C1431, $A$2:A1431, ""&gt;""&amp;IFERROR(MAX(FILTER($A$2:A1431, $C$2:C1431=$C1431, $I$2:I1431&lt;&gt;1)), 0), $I$2:I1431, 1),1))
"),"#DIV/0!")</f>
        <v>#DIV/0!</v>
      </c>
      <c r="K1431" s="7" t="e">
        <f t="shared" ca="1" si="27"/>
        <v>#DIV/0!</v>
      </c>
      <c r="L1431" s="20" t="e">
        <f t="shared" ca="1" si="28"/>
        <v>#DIV/0!</v>
      </c>
      <c r="M1431" s="21" t="e">
        <f t="shared" ca="1" si="29"/>
        <v>#DIV/0!</v>
      </c>
      <c r="N1431" s="20" t="str">
        <f ca="1">IFERROR(__xludf.DUMMYFUNCTION("IF(COUNTIFS($C$2:C1431, C1431, $A$2:A1431, ""&lt;="" &amp; A1431) &lt; 30, STDEV.P(FILTER($G$2:G1431, $C$2:C1431 = C1431)), STDEV.P(FILTER($G$2:G1431, $C$2:C1431 = C1431, $A$2:A1431 &gt;= A1431 - 30)))
"),"#DIV/0!")</f>
        <v>#DIV/0!</v>
      </c>
    </row>
    <row r="1432" spans="1:14" x14ac:dyDescent="0.2">
      <c r="A1432" s="41"/>
      <c r="B1432" s="40"/>
      <c r="C1432" s="40"/>
      <c r="D1432" s="31"/>
      <c r="E1432" s="31"/>
      <c r="F1432" s="31"/>
      <c r="G1432" s="19" t="e">
        <f t="shared" si="25"/>
        <v>#DIV/0!</v>
      </c>
      <c r="H1432" s="20" t="str">
        <f ca="1">IFERROR(__xludf.DUMMYFUNCTION("IF(COUNTIFS($C$2:C1432, C1432, $A$2:A1432, ""&lt;="" &amp; A1432) &lt; 30, AVERAGEIF($C$2:C1432, C1432, $G$2:G1432), AVERAGE(FILTER($G$2:G1432, $C$2:C1432 = C1432, $A$2:A1432 &gt;= A1432 - 30)))
"),"#DIV/0!")</f>
        <v>#DIV/0!</v>
      </c>
      <c r="I1432" s="20" t="e">
        <f t="shared" ca="1" si="26"/>
        <v>#DIV/0!</v>
      </c>
      <c r="J1432" s="20" t="str">
        <f ca="1">IFERROR(__xludf.DUMMYFUNCTION("IF(OR($I1432=2, $I1432=3), 0, IFERROR(COUNTIFS($C$2:C1432, $C1432, $A$2:A1432, ""&gt;""&amp;IFERROR(MAX(FILTER($A$2:A1432, $C$2:C1432=$C1432, $I$2:I1432&lt;&gt;1)), 0), $I$2:I1432, 1),1))
"),"#DIV/0!")</f>
        <v>#DIV/0!</v>
      </c>
      <c r="K1432" s="7" t="e">
        <f t="shared" ca="1" si="27"/>
        <v>#DIV/0!</v>
      </c>
      <c r="L1432" s="20" t="e">
        <f t="shared" ca="1" si="28"/>
        <v>#DIV/0!</v>
      </c>
      <c r="M1432" s="21" t="e">
        <f t="shared" ca="1" si="29"/>
        <v>#DIV/0!</v>
      </c>
      <c r="N1432" s="20" t="str">
        <f ca="1">IFERROR(__xludf.DUMMYFUNCTION("IF(COUNTIFS($C$2:C1432, C1432, $A$2:A1432, ""&lt;="" &amp; A1432) &lt; 30, STDEV.P(FILTER($G$2:G1432, $C$2:C1432 = C1432)), STDEV.P(FILTER($G$2:G1432, $C$2:C1432 = C1432, $A$2:A1432 &gt;= A1432 - 30)))
"),"#DIV/0!")</f>
        <v>#DIV/0!</v>
      </c>
    </row>
    <row r="1433" spans="1:14" x14ac:dyDescent="0.2">
      <c r="A1433" s="41"/>
      <c r="B1433" s="40"/>
      <c r="C1433" s="40"/>
      <c r="D1433" s="31"/>
      <c r="E1433" s="31"/>
      <c r="F1433" s="31"/>
      <c r="G1433" s="19" t="e">
        <f t="shared" si="25"/>
        <v>#DIV/0!</v>
      </c>
      <c r="H1433" s="20" t="str">
        <f ca="1">IFERROR(__xludf.DUMMYFUNCTION("IF(COUNTIFS($C$2:C1433, C1433, $A$2:A1433, ""&lt;="" &amp; A1433) &lt; 30, AVERAGEIF($C$2:C1433, C1433, $G$2:G1433), AVERAGE(FILTER($G$2:G1433, $C$2:C1433 = C1433, $A$2:A1433 &gt;= A1433 - 30)))
"),"#DIV/0!")</f>
        <v>#DIV/0!</v>
      </c>
      <c r="I1433" s="20" t="e">
        <f t="shared" ca="1" si="26"/>
        <v>#DIV/0!</v>
      </c>
      <c r="J1433" s="20" t="str">
        <f ca="1">IFERROR(__xludf.DUMMYFUNCTION("IF(OR($I1433=2, $I1433=3), 0, IFERROR(COUNTIFS($C$2:C1433, $C1433, $A$2:A1433, ""&gt;""&amp;IFERROR(MAX(FILTER($A$2:A1433, $C$2:C1433=$C1433, $I$2:I1433&lt;&gt;1)), 0), $I$2:I1433, 1),1))
"),"#DIV/0!")</f>
        <v>#DIV/0!</v>
      </c>
      <c r="K1433" s="7" t="e">
        <f t="shared" ca="1" si="27"/>
        <v>#DIV/0!</v>
      </c>
      <c r="L1433" s="20" t="e">
        <f t="shared" ca="1" si="28"/>
        <v>#DIV/0!</v>
      </c>
      <c r="M1433" s="21" t="e">
        <f t="shared" ca="1" si="29"/>
        <v>#DIV/0!</v>
      </c>
      <c r="N1433" s="20" t="str">
        <f ca="1">IFERROR(__xludf.DUMMYFUNCTION("IF(COUNTIFS($C$2:C1433, C1433, $A$2:A1433, ""&lt;="" &amp; A1433) &lt; 30, STDEV.P(FILTER($G$2:G1433, $C$2:C1433 = C1433)), STDEV.P(FILTER($G$2:G1433, $C$2:C1433 = C1433, $A$2:A1433 &gt;= A1433 - 30)))
"),"#DIV/0!")</f>
        <v>#DIV/0!</v>
      </c>
    </row>
    <row r="1434" spans="1:14" x14ac:dyDescent="0.2">
      <c r="A1434" s="41"/>
      <c r="B1434" s="40"/>
      <c r="C1434" s="40"/>
      <c r="D1434" s="31"/>
      <c r="E1434" s="31"/>
      <c r="F1434" s="31"/>
      <c r="G1434" s="19" t="e">
        <f t="shared" si="25"/>
        <v>#DIV/0!</v>
      </c>
      <c r="H1434" s="20" t="str">
        <f ca="1">IFERROR(__xludf.DUMMYFUNCTION("IF(COUNTIFS($C$2:C1434, C1434, $A$2:A1434, ""&lt;="" &amp; A1434) &lt; 30, AVERAGEIF($C$2:C1434, C1434, $G$2:G1434), AVERAGE(FILTER($G$2:G1434, $C$2:C1434 = C1434, $A$2:A1434 &gt;= A1434 - 30)))
"),"#DIV/0!")</f>
        <v>#DIV/0!</v>
      </c>
      <c r="I1434" s="20" t="e">
        <f t="shared" ca="1" si="26"/>
        <v>#DIV/0!</v>
      </c>
      <c r="J1434" s="20" t="str">
        <f ca="1">IFERROR(__xludf.DUMMYFUNCTION("IF(OR($I1434=2, $I1434=3), 0, IFERROR(COUNTIFS($C$2:C1434, $C1434, $A$2:A1434, ""&gt;""&amp;IFERROR(MAX(FILTER($A$2:A1434, $C$2:C1434=$C1434, $I$2:I1434&lt;&gt;1)), 0), $I$2:I1434, 1),1))
"),"#DIV/0!")</f>
        <v>#DIV/0!</v>
      </c>
      <c r="K1434" s="7" t="e">
        <f t="shared" ca="1" si="27"/>
        <v>#DIV/0!</v>
      </c>
      <c r="L1434" s="20" t="e">
        <f t="shared" ca="1" si="28"/>
        <v>#DIV/0!</v>
      </c>
      <c r="M1434" s="21" t="e">
        <f t="shared" ca="1" si="29"/>
        <v>#DIV/0!</v>
      </c>
      <c r="N1434" s="20" t="str">
        <f ca="1">IFERROR(__xludf.DUMMYFUNCTION("IF(COUNTIFS($C$2:C1434, C1434, $A$2:A1434, ""&lt;="" &amp; A1434) &lt; 30, STDEV.P(FILTER($G$2:G1434, $C$2:C1434 = C1434)), STDEV.P(FILTER($G$2:G1434, $C$2:C1434 = C1434, $A$2:A1434 &gt;= A1434 - 30)))
"),"#DIV/0!")</f>
        <v>#DIV/0!</v>
      </c>
    </row>
    <row r="1435" spans="1:14" x14ac:dyDescent="0.2">
      <c r="A1435" s="41"/>
      <c r="B1435" s="40"/>
      <c r="C1435" s="40"/>
      <c r="D1435" s="31"/>
      <c r="E1435" s="31"/>
      <c r="F1435" s="31"/>
      <c r="G1435" s="19" t="e">
        <f t="shared" si="25"/>
        <v>#DIV/0!</v>
      </c>
      <c r="H1435" s="20" t="str">
        <f ca="1">IFERROR(__xludf.DUMMYFUNCTION("IF(COUNTIFS($C$2:C1435, C1435, $A$2:A1435, ""&lt;="" &amp; A1435) &lt; 30, AVERAGEIF($C$2:C1435, C1435, $G$2:G1435), AVERAGE(FILTER($G$2:G1435, $C$2:C1435 = C1435, $A$2:A1435 &gt;= A1435 - 30)))
"),"#DIV/0!")</f>
        <v>#DIV/0!</v>
      </c>
      <c r="I1435" s="20" t="e">
        <f t="shared" ca="1" si="26"/>
        <v>#DIV/0!</v>
      </c>
      <c r="J1435" s="20" t="str">
        <f ca="1">IFERROR(__xludf.DUMMYFUNCTION("IF(OR($I1435=2, $I1435=3), 0, IFERROR(COUNTIFS($C$2:C1435, $C1435, $A$2:A1435, ""&gt;""&amp;IFERROR(MAX(FILTER($A$2:A1435, $C$2:C1435=$C1435, $I$2:I1435&lt;&gt;1)), 0), $I$2:I1435, 1),1))
"),"#DIV/0!")</f>
        <v>#DIV/0!</v>
      </c>
      <c r="K1435" s="7" t="e">
        <f t="shared" ca="1" si="27"/>
        <v>#DIV/0!</v>
      </c>
      <c r="L1435" s="20" t="e">
        <f t="shared" ca="1" si="28"/>
        <v>#DIV/0!</v>
      </c>
      <c r="M1435" s="21" t="e">
        <f t="shared" ca="1" si="29"/>
        <v>#DIV/0!</v>
      </c>
      <c r="N1435" s="20" t="str">
        <f ca="1">IFERROR(__xludf.DUMMYFUNCTION("IF(COUNTIFS($C$2:C1435, C1435, $A$2:A1435, ""&lt;="" &amp; A1435) &lt; 30, STDEV.P(FILTER($G$2:G1435, $C$2:C1435 = C1435)), STDEV.P(FILTER($G$2:G1435, $C$2:C1435 = C1435, $A$2:A1435 &gt;= A1435 - 30)))
"),"#DIV/0!")</f>
        <v>#DIV/0!</v>
      </c>
    </row>
    <row r="1436" spans="1:14" x14ac:dyDescent="0.2">
      <c r="A1436" s="41"/>
      <c r="B1436" s="40"/>
      <c r="C1436" s="40"/>
      <c r="D1436" s="31"/>
      <c r="E1436" s="31"/>
      <c r="F1436" s="31"/>
      <c r="G1436" s="19" t="e">
        <f t="shared" si="25"/>
        <v>#DIV/0!</v>
      </c>
      <c r="H1436" s="20" t="str">
        <f ca="1">IFERROR(__xludf.DUMMYFUNCTION("IF(COUNTIFS($C$2:C1436, C1436, $A$2:A1436, ""&lt;="" &amp; A1436) &lt; 30, AVERAGEIF($C$2:C1436, C1436, $G$2:G1436), AVERAGE(FILTER($G$2:G1436, $C$2:C1436 = C1436, $A$2:A1436 &gt;= A1436 - 30)))
"),"#DIV/0!")</f>
        <v>#DIV/0!</v>
      </c>
      <c r="I1436" s="20" t="e">
        <f t="shared" ca="1" si="26"/>
        <v>#DIV/0!</v>
      </c>
      <c r="J1436" s="20" t="str">
        <f ca="1">IFERROR(__xludf.DUMMYFUNCTION("IF(OR($I1436=2, $I1436=3), 0, IFERROR(COUNTIFS($C$2:C1436, $C1436, $A$2:A1436, ""&gt;""&amp;IFERROR(MAX(FILTER($A$2:A1436, $C$2:C1436=$C1436, $I$2:I1436&lt;&gt;1)), 0), $I$2:I1436, 1),1))
"),"#DIV/0!")</f>
        <v>#DIV/0!</v>
      </c>
      <c r="K1436" s="7" t="e">
        <f t="shared" ca="1" si="27"/>
        <v>#DIV/0!</v>
      </c>
      <c r="L1436" s="20" t="e">
        <f t="shared" ca="1" si="28"/>
        <v>#DIV/0!</v>
      </c>
      <c r="M1436" s="21" t="e">
        <f t="shared" ca="1" si="29"/>
        <v>#DIV/0!</v>
      </c>
      <c r="N1436" s="20" t="str">
        <f ca="1">IFERROR(__xludf.DUMMYFUNCTION("IF(COUNTIFS($C$2:C1436, C1436, $A$2:A1436, ""&lt;="" &amp; A1436) &lt; 30, STDEV.P(FILTER($G$2:G1436, $C$2:C1436 = C1436)), STDEV.P(FILTER($G$2:G1436, $C$2:C1436 = C1436, $A$2:A1436 &gt;= A1436 - 30)))
"),"#DIV/0!")</f>
        <v>#DIV/0!</v>
      </c>
    </row>
    <row r="1437" spans="1:14" x14ac:dyDescent="0.2">
      <c r="A1437" s="41"/>
      <c r="B1437" s="40"/>
      <c r="C1437" s="40"/>
      <c r="D1437" s="31"/>
      <c r="E1437" s="31"/>
      <c r="F1437" s="31"/>
      <c r="G1437" s="19" t="e">
        <f t="shared" si="25"/>
        <v>#DIV/0!</v>
      </c>
      <c r="H1437" s="20" t="str">
        <f ca="1">IFERROR(__xludf.DUMMYFUNCTION("IF(COUNTIFS($C$2:C1437, C1437, $A$2:A1437, ""&lt;="" &amp; A1437) &lt; 30, AVERAGEIF($C$2:C1437, C1437, $G$2:G1437), AVERAGE(FILTER($G$2:G1437, $C$2:C1437 = C1437, $A$2:A1437 &gt;= A1437 - 30)))
"),"#DIV/0!")</f>
        <v>#DIV/0!</v>
      </c>
      <c r="I1437" s="20" t="e">
        <f t="shared" ca="1" si="26"/>
        <v>#DIV/0!</v>
      </c>
      <c r="J1437" s="20" t="str">
        <f ca="1">IFERROR(__xludf.DUMMYFUNCTION("IF(OR($I1437=2, $I1437=3), 0, IFERROR(COUNTIFS($C$2:C1437, $C1437, $A$2:A1437, ""&gt;""&amp;IFERROR(MAX(FILTER($A$2:A1437, $C$2:C1437=$C1437, $I$2:I1437&lt;&gt;1)), 0), $I$2:I1437, 1),1))
"),"#DIV/0!")</f>
        <v>#DIV/0!</v>
      </c>
      <c r="K1437" s="7" t="e">
        <f t="shared" ca="1" si="27"/>
        <v>#DIV/0!</v>
      </c>
      <c r="L1437" s="20" t="e">
        <f t="shared" ca="1" si="28"/>
        <v>#DIV/0!</v>
      </c>
      <c r="M1437" s="21" t="e">
        <f t="shared" ca="1" si="29"/>
        <v>#DIV/0!</v>
      </c>
      <c r="N1437" s="20" t="str">
        <f ca="1">IFERROR(__xludf.DUMMYFUNCTION("IF(COUNTIFS($C$2:C1437, C1437, $A$2:A1437, ""&lt;="" &amp; A1437) &lt; 30, STDEV.P(FILTER($G$2:G1437, $C$2:C1437 = C1437)), STDEV.P(FILTER($G$2:G1437, $C$2:C1437 = C1437, $A$2:A1437 &gt;= A1437 - 30)))
"),"#DIV/0!")</f>
        <v>#DIV/0!</v>
      </c>
    </row>
    <row r="1438" spans="1:14" x14ac:dyDescent="0.2">
      <c r="A1438" s="41"/>
      <c r="B1438" s="40"/>
      <c r="C1438" s="40"/>
      <c r="D1438" s="31"/>
      <c r="E1438" s="31"/>
      <c r="F1438" s="31"/>
      <c r="G1438" s="19" t="e">
        <f t="shared" si="25"/>
        <v>#DIV/0!</v>
      </c>
      <c r="H1438" s="20" t="str">
        <f ca="1">IFERROR(__xludf.DUMMYFUNCTION("IF(COUNTIFS($C$2:C1438, C1438, $A$2:A1438, ""&lt;="" &amp; A1438) &lt; 30, AVERAGEIF($C$2:C1438, C1438, $G$2:G1438), AVERAGE(FILTER($G$2:G1438, $C$2:C1438 = C1438, $A$2:A1438 &gt;= A1438 - 30)))
"),"#DIV/0!")</f>
        <v>#DIV/0!</v>
      </c>
      <c r="I1438" s="20" t="e">
        <f t="shared" ca="1" si="26"/>
        <v>#DIV/0!</v>
      </c>
      <c r="J1438" s="20" t="str">
        <f ca="1">IFERROR(__xludf.DUMMYFUNCTION("IF(OR($I1438=2, $I1438=3), 0, IFERROR(COUNTIFS($C$2:C1438, $C1438, $A$2:A1438, ""&gt;""&amp;IFERROR(MAX(FILTER($A$2:A1438, $C$2:C1438=$C1438, $I$2:I1438&lt;&gt;1)), 0), $I$2:I1438, 1),1))
"),"#DIV/0!")</f>
        <v>#DIV/0!</v>
      </c>
      <c r="K1438" s="7" t="e">
        <f t="shared" ca="1" si="27"/>
        <v>#DIV/0!</v>
      </c>
      <c r="L1438" s="20" t="e">
        <f t="shared" ca="1" si="28"/>
        <v>#DIV/0!</v>
      </c>
      <c r="M1438" s="21" t="e">
        <f t="shared" ca="1" si="29"/>
        <v>#DIV/0!</v>
      </c>
      <c r="N1438" s="20" t="str">
        <f ca="1">IFERROR(__xludf.DUMMYFUNCTION("IF(COUNTIFS($C$2:C1438, C1438, $A$2:A1438, ""&lt;="" &amp; A1438) &lt; 30, STDEV.P(FILTER($G$2:G1438, $C$2:C1438 = C1438)), STDEV.P(FILTER($G$2:G1438, $C$2:C1438 = C1438, $A$2:A1438 &gt;= A1438 - 30)))
"),"#DIV/0!")</f>
        <v>#DIV/0!</v>
      </c>
    </row>
    <row r="1439" spans="1:14" x14ac:dyDescent="0.2">
      <c r="A1439" s="41"/>
      <c r="B1439" s="40"/>
      <c r="C1439" s="40"/>
      <c r="D1439" s="31"/>
      <c r="E1439" s="31"/>
      <c r="F1439" s="31"/>
      <c r="G1439" s="19" t="e">
        <f t="shared" si="25"/>
        <v>#DIV/0!</v>
      </c>
      <c r="H1439" s="20" t="str">
        <f ca="1">IFERROR(__xludf.DUMMYFUNCTION("IF(COUNTIFS($C$2:C1439, C1439, $A$2:A1439, ""&lt;="" &amp; A1439) &lt; 30, AVERAGEIF($C$2:C1439, C1439, $G$2:G1439), AVERAGE(FILTER($G$2:G1439, $C$2:C1439 = C1439, $A$2:A1439 &gt;= A1439 - 30)))
"),"#DIV/0!")</f>
        <v>#DIV/0!</v>
      </c>
      <c r="I1439" s="20" t="e">
        <f t="shared" ca="1" si="26"/>
        <v>#DIV/0!</v>
      </c>
      <c r="J1439" s="20" t="str">
        <f ca="1">IFERROR(__xludf.DUMMYFUNCTION("IF(OR($I1439=2, $I1439=3), 0, IFERROR(COUNTIFS($C$2:C1439, $C1439, $A$2:A1439, ""&gt;""&amp;IFERROR(MAX(FILTER($A$2:A1439, $C$2:C1439=$C1439, $I$2:I1439&lt;&gt;1)), 0), $I$2:I1439, 1),1))
"),"#DIV/0!")</f>
        <v>#DIV/0!</v>
      </c>
      <c r="K1439" s="7" t="e">
        <f t="shared" ca="1" si="27"/>
        <v>#DIV/0!</v>
      </c>
      <c r="L1439" s="20" t="e">
        <f t="shared" ca="1" si="28"/>
        <v>#DIV/0!</v>
      </c>
      <c r="M1439" s="21" t="e">
        <f t="shared" ca="1" si="29"/>
        <v>#DIV/0!</v>
      </c>
      <c r="N1439" s="20" t="str">
        <f ca="1">IFERROR(__xludf.DUMMYFUNCTION("IF(COUNTIFS($C$2:C1439, C1439, $A$2:A1439, ""&lt;="" &amp; A1439) &lt; 30, STDEV.P(FILTER($G$2:G1439, $C$2:C1439 = C1439)), STDEV.P(FILTER($G$2:G1439, $C$2:C1439 = C1439, $A$2:A1439 &gt;= A1439 - 30)))
"),"#DIV/0!")</f>
        <v>#DIV/0!</v>
      </c>
    </row>
    <row r="1440" spans="1:14" x14ac:dyDescent="0.2">
      <c r="A1440" s="41"/>
      <c r="B1440" s="40"/>
      <c r="C1440" s="40"/>
      <c r="D1440" s="31"/>
      <c r="E1440" s="31"/>
      <c r="F1440" s="31"/>
      <c r="G1440" s="19" t="e">
        <f t="shared" si="25"/>
        <v>#DIV/0!</v>
      </c>
      <c r="H1440" s="20" t="str">
        <f ca="1">IFERROR(__xludf.DUMMYFUNCTION("IF(COUNTIFS($C$2:C1440, C1440, $A$2:A1440, ""&lt;="" &amp; A1440) &lt; 30, AVERAGEIF($C$2:C1440, C1440, $G$2:G1440), AVERAGE(FILTER($G$2:G1440, $C$2:C1440 = C1440, $A$2:A1440 &gt;= A1440 - 30)))
"),"#DIV/0!")</f>
        <v>#DIV/0!</v>
      </c>
      <c r="I1440" s="20" t="e">
        <f t="shared" ca="1" si="26"/>
        <v>#DIV/0!</v>
      </c>
      <c r="J1440" s="20" t="str">
        <f ca="1">IFERROR(__xludf.DUMMYFUNCTION("IF(OR($I1440=2, $I1440=3), 0, IFERROR(COUNTIFS($C$2:C1440, $C1440, $A$2:A1440, ""&gt;""&amp;IFERROR(MAX(FILTER($A$2:A1440, $C$2:C1440=$C1440, $I$2:I1440&lt;&gt;1)), 0), $I$2:I1440, 1),1))
"),"#DIV/0!")</f>
        <v>#DIV/0!</v>
      </c>
      <c r="K1440" s="7" t="e">
        <f t="shared" ca="1" si="27"/>
        <v>#DIV/0!</v>
      </c>
      <c r="L1440" s="20" t="e">
        <f t="shared" ca="1" si="28"/>
        <v>#DIV/0!</v>
      </c>
      <c r="M1440" s="21" t="e">
        <f t="shared" ca="1" si="29"/>
        <v>#DIV/0!</v>
      </c>
      <c r="N1440" s="20" t="str">
        <f ca="1">IFERROR(__xludf.DUMMYFUNCTION("IF(COUNTIFS($C$2:C1440, C1440, $A$2:A1440, ""&lt;="" &amp; A1440) &lt; 30, STDEV.P(FILTER($G$2:G1440, $C$2:C1440 = C1440)), STDEV.P(FILTER($G$2:G1440, $C$2:C1440 = C1440, $A$2:A1440 &gt;= A1440 - 30)))
"),"#DIV/0!")</f>
        <v>#DIV/0!</v>
      </c>
    </row>
    <row r="1441" spans="1:14" x14ac:dyDescent="0.2">
      <c r="A1441" s="41"/>
      <c r="B1441" s="40"/>
      <c r="C1441" s="40"/>
      <c r="D1441" s="31"/>
      <c r="E1441" s="31"/>
      <c r="F1441" s="31"/>
      <c r="G1441" s="19" t="e">
        <f t="shared" si="25"/>
        <v>#DIV/0!</v>
      </c>
      <c r="H1441" s="20" t="str">
        <f ca="1">IFERROR(__xludf.DUMMYFUNCTION("IF(COUNTIFS($C$2:C1441, C1441, $A$2:A1441, ""&lt;="" &amp; A1441) &lt; 30, AVERAGEIF($C$2:C1441, C1441, $G$2:G1441), AVERAGE(FILTER($G$2:G1441, $C$2:C1441 = C1441, $A$2:A1441 &gt;= A1441 - 30)))
"),"#DIV/0!")</f>
        <v>#DIV/0!</v>
      </c>
      <c r="I1441" s="20" t="e">
        <f t="shared" ca="1" si="26"/>
        <v>#DIV/0!</v>
      </c>
      <c r="J1441" s="20" t="str">
        <f ca="1">IFERROR(__xludf.DUMMYFUNCTION("IF(OR($I1441=2, $I1441=3), 0, IFERROR(COUNTIFS($C$2:C1441, $C1441, $A$2:A1441, ""&gt;""&amp;IFERROR(MAX(FILTER($A$2:A1441, $C$2:C1441=$C1441, $I$2:I1441&lt;&gt;1)), 0), $I$2:I1441, 1),1))
"),"#DIV/0!")</f>
        <v>#DIV/0!</v>
      </c>
      <c r="K1441" s="7" t="e">
        <f t="shared" ca="1" si="27"/>
        <v>#DIV/0!</v>
      </c>
      <c r="L1441" s="20" t="e">
        <f t="shared" ca="1" si="28"/>
        <v>#DIV/0!</v>
      </c>
      <c r="M1441" s="21" t="e">
        <f t="shared" ca="1" si="29"/>
        <v>#DIV/0!</v>
      </c>
      <c r="N1441" s="20" t="str">
        <f ca="1">IFERROR(__xludf.DUMMYFUNCTION("IF(COUNTIFS($C$2:C1441, C1441, $A$2:A1441, ""&lt;="" &amp; A1441) &lt; 30, STDEV.P(FILTER($G$2:G1441, $C$2:C1441 = C1441)), STDEV.P(FILTER($G$2:G1441, $C$2:C1441 = C1441, $A$2:A1441 &gt;= A1441 - 30)))
"),"#DIV/0!")</f>
        <v>#DIV/0!</v>
      </c>
    </row>
    <row r="1442" spans="1:14" x14ac:dyDescent="0.2">
      <c r="A1442" s="41"/>
      <c r="B1442" s="40"/>
      <c r="C1442" s="40"/>
      <c r="D1442" s="31"/>
      <c r="E1442" s="31"/>
      <c r="F1442" s="31"/>
      <c r="G1442" s="19" t="e">
        <f t="shared" si="25"/>
        <v>#DIV/0!</v>
      </c>
      <c r="H1442" s="20" t="str">
        <f ca="1">IFERROR(__xludf.DUMMYFUNCTION("IF(COUNTIFS($C$2:C1442, C1442, $A$2:A1442, ""&lt;="" &amp; A1442) &lt; 30, AVERAGEIF($C$2:C1442, C1442, $G$2:G1442), AVERAGE(FILTER($G$2:G1442, $C$2:C1442 = C1442, $A$2:A1442 &gt;= A1442 - 30)))
"),"#DIV/0!")</f>
        <v>#DIV/0!</v>
      </c>
      <c r="I1442" s="20" t="e">
        <f t="shared" ca="1" si="26"/>
        <v>#DIV/0!</v>
      </c>
      <c r="J1442" s="20" t="str">
        <f ca="1">IFERROR(__xludf.DUMMYFUNCTION("IF(OR($I1442=2, $I1442=3), 0, IFERROR(COUNTIFS($C$2:C1442, $C1442, $A$2:A1442, ""&gt;""&amp;IFERROR(MAX(FILTER($A$2:A1442, $C$2:C1442=$C1442, $I$2:I1442&lt;&gt;1)), 0), $I$2:I1442, 1),1))
"),"#DIV/0!")</f>
        <v>#DIV/0!</v>
      </c>
      <c r="K1442" s="7" t="e">
        <f t="shared" ca="1" si="27"/>
        <v>#DIV/0!</v>
      </c>
      <c r="L1442" s="20" t="e">
        <f t="shared" ca="1" si="28"/>
        <v>#DIV/0!</v>
      </c>
      <c r="M1442" s="21" t="e">
        <f t="shared" ca="1" si="29"/>
        <v>#DIV/0!</v>
      </c>
      <c r="N1442" s="20" t="str">
        <f ca="1">IFERROR(__xludf.DUMMYFUNCTION("IF(COUNTIFS($C$2:C1442, C1442, $A$2:A1442, ""&lt;="" &amp; A1442) &lt; 30, STDEV.P(FILTER($G$2:G1442, $C$2:C1442 = C1442)), STDEV.P(FILTER($G$2:G1442, $C$2:C1442 = C1442, $A$2:A1442 &gt;= A1442 - 30)))
"),"#DIV/0!")</f>
        <v>#DIV/0!</v>
      </c>
    </row>
    <row r="1443" spans="1:14" x14ac:dyDescent="0.2">
      <c r="A1443" s="41"/>
      <c r="B1443" s="40"/>
      <c r="C1443" s="40"/>
      <c r="D1443" s="31"/>
      <c r="E1443" s="31"/>
      <c r="F1443" s="31"/>
      <c r="G1443" s="19" t="e">
        <f t="shared" si="25"/>
        <v>#DIV/0!</v>
      </c>
      <c r="H1443" s="20" t="str">
        <f ca="1">IFERROR(__xludf.DUMMYFUNCTION("IF(COUNTIFS($C$2:C1443, C1443, $A$2:A1443, ""&lt;="" &amp; A1443) &lt; 30, AVERAGEIF($C$2:C1443, C1443, $G$2:G1443), AVERAGE(FILTER($G$2:G1443, $C$2:C1443 = C1443, $A$2:A1443 &gt;= A1443 - 30)))
"),"#DIV/0!")</f>
        <v>#DIV/0!</v>
      </c>
      <c r="I1443" s="20" t="e">
        <f t="shared" ca="1" si="26"/>
        <v>#DIV/0!</v>
      </c>
      <c r="J1443" s="20" t="str">
        <f ca="1">IFERROR(__xludf.DUMMYFUNCTION("IF(OR($I1443=2, $I1443=3), 0, IFERROR(COUNTIFS($C$2:C1443, $C1443, $A$2:A1443, ""&gt;""&amp;IFERROR(MAX(FILTER($A$2:A1443, $C$2:C1443=$C1443, $I$2:I1443&lt;&gt;1)), 0), $I$2:I1443, 1),1))
"),"#DIV/0!")</f>
        <v>#DIV/0!</v>
      </c>
      <c r="K1443" s="7" t="e">
        <f t="shared" ca="1" si="27"/>
        <v>#DIV/0!</v>
      </c>
      <c r="L1443" s="20" t="e">
        <f t="shared" ca="1" si="28"/>
        <v>#DIV/0!</v>
      </c>
      <c r="M1443" s="21" t="e">
        <f t="shared" ca="1" si="29"/>
        <v>#DIV/0!</v>
      </c>
      <c r="N1443" s="20" t="str">
        <f ca="1">IFERROR(__xludf.DUMMYFUNCTION("IF(COUNTIFS($C$2:C1443, C1443, $A$2:A1443, ""&lt;="" &amp; A1443) &lt; 30, STDEV.P(FILTER($G$2:G1443, $C$2:C1443 = C1443)), STDEV.P(FILTER($G$2:G1443, $C$2:C1443 = C1443, $A$2:A1443 &gt;= A1443 - 30)))
"),"#DIV/0!")</f>
        <v>#DIV/0!</v>
      </c>
    </row>
    <row r="1444" spans="1:14" x14ac:dyDescent="0.2">
      <c r="A1444" s="41"/>
      <c r="B1444" s="40"/>
      <c r="C1444" s="40"/>
      <c r="D1444" s="31"/>
      <c r="E1444" s="31"/>
      <c r="F1444" s="31"/>
      <c r="G1444" s="19" t="e">
        <f t="shared" si="25"/>
        <v>#DIV/0!</v>
      </c>
      <c r="H1444" s="20" t="str">
        <f ca="1">IFERROR(__xludf.DUMMYFUNCTION("IF(COUNTIFS($C$2:C1444, C1444, $A$2:A1444, ""&lt;="" &amp; A1444) &lt; 30, AVERAGEIF($C$2:C1444, C1444, $G$2:G1444), AVERAGE(FILTER($G$2:G1444, $C$2:C1444 = C1444, $A$2:A1444 &gt;= A1444 - 30)))
"),"#DIV/0!")</f>
        <v>#DIV/0!</v>
      </c>
      <c r="I1444" s="20" t="e">
        <f t="shared" ca="1" si="26"/>
        <v>#DIV/0!</v>
      </c>
      <c r="J1444" s="20" t="str">
        <f ca="1">IFERROR(__xludf.DUMMYFUNCTION("IF(OR($I1444=2, $I1444=3), 0, IFERROR(COUNTIFS($C$2:C1444, $C1444, $A$2:A1444, ""&gt;""&amp;IFERROR(MAX(FILTER($A$2:A1444, $C$2:C1444=$C1444, $I$2:I1444&lt;&gt;1)), 0), $I$2:I1444, 1),1))
"),"#DIV/0!")</f>
        <v>#DIV/0!</v>
      </c>
      <c r="K1444" s="7" t="e">
        <f t="shared" ca="1" si="27"/>
        <v>#DIV/0!</v>
      </c>
      <c r="L1444" s="20" t="e">
        <f t="shared" ca="1" si="28"/>
        <v>#DIV/0!</v>
      </c>
      <c r="M1444" s="21" t="e">
        <f t="shared" ca="1" si="29"/>
        <v>#DIV/0!</v>
      </c>
      <c r="N1444" s="20" t="str">
        <f ca="1">IFERROR(__xludf.DUMMYFUNCTION("IF(COUNTIFS($C$2:C1444, C1444, $A$2:A1444, ""&lt;="" &amp; A1444) &lt; 30, STDEV.P(FILTER($G$2:G1444, $C$2:C1444 = C1444)), STDEV.P(FILTER($G$2:G1444, $C$2:C1444 = C1444, $A$2:A1444 &gt;= A1444 - 30)))
"),"#DIV/0!")</f>
        <v>#DIV/0!</v>
      </c>
    </row>
    <row r="1445" spans="1:14" x14ac:dyDescent="0.2">
      <c r="A1445" s="41"/>
      <c r="B1445" s="40"/>
      <c r="C1445" s="40"/>
      <c r="D1445" s="31"/>
      <c r="E1445" s="31"/>
      <c r="F1445" s="31"/>
      <c r="G1445" s="19" t="e">
        <f t="shared" si="25"/>
        <v>#DIV/0!</v>
      </c>
      <c r="H1445" s="20" t="str">
        <f ca="1">IFERROR(__xludf.DUMMYFUNCTION("IF(COUNTIFS($C$2:C1445, C1445, $A$2:A1445, ""&lt;="" &amp; A1445) &lt; 30, AVERAGEIF($C$2:C1445, C1445, $G$2:G1445), AVERAGE(FILTER($G$2:G1445, $C$2:C1445 = C1445, $A$2:A1445 &gt;= A1445 - 30)))
"),"#DIV/0!")</f>
        <v>#DIV/0!</v>
      </c>
      <c r="I1445" s="20" t="e">
        <f t="shared" ca="1" si="26"/>
        <v>#DIV/0!</v>
      </c>
      <c r="J1445" s="20" t="str">
        <f ca="1">IFERROR(__xludf.DUMMYFUNCTION("IF(OR($I1445=2, $I1445=3), 0, IFERROR(COUNTIFS($C$2:C1445, $C1445, $A$2:A1445, ""&gt;""&amp;IFERROR(MAX(FILTER($A$2:A1445, $C$2:C1445=$C1445, $I$2:I1445&lt;&gt;1)), 0), $I$2:I1445, 1),1))
"),"#DIV/0!")</f>
        <v>#DIV/0!</v>
      </c>
      <c r="K1445" s="7" t="e">
        <f t="shared" ca="1" si="27"/>
        <v>#DIV/0!</v>
      </c>
      <c r="L1445" s="20" t="e">
        <f t="shared" ca="1" si="28"/>
        <v>#DIV/0!</v>
      </c>
      <c r="M1445" s="21" t="e">
        <f t="shared" ca="1" si="29"/>
        <v>#DIV/0!</v>
      </c>
      <c r="N1445" s="20" t="str">
        <f ca="1">IFERROR(__xludf.DUMMYFUNCTION("IF(COUNTIFS($C$2:C1445, C1445, $A$2:A1445, ""&lt;="" &amp; A1445) &lt; 30, STDEV.P(FILTER($G$2:G1445, $C$2:C1445 = C1445)), STDEV.P(FILTER($G$2:G1445, $C$2:C1445 = C1445, $A$2:A1445 &gt;= A1445 - 30)))
"),"#DIV/0!")</f>
        <v>#DIV/0!</v>
      </c>
    </row>
    <row r="1446" spans="1:14" x14ac:dyDescent="0.2">
      <c r="A1446" s="41"/>
      <c r="B1446" s="40"/>
      <c r="C1446" s="40"/>
      <c r="D1446" s="31"/>
      <c r="E1446" s="31"/>
      <c r="F1446" s="31"/>
      <c r="G1446" s="19" t="e">
        <f t="shared" si="25"/>
        <v>#DIV/0!</v>
      </c>
      <c r="H1446" s="20" t="str">
        <f ca="1">IFERROR(__xludf.DUMMYFUNCTION("IF(COUNTIFS($C$2:C1446, C1446, $A$2:A1446, ""&lt;="" &amp; A1446) &lt; 30, AVERAGEIF($C$2:C1446, C1446, $G$2:G1446), AVERAGE(FILTER($G$2:G1446, $C$2:C1446 = C1446, $A$2:A1446 &gt;= A1446 - 30)))
"),"#DIV/0!")</f>
        <v>#DIV/0!</v>
      </c>
      <c r="I1446" s="20" t="e">
        <f t="shared" ca="1" si="26"/>
        <v>#DIV/0!</v>
      </c>
      <c r="J1446" s="20" t="str">
        <f ca="1">IFERROR(__xludf.DUMMYFUNCTION("IF(OR($I1446=2, $I1446=3), 0, IFERROR(COUNTIFS($C$2:C1446, $C1446, $A$2:A1446, ""&gt;""&amp;IFERROR(MAX(FILTER($A$2:A1446, $C$2:C1446=$C1446, $I$2:I1446&lt;&gt;1)), 0), $I$2:I1446, 1),1))
"),"#DIV/0!")</f>
        <v>#DIV/0!</v>
      </c>
      <c r="K1446" s="7" t="e">
        <f t="shared" ca="1" si="27"/>
        <v>#DIV/0!</v>
      </c>
      <c r="L1446" s="20" t="e">
        <f t="shared" ca="1" si="28"/>
        <v>#DIV/0!</v>
      </c>
      <c r="M1446" s="21" t="e">
        <f t="shared" ca="1" si="29"/>
        <v>#DIV/0!</v>
      </c>
      <c r="N1446" s="20" t="str">
        <f ca="1">IFERROR(__xludf.DUMMYFUNCTION("IF(COUNTIFS($C$2:C1446, C1446, $A$2:A1446, ""&lt;="" &amp; A1446) &lt; 30, STDEV.P(FILTER($G$2:G1446, $C$2:C1446 = C1446)), STDEV.P(FILTER($G$2:G1446, $C$2:C1446 = C1446, $A$2:A1446 &gt;= A1446 - 30)))
"),"#DIV/0!")</f>
        <v>#DIV/0!</v>
      </c>
    </row>
    <row r="1447" spans="1:14" x14ac:dyDescent="0.2">
      <c r="A1447" s="41"/>
      <c r="B1447" s="40"/>
      <c r="C1447" s="40"/>
      <c r="D1447" s="31"/>
      <c r="E1447" s="31"/>
      <c r="F1447" s="31"/>
      <c r="G1447" s="19" t="e">
        <f t="shared" si="25"/>
        <v>#DIV/0!</v>
      </c>
      <c r="H1447" s="20" t="str">
        <f ca="1">IFERROR(__xludf.DUMMYFUNCTION("IF(COUNTIFS($C$2:C1447, C1447, $A$2:A1447, ""&lt;="" &amp; A1447) &lt; 30, AVERAGEIF($C$2:C1447, C1447, $G$2:G1447), AVERAGE(FILTER($G$2:G1447, $C$2:C1447 = C1447, $A$2:A1447 &gt;= A1447 - 30)))
"),"#DIV/0!")</f>
        <v>#DIV/0!</v>
      </c>
      <c r="I1447" s="20" t="e">
        <f t="shared" ca="1" si="26"/>
        <v>#DIV/0!</v>
      </c>
      <c r="J1447" s="20" t="str">
        <f ca="1">IFERROR(__xludf.DUMMYFUNCTION("IF(OR($I1447=2, $I1447=3), 0, IFERROR(COUNTIFS($C$2:C1447, $C1447, $A$2:A1447, ""&gt;""&amp;IFERROR(MAX(FILTER($A$2:A1447, $C$2:C1447=$C1447, $I$2:I1447&lt;&gt;1)), 0), $I$2:I1447, 1),1))
"),"#DIV/0!")</f>
        <v>#DIV/0!</v>
      </c>
      <c r="K1447" s="7" t="e">
        <f t="shared" ca="1" si="27"/>
        <v>#DIV/0!</v>
      </c>
      <c r="L1447" s="20" t="e">
        <f t="shared" ca="1" si="28"/>
        <v>#DIV/0!</v>
      </c>
      <c r="M1447" s="21" t="e">
        <f t="shared" ca="1" si="29"/>
        <v>#DIV/0!</v>
      </c>
      <c r="N1447" s="20" t="str">
        <f ca="1">IFERROR(__xludf.DUMMYFUNCTION("IF(COUNTIFS($C$2:C1447, C1447, $A$2:A1447, ""&lt;="" &amp; A1447) &lt; 30, STDEV.P(FILTER($G$2:G1447, $C$2:C1447 = C1447)), STDEV.P(FILTER($G$2:G1447, $C$2:C1447 = C1447, $A$2:A1447 &gt;= A1447 - 30)))
"),"#DIV/0!")</f>
        <v>#DIV/0!</v>
      </c>
    </row>
    <row r="1448" spans="1:14" x14ac:dyDescent="0.2">
      <c r="A1448" s="41"/>
      <c r="B1448" s="40"/>
      <c r="C1448" s="40"/>
      <c r="D1448" s="31"/>
      <c r="E1448" s="31"/>
      <c r="F1448" s="31"/>
      <c r="G1448" s="19" t="e">
        <f t="shared" si="25"/>
        <v>#DIV/0!</v>
      </c>
      <c r="H1448" s="20" t="str">
        <f ca="1">IFERROR(__xludf.DUMMYFUNCTION("IF(COUNTIFS($C$2:C1448, C1448, $A$2:A1448, ""&lt;="" &amp; A1448) &lt; 30, AVERAGEIF($C$2:C1448, C1448, $G$2:G1448), AVERAGE(FILTER($G$2:G1448, $C$2:C1448 = C1448, $A$2:A1448 &gt;= A1448 - 30)))
"),"#DIV/0!")</f>
        <v>#DIV/0!</v>
      </c>
      <c r="I1448" s="20" t="e">
        <f t="shared" ca="1" si="26"/>
        <v>#DIV/0!</v>
      </c>
      <c r="J1448" s="20" t="str">
        <f ca="1">IFERROR(__xludf.DUMMYFUNCTION("IF(OR($I1448=2, $I1448=3), 0, IFERROR(COUNTIFS($C$2:C1448, $C1448, $A$2:A1448, ""&gt;""&amp;IFERROR(MAX(FILTER($A$2:A1448, $C$2:C1448=$C1448, $I$2:I1448&lt;&gt;1)), 0), $I$2:I1448, 1),1))
"),"#DIV/0!")</f>
        <v>#DIV/0!</v>
      </c>
      <c r="K1448" s="7" t="e">
        <f t="shared" ca="1" si="27"/>
        <v>#DIV/0!</v>
      </c>
      <c r="L1448" s="20" t="e">
        <f t="shared" ca="1" si="28"/>
        <v>#DIV/0!</v>
      </c>
      <c r="M1448" s="21" t="e">
        <f t="shared" ca="1" si="29"/>
        <v>#DIV/0!</v>
      </c>
      <c r="N1448" s="20" t="str">
        <f ca="1">IFERROR(__xludf.DUMMYFUNCTION("IF(COUNTIFS($C$2:C1448, C1448, $A$2:A1448, ""&lt;="" &amp; A1448) &lt; 30, STDEV.P(FILTER($G$2:G1448, $C$2:C1448 = C1448)), STDEV.P(FILTER($G$2:G1448, $C$2:C1448 = C1448, $A$2:A1448 &gt;= A1448 - 30)))
"),"#DIV/0!")</f>
        <v>#DIV/0!</v>
      </c>
    </row>
    <row r="1449" spans="1:14" x14ac:dyDescent="0.2">
      <c r="A1449" s="41"/>
      <c r="B1449" s="40"/>
      <c r="C1449" s="40"/>
      <c r="D1449" s="31"/>
      <c r="E1449" s="31"/>
      <c r="F1449" s="31"/>
      <c r="G1449" s="19" t="e">
        <f t="shared" si="25"/>
        <v>#DIV/0!</v>
      </c>
      <c r="H1449" s="20" t="str">
        <f ca="1">IFERROR(__xludf.DUMMYFUNCTION("IF(COUNTIFS($C$2:C1449, C1449, $A$2:A1449, ""&lt;="" &amp; A1449) &lt; 30, AVERAGEIF($C$2:C1449, C1449, $G$2:G1449), AVERAGE(FILTER($G$2:G1449, $C$2:C1449 = C1449, $A$2:A1449 &gt;= A1449 - 30)))
"),"#DIV/0!")</f>
        <v>#DIV/0!</v>
      </c>
      <c r="I1449" s="20" t="e">
        <f t="shared" ca="1" si="26"/>
        <v>#DIV/0!</v>
      </c>
      <c r="J1449" s="20" t="str">
        <f ca="1">IFERROR(__xludf.DUMMYFUNCTION("IF(OR($I1449=2, $I1449=3), 0, IFERROR(COUNTIFS($C$2:C1449, $C1449, $A$2:A1449, ""&gt;""&amp;IFERROR(MAX(FILTER($A$2:A1449, $C$2:C1449=$C1449, $I$2:I1449&lt;&gt;1)), 0), $I$2:I1449, 1),1))
"),"#DIV/0!")</f>
        <v>#DIV/0!</v>
      </c>
      <c r="K1449" s="7" t="e">
        <f t="shared" ca="1" si="27"/>
        <v>#DIV/0!</v>
      </c>
      <c r="L1449" s="20" t="e">
        <f t="shared" ca="1" si="28"/>
        <v>#DIV/0!</v>
      </c>
      <c r="M1449" s="21" t="e">
        <f t="shared" ca="1" si="29"/>
        <v>#DIV/0!</v>
      </c>
      <c r="N1449" s="20" t="str">
        <f ca="1">IFERROR(__xludf.DUMMYFUNCTION("IF(COUNTIFS($C$2:C1449, C1449, $A$2:A1449, ""&lt;="" &amp; A1449) &lt; 30, STDEV.P(FILTER($G$2:G1449, $C$2:C1449 = C1449)), STDEV.P(FILTER($G$2:G1449, $C$2:C1449 = C1449, $A$2:A1449 &gt;= A1449 - 30)))
"),"#DIV/0!")</f>
        <v>#DIV/0!</v>
      </c>
    </row>
    <row r="1450" spans="1:14" x14ac:dyDescent="0.2">
      <c r="A1450" s="41"/>
      <c r="B1450" s="40"/>
      <c r="C1450" s="40"/>
      <c r="D1450" s="31"/>
      <c r="E1450" s="31"/>
      <c r="F1450" s="31"/>
      <c r="G1450" s="19" t="e">
        <f t="shared" si="25"/>
        <v>#DIV/0!</v>
      </c>
      <c r="H1450" s="20" t="str">
        <f ca="1">IFERROR(__xludf.DUMMYFUNCTION("IF(COUNTIFS($C$2:C1450, C1450, $A$2:A1450, ""&lt;="" &amp; A1450) &lt; 30, AVERAGEIF($C$2:C1450, C1450, $G$2:G1450), AVERAGE(FILTER($G$2:G1450, $C$2:C1450 = C1450, $A$2:A1450 &gt;= A1450 - 30)))
"),"#DIV/0!")</f>
        <v>#DIV/0!</v>
      </c>
      <c r="I1450" s="20" t="e">
        <f t="shared" ca="1" si="26"/>
        <v>#DIV/0!</v>
      </c>
      <c r="J1450" s="20" t="str">
        <f ca="1">IFERROR(__xludf.DUMMYFUNCTION("IF(OR($I1450=2, $I1450=3), 0, IFERROR(COUNTIFS($C$2:C1450, $C1450, $A$2:A1450, ""&gt;""&amp;IFERROR(MAX(FILTER($A$2:A1450, $C$2:C1450=$C1450, $I$2:I1450&lt;&gt;1)), 0), $I$2:I1450, 1),1))
"),"#DIV/0!")</f>
        <v>#DIV/0!</v>
      </c>
      <c r="K1450" s="7" t="e">
        <f t="shared" ca="1" si="27"/>
        <v>#DIV/0!</v>
      </c>
      <c r="L1450" s="20" t="e">
        <f t="shared" ca="1" si="28"/>
        <v>#DIV/0!</v>
      </c>
      <c r="M1450" s="21" t="e">
        <f t="shared" ca="1" si="29"/>
        <v>#DIV/0!</v>
      </c>
      <c r="N1450" s="20" t="str">
        <f ca="1">IFERROR(__xludf.DUMMYFUNCTION("IF(COUNTIFS($C$2:C1450, C1450, $A$2:A1450, ""&lt;="" &amp; A1450) &lt; 30, STDEV.P(FILTER($G$2:G1450, $C$2:C1450 = C1450)), STDEV.P(FILTER($G$2:G1450, $C$2:C1450 = C1450, $A$2:A1450 &gt;= A1450 - 30)))
"),"#DIV/0!")</f>
        <v>#DIV/0!</v>
      </c>
    </row>
    <row r="1451" spans="1:14" x14ac:dyDescent="0.2">
      <c r="A1451" s="41"/>
      <c r="B1451" s="40"/>
      <c r="C1451" s="40"/>
      <c r="D1451" s="31"/>
      <c r="E1451" s="31"/>
      <c r="F1451" s="31"/>
      <c r="G1451" s="19" t="e">
        <f t="shared" si="25"/>
        <v>#DIV/0!</v>
      </c>
      <c r="H1451" s="20" t="str">
        <f ca="1">IFERROR(__xludf.DUMMYFUNCTION("IF(COUNTIFS($C$2:C1451, C1451, $A$2:A1451, ""&lt;="" &amp; A1451) &lt; 30, AVERAGEIF($C$2:C1451, C1451, $G$2:G1451), AVERAGE(FILTER($G$2:G1451, $C$2:C1451 = C1451, $A$2:A1451 &gt;= A1451 - 30)))
"),"#DIV/0!")</f>
        <v>#DIV/0!</v>
      </c>
      <c r="I1451" s="20" t="e">
        <f t="shared" ca="1" si="26"/>
        <v>#DIV/0!</v>
      </c>
      <c r="J1451" s="20" t="str">
        <f ca="1">IFERROR(__xludf.DUMMYFUNCTION("IF(OR($I1451=2, $I1451=3), 0, IFERROR(COUNTIFS($C$2:C1451, $C1451, $A$2:A1451, ""&gt;""&amp;IFERROR(MAX(FILTER($A$2:A1451, $C$2:C1451=$C1451, $I$2:I1451&lt;&gt;1)), 0), $I$2:I1451, 1),1))
"),"#DIV/0!")</f>
        <v>#DIV/0!</v>
      </c>
      <c r="K1451" s="7" t="e">
        <f t="shared" ca="1" si="27"/>
        <v>#DIV/0!</v>
      </c>
      <c r="L1451" s="20" t="e">
        <f t="shared" ca="1" si="28"/>
        <v>#DIV/0!</v>
      </c>
      <c r="M1451" s="21" t="e">
        <f t="shared" ca="1" si="29"/>
        <v>#DIV/0!</v>
      </c>
      <c r="N1451" s="20" t="str">
        <f ca="1">IFERROR(__xludf.DUMMYFUNCTION("IF(COUNTIFS($C$2:C1451, C1451, $A$2:A1451, ""&lt;="" &amp; A1451) &lt; 30, STDEV.P(FILTER($G$2:G1451, $C$2:C1451 = C1451)), STDEV.P(FILTER($G$2:G1451, $C$2:C1451 = C1451, $A$2:A1451 &gt;= A1451 - 30)))
"),"#DIV/0!")</f>
        <v>#DIV/0!</v>
      </c>
    </row>
    <row r="1452" spans="1:14" x14ac:dyDescent="0.2">
      <c r="A1452" s="41"/>
      <c r="B1452" s="40"/>
      <c r="C1452" s="40"/>
      <c r="D1452" s="31"/>
      <c r="E1452" s="31"/>
      <c r="F1452" s="31"/>
      <c r="G1452" s="19" t="e">
        <f t="shared" si="25"/>
        <v>#DIV/0!</v>
      </c>
      <c r="H1452" s="20" t="str">
        <f ca="1">IFERROR(__xludf.DUMMYFUNCTION("IF(COUNTIFS($C$2:C1452, C1452, $A$2:A1452, ""&lt;="" &amp; A1452) &lt; 30, AVERAGEIF($C$2:C1452, C1452, $G$2:G1452), AVERAGE(FILTER($G$2:G1452, $C$2:C1452 = C1452, $A$2:A1452 &gt;= A1452 - 30)))
"),"#DIV/0!")</f>
        <v>#DIV/0!</v>
      </c>
      <c r="I1452" s="20" t="e">
        <f t="shared" ca="1" si="26"/>
        <v>#DIV/0!</v>
      </c>
      <c r="J1452" s="20" t="str">
        <f ca="1">IFERROR(__xludf.DUMMYFUNCTION("IF(OR($I1452=2, $I1452=3), 0, IFERROR(COUNTIFS($C$2:C1452, $C1452, $A$2:A1452, ""&gt;""&amp;IFERROR(MAX(FILTER($A$2:A1452, $C$2:C1452=$C1452, $I$2:I1452&lt;&gt;1)), 0), $I$2:I1452, 1),1))
"),"#DIV/0!")</f>
        <v>#DIV/0!</v>
      </c>
      <c r="K1452" s="7" t="e">
        <f t="shared" ca="1" si="27"/>
        <v>#DIV/0!</v>
      </c>
      <c r="L1452" s="20" t="e">
        <f t="shared" ca="1" si="28"/>
        <v>#DIV/0!</v>
      </c>
      <c r="M1452" s="21" t="e">
        <f t="shared" ca="1" si="29"/>
        <v>#DIV/0!</v>
      </c>
      <c r="N1452" s="20" t="str">
        <f ca="1">IFERROR(__xludf.DUMMYFUNCTION("IF(COUNTIFS($C$2:C1452, C1452, $A$2:A1452, ""&lt;="" &amp; A1452) &lt; 30, STDEV.P(FILTER($G$2:G1452, $C$2:C1452 = C1452)), STDEV.P(FILTER($G$2:G1452, $C$2:C1452 = C1452, $A$2:A1452 &gt;= A1452 - 30)))
"),"#DIV/0!")</f>
        <v>#DIV/0!</v>
      </c>
    </row>
    <row r="1453" spans="1:14" x14ac:dyDescent="0.2">
      <c r="A1453" s="41"/>
      <c r="B1453" s="40"/>
      <c r="C1453" s="40"/>
      <c r="D1453" s="31"/>
      <c r="E1453" s="31"/>
      <c r="F1453" s="31"/>
      <c r="G1453" s="19" t="e">
        <f t="shared" si="25"/>
        <v>#DIV/0!</v>
      </c>
      <c r="H1453" s="20" t="str">
        <f ca="1">IFERROR(__xludf.DUMMYFUNCTION("IF(COUNTIFS($C$2:C1453, C1453, $A$2:A1453, ""&lt;="" &amp; A1453) &lt; 30, AVERAGEIF($C$2:C1453, C1453, $G$2:G1453), AVERAGE(FILTER($G$2:G1453, $C$2:C1453 = C1453, $A$2:A1453 &gt;= A1453 - 30)))
"),"#DIV/0!")</f>
        <v>#DIV/0!</v>
      </c>
      <c r="I1453" s="20" t="e">
        <f t="shared" ca="1" si="26"/>
        <v>#DIV/0!</v>
      </c>
      <c r="J1453" s="20" t="str">
        <f ca="1">IFERROR(__xludf.DUMMYFUNCTION("IF(OR($I1453=2, $I1453=3), 0, IFERROR(COUNTIFS($C$2:C1453, $C1453, $A$2:A1453, ""&gt;""&amp;IFERROR(MAX(FILTER($A$2:A1453, $C$2:C1453=$C1453, $I$2:I1453&lt;&gt;1)), 0), $I$2:I1453, 1),1))
"),"#DIV/0!")</f>
        <v>#DIV/0!</v>
      </c>
      <c r="K1453" s="7" t="e">
        <f t="shared" ca="1" si="27"/>
        <v>#DIV/0!</v>
      </c>
      <c r="L1453" s="20" t="e">
        <f t="shared" ca="1" si="28"/>
        <v>#DIV/0!</v>
      </c>
      <c r="M1453" s="21" t="e">
        <f t="shared" ca="1" si="29"/>
        <v>#DIV/0!</v>
      </c>
      <c r="N1453" s="20" t="str">
        <f ca="1">IFERROR(__xludf.DUMMYFUNCTION("IF(COUNTIFS($C$2:C1453, C1453, $A$2:A1453, ""&lt;="" &amp; A1453) &lt; 30, STDEV.P(FILTER($G$2:G1453, $C$2:C1453 = C1453)), STDEV.P(FILTER($G$2:G1453, $C$2:C1453 = C1453, $A$2:A1453 &gt;= A1453 - 30)))
"),"#DIV/0!")</f>
        <v>#DIV/0!</v>
      </c>
    </row>
    <row r="1454" spans="1:14" x14ac:dyDescent="0.2">
      <c r="A1454" s="41"/>
      <c r="B1454" s="40"/>
      <c r="C1454" s="40"/>
      <c r="D1454" s="31"/>
      <c r="E1454" s="31"/>
      <c r="F1454" s="31"/>
      <c r="G1454" s="19" t="e">
        <f t="shared" si="25"/>
        <v>#DIV/0!</v>
      </c>
      <c r="H1454" s="20" t="str">
        <f ca="1">IFERROR(__xludf.DUMMYFUNCTION("IF(COUNTIFS($C$2:C1454, C1454, $A$2:A1454, ""&lt;="" &amp; A1454) &lt; 30, AVERAGEIF($C$2:C1454, C1454, $G$2:G1454), AVERAGE(FILTER($G$2:G1454, $C$2:C1454 = C1454, $A$2:A1454 &gt;= A1454 - 30)))
"),"#DIV/0!")</f>
        <v>#DIV/0!</v>
      </c>
      <c r="I1454" s="20" t="e">
        <f t="shared" ca="1" si="26"/>
        <v>#DIV/0!</v>
      </c>
      <c r="J1454" s="20" t="str">
        <f ca="1">IFERROR(__xludf.DUMMYFUNCTION("IF(OR($I1454=2, $I1454=3), 0, IFERROR(COUNTIFS($C$2:C1454, $C1454, $A$2:A1454, ""&gt;""&amp;IFERROR(MAX(FILTER($A$2:A1454, $C$2:C1454=$C1454, $I$2:I1454&lt;&gt;1)), 0), $I$2:I1454, 1),1))
"),"#DIV/0!")</f>
        <v>#DIV/0!</v>
      </c>
      <c r="K1454" s="7" t="e">
        <f t="shared" ca="1" si="27"/>
        <v>#DIV/0!</v>
      </c>
      <c r="L1454" s="20" t="e">
        <f t="shared" ca="1" si="28"/>
        <v>#DIV/0!</v>
      </c>
      <c r="M1454" s="21" t="e">
        <f t="shared" ca="1" si="29"/>
        <v>#DIV/0!</v>
      </c>
      <c r="N1454" s="20" t="str">
        <f ca="1">IFERROR(__xludf.DUMMYFUNCTION("IF(COUNTIFS($C$2:C1454, C1454, $A$2:A1454, ""&lt;="" &amp; A1454) &lt; 30, STDEV.P(FILTER($G$2:G1454, $C$2:C1454 = C1454)), STDEV.P(FILTER($G$2:G1454, $C$2:C1454 = C1454, $A$2:A1454 &gt;= A1454 - 30)))
"),"#DIV/0!")</f>
        <v>#DIV/0!</v>
      </c>
    </row>
    <row r="1455" spans="1:14" x14ac:dyDescent="0.2">
      <c r="A1455" s="41"/>
      <c r="B1455" s="40"/>
      <c r="C1455" s="40"/>
      <c r="D1455" s="31"/>
      <c r="E1455" s="31"/>
      <c r="F1455" s="31"/>
      <c r="G1455" s="19" t="e">
        <f t="shared" si="25"/>
        <v>#DIV/0!</v>
      </c>
      <c r="H1455" s="20" t="str">
        <f ca="1">IFERROR(__xludf.DUMMYFUNCTION("IF(COUNTIFS($C$2:C1455, C1455, $A$2:A1455, ""&lt;="" &amp; A1455) &lt; 30, AVERAGEIF($C$2:C1455, C1455, $G$2:G1455), AVERAGE(FILTER($G$2:G1455, $C$2:C1455 = C1455, $A$2:A1455 &gt;= A1455 - 30)))
"),"#DIV/0!")</f>
        <v>#DIV/0!</v>
      </c>
      <c r="I1455" s="20" t="e">
        <f t="shared" ca="1" si="26"/>
        <v>#DIV/0!</v>
      </c>
      <c r="J1455" s="20" t="str">
        <f ca="1">IFERROR(__xludf.DUMMYFUNCTION("IF(OR($I1455=2, $I1455=3), 0, IFERROR(COUNTIFS($C$2:C1455, $C1455, $A$2:A1455, ""&gt;""&amp;IFERROR(MAX(FILTER($A$2:A1455, $C$2:C1455=$C1455, $I$2:I1455&lt;&gt;1)), 0), $I$2:I1455, 1),1))
"),"#DIV/0!")</f>
        <v>#DIV/0!</v>
      </c>
      <c r="K1455" s="7" t="e">
        <f t="shared" ca="1" si="27"/>
        <v>#DIV/0!</v>
      </c>
      <c r="L1455" s="20" t="e">
        <f t="shared" ca="1" si="28"/>
        <v>#DIV/0!</v>
      </c>
      <c r="M1455" s="21" t="e">
        <f t="shared" ca="1" si="29"/>
        <v>#DIV/0!</v>
      </c>
      <c r="N1455" s="20" t="str">
        <f ca="1">IFERROR(__xludf.DUMMYFUNCTION("IF(COUNTIFS($C$2:C1455, C1455, $A$2:A1455, ""&lt;="" &amp; A1455) &lt; 30, STDEV.P(FILTER($G$2:G1455, $C$2:C1455 = C1455)), STDEV.P(FILTER($G$2:G1455, $C$2:C1455 = C1455, $A$2:A1455 &gt;= A1455 - 30)))
"),"#DIV/0!")</f>
        <v>#DIV/0!</v>
      </c>
    </row>
    <row r="1456" spans="1:14" x14ac:dyDescent="0.2">
      <c r="A1456" s="41"/>
      <c r="B1456" s="40"/>
      <c r="C1456" s="40"/>
      <c r="D1456" s="31"/>
      <c r="E1456" s="31"/>
      <c r="F1456" s="31"/>
      <c r="G1456" s="19" t="e">
        <f t="shared" si="25"/>
        <v>#DIV/0!</v>
      </c>
      <c r="H1456" s="20" t="str">
        <f ca="1">IFERROR(__xludf.DUMMYFUNCTION("IF(COUNTIFS($C$2:C1456, C1456, $A$2:A1456, ""&lt;="" &amp; A1456) &lt; 30, AVERAGEIF($C$2:C1456, C1456, $G$2:G1456), AVERAGE(FILTER($G$2:G1456, $C$2:C1456 = C1456, $A$2:A1456 &gt;= A1456 - 30)))
"),"#DIV/0!")</f>
        <v>#DIV/0!</v>
      </c>
      <c r="I1456" s="20" t="e">
        <f t="shared" ca="1" si="26"/>
        <v>#DIV/0!</v>
      </c>
      <c r="J1456" s="20" t="str">
        <f ca="1">IFERROR(__xludf.DUMMYFUNCTION("IF(OR($I1456=2, $I1456=3), 0, IFERROR(COUNTIFS($C$2:C1456, $C1456, $A$2:A1456, ""&gt;""&amp;IFERROR(MAX(FILTER($A$2:A1456, $C$2:C1456=$C1456, $I$2:I1456&lt;&gt;1)), 0), $I$2:I1456, 1),1))
"),"#DIV/0!")</f>
        <v>#DIV/0!</v>
      </c>
      <c r="K1456" s="7" t="e">
        <f t="shared" ca="1" si="27"/>
        <v>#DIV/0!</v>
      </c>
      <c r="L1456" s="20" t="e">
        <f t="shared" ca="1" si="28"/>
        <v>#DIV/0!</v>
      </c>
      <c r="M1456" s="21" t="e">
        <f t="shared" ca="1" si="29"/>
        <v>#DIV/0!</v>
      </c>
      <c r="N1456" s="20" t="str">
        <f ca="1">IFERROR(__xludf.DUMMYFUNCTION("IF(COUNTIFS($C$2:C1456, C1456, $A$2:A1456, ""&lt;="" &amp; A1456) &lt; 30, STDEV.P(FILTER($G$2:G1456, $C$2:C1456 = C1456)), STDEV.P(FILTER($G$2:G1456, $C$2:C1456 = C1456, $A$2:A1456 &gt;= A1456 - 30)))
"),"#DIV/0!")</f>
        <v>#DIV/0!</v>
      </c>
    </row>
    <row r="1457" spans="1:14" x14ac:dyDescent="0.2">
      <c r="A1457" s="41"/>
      <c r="B1457" s="40"/>
      <c r="C1457" s="40"/>
      <c r="D1457" s="31"/>
      <c r="E1457" s="31"/>
      <c r="F1457" s="31"/>
      <c r="G1457" s="19" t="e">
        <f t="shared" si="25"/>
        <v>#DIV/0!</v>
      </c>
      <c r="H1457" s="20" t="str">
        <f ca="1">IFERROR(__xludf.DUMMYFUNCTION("IF(COUNTIFS($C$2:C1457, C1457, $A$2:A1457, ""&lt;="" &amp; A1457) &lt; 30, AVERAGEIF($C$2:C1457, C1457, $G$2:G1457), AVERAGE(FILTER($G$2:G1457, $C$2:C1457 = C1457, $A$2:A1457 &gt;= A1457 - 30)))
"),"#DIV/0!")</f>
        <v>#DIV/0!</v>
      </c>
      <c r="I1457" s="20" t="e">
        <f t="shared" ca="1" si="26"/>
        <v>#DIV/0!</v>
      </c>
      <c r="J1457" s="20" t="str">
        <f ca="1">IFERROR(__xludf.DUMMYFUNCTION("IF(OR($I1457=2, $I1457=3), 0, IFERROR(COUNTIFS($C$2:C1457, $C1457, $A$2:A1457, ""&gt;""&amp;IFERROR(MAX(FILTER($A$2:A1457, $C$2:C1457=$C1457, $I$2:I1457&lt;&gt;1)), 0), $I$2:I1457, 1),1))
"),"#DIV/0!")</f>
        <v>#DIV/0!</v>
      </c>
      <c r="K1457" s="7" t="e">
        <f t="shared" ca="1" si="27"/>
        <v>#DIV/0!</v>
      </c>
      <c r="L1457" s="20" t="e">
        <f t="shared" ca="1" si="28"/>
        <v>#DIV/0!</v>
      </c>
      <c r="M1457" s="21" t="e">
        <f t="shared" ca="1" si="29"/>
        <v>#DIV/0!</v>
      </c>
      <c r="N1457" s="20" t="str">
        <f ca="1">IFERROR(__xludf.DUMMYFUNCTION("IF(COUNTIFS($C$2:C1457, C1457, $A$2:A1457, ""&lt;="" &amp; A1457) &lt; 30, STDEV.P(FILTER($G$2:G1457, $C$2:C1457 = C1457)), STDEV.P(FILTER($G$2:G1457, $C$2:C1457 = C1457, $A$2:A1457 &gt;= A1457 - 30)))
"),"#DIV/0!")</f>
        <v>#DIV/0!</v>
      </c>
    </row>
    <row r="1458" spans="1:14" x14ac:dyDescent="0.2">
      <c r="A1458" s="41"/>
      <c r="B1458" s="40"/>
      <c r="C1458" s="40"/>
      <c r="D1458" s="31"/>
      <c r="E1458" s="31"/>
      <c r="F1458" s="31"/>
      <c r="G1458" s="19" t="e">
        <f t="shared" si="25"/>
        <v>#DIV/0!</v>
      </c>
      <c r="H1458" s="20" t="str">
        <f ca="1">IFERROR(__xludf.DUMMYFUNCTION("IF(COUNTIFS($C$2:C1458, C1458, $A$2:A1458, ""&lt;="" &amp; A1458) &lt; 30, AVERAGEIF($C$2:C1458, C1458, $G$2:G1458), AVERAGE(FILTER($G$2:G1458, $C$2:C1458 = C1458, $A$2:A1458 &gt;= A1458 - 30)))
"),"#DIV/0!")</f>
        <v>#DIV/0!</v>
      </c>
      <c r="I1458" s="20" t="e">
        <f t="shared" ca="1" si="26"/>
        <v>#DIV/0!</v>
      </c>
      <c r="J1458" s="20" t="str">
        <f ca="1">IFERROR(__xludf.DUMMYFUNCTION("IF(OR($I1458=2, $I1458=3), 0, IFERROR(COUNTIFS($C$2:C1458, $C1458, $A$2:A1458, ""&gt;""&amp;IFERROR(MAX(FILTER($A$2:A1458, $C$2:C1458=$C1458, $I$2:I1458&lt;&gt;1)), 0), $I$2:I1458, 1),1))
"),"#DIV/0!")</f>
        <v>#DIV/0!</v>
      </c>
      <c r="K1458" s="7" t="e">
        <f t="shared" ca="1" si="27"/>
        <v>#DIV/0!</v>
      </c>
      <c r="L1458" s="20" t="e">
        <f t="shared" ca="1" si="28"/>
        <v>#DIV/0!</v>
      </c>
      <c r="M1458" s="21" t="e">
        <f t="shared" ca="1" si="29"/>
        <v>#DIV/0!</v>
      </c>
      <c r="N1458" s="20" t="str">
        <f ca="1">IFERROR(__xludf.DUMMYFUNCTION("IF(COUNTIFS($C$2:C1458, C1458, $A$2:A1458, ""&lt;="" &amp; A1458) &lt; 30, STDEV.P(FILTER($G$2:G1458, $C$2:C1458 = C1458)), STDEV.P(FILTER($G$2:G1458, $C$2:C1458 = C1458, $A$2:A1458 &gt;= A1458 - 30)))
"),"#DIV/0!")</f>
        <v>#DIV/0!</v>
      </c>
    </row>
    <row r="1459" spans="1:14" x14ac:dyDescent="0.2">
      <c r="A1459" s="41"/>
      <c r="B1459" s="40"/>
      <c r="C1459" s="40"/>
      <c r="D1459" s="31"/>
      <c r="E1459" s="31"/>
      <c r="F1459" s="31"/>
      <c r="G1459" s="19" t="e">
        <f t="shared" si="25"/>
        <v>#DIV/0!</v>
      </c>
      <c r="H1459" s="20" t="str">
        <f ca="1">IFERROR(__xludf.DUMMYFUNCTION("IF(COUNTIFS($C$2:C1459, C1459, $A$2:A1459, ""&lt;="" &amp; A1459) &lt; 30, AVERAGEIF($C$2:C1459, C1459, $G$2:G1459), AVERAGE(FILTER($G$2:G1459, $C$2:C1459 = C1459, $A$2:A1459 &gt;= A1459 - 30)))
"),"#DIV/0!")</f>
        <v>#DIV/0!</v>
      </c>
      <c r="I1459" s="20" t="e">
        <f t="shared" ca="1" si="26"/>
        <v>#DIV/0!</v>
      </c>
      <c r="J1459" s="20" t="str">
        <f ca="1">IFERROR(__xludf.DUMMYFUNCTION("IF(OR($I1459=2, $I1459=3), 0, IFERROR(COUNTIFS($C$2:C1459, $C1459, $A$2:A1459, ""&gt;""&amp;IFERROR(MAX(FILTER($A$2:A1459, $C$2:C1459=$C1459, $I$2:I1459&lt;&gt;1)), 0), $I$2:I1459, 1),1))
"),"#DIV/0!")</f>
        <v>#DIV/0!</v>
      </c>
      <c r="K1459" s="7" t="e">
        <f t="shared" ca="1" si="27"/>
        <v>#DIV/0!</v>
      </c>
      <c r="L1459" s="20" t="e">
        <f t="shared" ca="1" si="28"/>
        <v>#DIV/0!</v>
      </c>
      <c r="M1459" s="21" t="e">
        <f t="shared" ca="1" si="29"/>
        <v>#DIV/0!</v>
      </c>
      <c r="N1459" s="20" t="str">
        <f ca="1">IFERROR(__xludf.DUMMYFUNCTION("IF(COUNTIFS($C$2:C1459, C1459, $A$2:A1459, ""&lt;="" &amp; A1459) &lt; 30, STDEV.P(FILTER($G$2:G1459, $C$2:C1459 = C1459)), STDEV.P(FILTER($G$2:G1459, $C$2:C1459 = C1459, $A$2:A1459 &gt;= A1459 - 30)))
"),"#DIV/0!")</f>
        <v>#DIV/0!</v>
      </c>
    </row>
    <row r="1460" spans="1:14" x14ac:dyDescent="0.2">
      <c r="A1460" s="41"/>
      <c r="B1460" s="40"/>
      <c r="C1460" s="40"/>
      <c r="D1460" s="31"/>
      <c r="E1460" s="31"/>
      <c r="F1460" s="31"/>
      <c r="G1460" s="19" t="e">
        <f t="shared" si="25"/>
        <v>#DIV/0!</v>
      </c>
      <c r="H1460" s="20" t="str">
        <f ca="1">IFERROR(__xludf.DUMMYFUNCTION("IF(COUNTIFS($C$2:C1460, C1460, $A$2:A1460, ""&lt;="" &amp; A1460) &lt; 30, AVERAGEIF($C$2:C1460, C1460, $G$2:G1460), AVERAGE(FILTER($G$2:G1460, $C$2:C1460 = C1460, $A$2:A1460 &gt;= A1460 - 30)))
"),"#DIV/0!")</f>
        <v>#DIV/0!</v>
      </c>
      <c r="I1460" s="20" t="e">
        <f t="shared" ca="1" si="26"/>
        <v>#DIV/0!</v>
      </c>
      <c r="J1460" s="20" t="str">
        <f ca="1">IFERROR(__xludf.DUMMYFUNCTION("IF(OR($I1460=2, $I1460=3), 0, IFERROR(COUNTIFS($C$2:C1460, $C1460, $A$2:A1460, ""&gt;""&amp;IFERROR(MAX(FILTER($A$2:A1460, $C$2:C1460=$C1460, $I$2:I1460&lt;&gt;1)), 0), $I$2:I1460, 1),1))
"),"#DIV/0!")</f>
        <v>#DIV/0!</v>
      </c>
      <c r="K1460" s="7" t="e">
        <f t="shared" ca="1" si="27"/>
        <v>#DIV/0!</v>
      </c>
      <c r="L1460" s="20" t="e">
        <f t="shared" ca="1" si="28"/>
        <v>#DIV/0!</v>
      </c>
      <c r="M1460" s="21" t="e">
        <f t="shared" ca="1" si="29"/>
        <v>#DIV/0!</v>
      </c>
      <c r="N1460" s="20" t="str">
        <f ca="1">IFERROR(__xludf.DUMMYFUNCTION("IF(COUNTIFS($C$2:C1460, C1460, $A$2:A1460, ""&lt;="" &amp; A1460) &lt; 30, STDEV.P(FILTER($G$2:G1460, $C$2:C1460 = C1460)), STDEV.P(FILTER($G$2:G1460, $C$2:C1460 = C1460, $A$2:A1460 &gt;= A1460 - 30)))
"),"#DIV/0!")</f>
        <v>#DIV/0!</v>
      </c>
    </row>
    <row r="1461" spans="1:14" x14ac:dyDescent="0.2">
      <c r="A1461" s="41"/>
      <c r="B1461" s="40"/>
      <c r="C1461" s="40"/>
      <c r="D1461" s="31"/>
      <c r="E1461" s="31"/>
      <c r="F1461" s="31"/>
      <c r="G1461" s="19" t="e">
        <f t="shared" si="25"/>
        <v>#DIV/0!</v>
      </c>
      <c r="H1461" s="20" t="str">
        <f ca="1">IFERROR(__xludf.DUMMYFUNCTION("IF(COUNTIFS($C$2:C1461, C1461, $A$2:A1461, ""&lt;="" &amp; A1461) &lt; 30, AVERAGEIF($C$2:C1461, C1461, $G$2:G1461), AVERAGE(FILTER($G$2:G1461, $C$2:C1461 = C1461, $A$2:A1461 &gt;= A1461 - 30)))
"),"#DIV/0!")</f>
        <v>#DIV/0!</v>
      </c>
      <c r="I1461" s="20" t="e">
        <f t="shared" ca="1" si="26"/>
        <v>#DIV/0!</v>
      </c>
      <c r="J1461" s="20" t="str">
        <f ca="1">IFERROR(__xludf.DUMMYFUNCTION("IF(OR($I1461=2, $I1461=3), 0, IFERROR(COUNTIFS($C$2:C1461, $C1461, $A$2:A1461, ""&gt;""&amp;IFERROR(MAX(FILTER($A$2:A1461, $C$2:C1461=$C1461, $I$2:I1461&lt;&gt;1)), 0), $I$2:I1461, 1),1))
"),"#DIV/0!")</f>
        <v>#DIV/0!</v>
      </c>
      <c r="K1461" s="7" t="e">
        <f t="shared" ca="1" si="27"/>
        <v>#DIV/0!</v>
      </c>
      <c r="L1461" s="20" t="e">
        <f t="shared" ca="1" si="28"/>
        <v>#DIV/0!</v>
      </c>
      <c r="M1461" s="21" t="e">
        <f t="shared" ca="1" si="29"/>
        <v>#DIV/0!</v>
      </c>
      <c r="N1461" s="20" t="str">
        <f ca="1">IFERROR(__xludf.DUMMYFUNCTION("IF(COUNTIFS($C$2:C1461, C1461, $A$2:A1461, ""&lt;="" &amp; A1461) &lt; 30, STDEV.P(FILTER($G$2:G1461, $C$2:C1461 = C1461)), STDEV.P(FILTER($G$2:G1461, $C$2:C1461 = C1461, $A$2:A1461 &gt;= A1461 - 30)))
"),"#DIV/0!")</f>
        <v>#DIV/0!</v>
      </c>
    </row>
    <row r="1462" spans="1:14" x14ac:dyDescent="0.2">
      <c r="A1462" s="41"/>
      <c r="B1462" s="40"/>
      <c r="C1462" s="40"/>
      <c r="D1462" s="31"/>
      <c r="E1462" s="31"/>
      <c r="F1462" s="31"/>
      <c r="G1462" s="19" t="e">
        <f t="shared" si="25"/>
        <v>#DIV/0!</v>
      </c>
      <c r="H1462" s="20" t="str">
        <f ca="1">IFERROR(__xludf.DUMMYFUNCTION("IF(COUNTIFS($C$2:C1462, C1462, $A$2:A1462, ""&lt;="" &amp; A1462) &lt; 30, AVERAGEIF($C$2:C1462, C1462, $G$2:G1462), AVERAGE(FILTER($G$2:G1462, $C$2:C1462 = C1462, $A$2:A1462 &gt;= A1462 - 30)))
"),"#DIV/0!")</f>
        <v>#DIV/0!</v>
      </c>
      <c r="I1462" s="20" t="e">
        <f t="shared" ca="1" si="26"/>
        <v>#DIV/0!</v>
      </c>
      <c r="J1462" s="20" t="str">
        <f ca="1">IFERROR(__xludf.DUMMYFUNCTION("IF(OR($I1462=2, $I1462=3), 0, IFERROR(COUNTIFS($C$2:C1462, $C1462, $A$2:A1462, ""&gt;""&amp;IFERROR(MAX(FILTER($A$2:A1462, $C$2:C1462=$C1462, $I$2:I1462&lt;&gt;1)), 0), $I$2:I1462, 1),1))
"),"#DIV/0!")</f>
        <v>#DIV/0!</v>
      </c>
      <c r="K1462" s="7" t="e">
        <f t="shared" ca="1" si="27"/>
        <v>#DIV/0!</v>
      </c>
      <c r="L1462" s="20" t="e">
        <f t="shared" ca="1" si="28"/>
        <v>#DIV/0!</v>
      </c>
      <c r="M1462" s="21" t="e">
        <f t="shared" ca="1" si="29"/>
        <v>#DIV/0!</v>
      </c>
      <c r="N1462" s="20" t="str">
        <f ca="1">IFERROR(__xludf.DUMMYFUNCTION("IF(COUNTIFS($C$2:C1462, C1462, $A$2:A1462, ""&lt;="" &amp; A1462) &lt; 30, STDEV.P(FILTER($G$2:G1462, $C$2:C1462 = C1462)), STDEV.P(FILTER($G$2:G1462, $C$2:C1462 = C1462, $A$2:A1462 &gt;= A1462 - 30)))
"),"#DIV/0!")</f>
        <v>#DIV/0!</v>
      </c>
    </row>
    <row r="1463" spans="1:14" x14ac:dyDescent="0.2">
      <c r="A1463" s="41"/>
      <c r="B1463" s="40"/>
      <c r="C1463" s="40"/>
      <c r="D1463" s="31"/>
      <c r="E1463" s="31"/>
      <c r="F1463" s="31"/>
      <c r="G1463" s="19" t="e">
        <f t="shared" si="25"/>
        <v>#DIV/0!</v>
      </c>
      <c r="H1463" s="20" t="str">
        <f ca="1">IFERROR(__xludf.DUMMYFUNCTION("IF(COUNTIFS($C$2:C1463, C1463, $A$2:A1463, ""&lt;="" &amp; A1463) &lt; 30, AVERAGEIF($C$2:C1463, C1463, $G$2:G1463), AVERAGE(FILTER($G$2:G1463, $C$2:C1463 = C1463, $A$2:A1463 &gt;= A1463 - 30)))
"),"#DIV/0!")</f>
        <v>#DIV/0!</v>
      </c>
      <c r="I1463" s="20" t="e">
        <f t="shared" ca="1" si="26"/>
        <v>#DIV/0!</v>
      </c>
      <c r="J1463" s="20" t="str">
        <f ca="1">IFERROR(__xludf.DUMMYFUNCTION("IF(OR($I1463=2, $I1463=3), 0, IFERROR(COUNTIFS($C$2:C1463, $C1463, $A$2:A1463, ""&gt;""&amp;IFERROR(MAX(FILTER($A$2:A1463, $C$2:C1463=$C1463, $I$2:I1463&lt;&gt;1)), 0), $I$2:I1463, 1),1))
"),"#DIV/0!")</f>
        <v>#DIV/0!</v>
      </c>
      <c r="K1463" s="7" t="e">
        <f t="shared" ca="1" si="27"/>
        <v>#DIV/0!</v>
      </c>
      <c r="L1463" s="20" t="e">
        <f t="shared" ca="1" si="28"/>
        <v>#DIV/0!</v>
      </c>
      <c r="M1463" s="21" t="e">
        <f t="shared" ca="1" si="29"/>
        <v>#DIV/0!</v>
      </c>
      <c r="N1463" s="20" t="str">
        <f ca="1">IFERROR(__xludf.DUMMYFUNCTION("IF(COUNTIFS($C$2:C1463, C1463, $A$2:A1463, ""&lt;="" &amp; A1463) &lt; 30, STDEV.P(FILTER($G$2:G1463, $C$2:C1463 = C1463)), STDEV.P(FILTER($G$2:G1463, $C$2:C1463 = C1463, $A$2:A1463 &gt;= A1463 - 30)))
"),"#DIV/0!")</f>
        <v>#DIV/0!</v>
      </c>
    </row>
    <row r="1464" spans="1:14" x14ac:dyDescent="0.2">
      <c r="A1464" s="41"/>
      <c r="B1464" s="40"/>
      <c r="C1464" s="40"/>
      <c r="D1464" s="31"/>
      <c r="E1464" s="31"/>
      <c r="F1464" s="31"/>
      <c r="G1464" s="19" t="e">
        <f t="shared" si="25"/>
        <v>#DIV/0!</v>
      </c>
      <c r="H1464" s="20" t="str">
        <f ca="1">IFERROR(__xludf.DUMMYFUNCTION("IF(COUNTIFS($C$2:C1464, C1464, $A$2:A1464, ""&lt;="" &amp; A1464) &lt; 30, AVERAGEIF($C$2:C1464, C1464, $G$2:G1464), AVERAGE(FILTER($G$2:G1464, $C$2:C1464 = C1464, $A$2:A1464 &gt;= A1464 - 30)))
"),"#DIV/0!")</f>
        <v>#DIV/0!</v>
      </c>
      <c r="I1464" s="20" t="e">
        <f t="shared" ca="1" si="26"/>
        <v>#DIV/0!</v>
      </c>
      <c r="J1464" s="20" t="str">
        <f ca="1">IFERROR(__xludf.DUMMYFUNCTION("IF(OR($I1464=2, $I1464=3), 0, IFERROR(COUNTIFS($C$2:C1464, $C1464, $A$2:A1464, ""&gt;""&amp;IFERROR(MAX(FILTER($A$2:A1464, $C$2:C1464=$C1464, $I$2:I1464&lt;&gt;1)), 0), $I$2:I1464, 1),1))
"),"#DIV/0!")</f>
        <v>#DIV/0!</v>
      </c>
      <c r="K1464" s="7" t="e">
        <f t="shared" ca="1" si="27"/>
        <v>#DIV/0!</v>
      </c>
      <c r="L1464" s="20" t="e">
        <f t="shared" ca="1" si="28"/>
        <v>#DIV/0!</v>
      </c>
      <c r="M1464" s="21" t="e">
        <f t="shared" ca="1" si="29"/>
        <v>#DIV/0!</v>
      </c>
      <c r="N1464" s="20" t="str">
        <f ca="1">IFERROR(__xludf.DUMMYFUNCTION("IF(COUNTIFS($C$2:C1464, C1464, $A$2:A1464, ""&lt;="" &amp; A1464) &lt; 30, STDEV.P(FILTER($G$2:G1464, $C$2:C1464 = C1464)), STDEV.P(FILTER($G$2:G1464, $C$2:C1464 = C1464, $A$2:A1464 &gt;= A1464 - 30)))
"),"#DIV/0!")</f>
        <v>#DIV/0!</v>
      </c>
    </row>
    <row r="1465" spans="1:14" x14ac:dyDescent="0.2">
      <c r="A1465" s="41"/>
      <c r="B1465" s="40"/>
      <c r="C1465" s="40"/>
      <c r="D1465" s="31"/>
      <c r="E1465" s="31"/>
      <c r="F1465" s="31"/>
      <c r="G1465" s="19" t="e">
        <f t="shared" si="25"/>
        <v>#DIV/0!</v>
      </c>
      <c r="H1465" s="20" t="str">
        <f ca="1">IFERROR(__xludf.DUMMYFUNCTION("IF(COUNTIFS($C$2:C1465, C1465, $A$2:A1465, ""&lt;="" &amp; A1465) &lt; 30, AVERAGEIF($C$2:C1465, C1465, $G$2:G1465), AVERAGE(FILTER($G$2:G1465, $C$2:C1465 = C1465, $A$2:A1465 &gt;= A1465 - 30)))
"),"#DIV/0!")</f>
        <v>#DIV/0!</v>
      </c>
      <c r="I1465" s="20" t="e">
        <f t="shared" ca="1" si="26"/>
        <v>#DIV/0!</v>
      </c>
      <c r="J1465" s="20" t="str">
        <f ca="1">IFERROR(__xludf.DUMMYFUNCTION("IF(OR($I1465=2, $I1465=3), 0, IFERROR(COUNTIFS($C$2:C1465, $C1465, $A$2:A1465, ""&gt;""&amp;IFERROR(MAX(FILTER($A$2:A1465, $C$2:C1465=$C1465, $I$2:I1465&lt;&gt;1)), 0), $I$2:I1465, 1),1))
"),"#DIV/0!")</f>
        <v>#DIV/0!</v>
      </c>
      <c r="K1465" s="7" t="e">
        <f t="shared" ca="1" si="27"/>
        <v>#DIV/0!</v>
      </c>
      <c r="L1465" s="20" t="e">
        <f t="shared" ca="1" si="28"/>
        <v>#DIV/0!</v>
      </c>
      <c r="M1465" s="21" t="e">
        <f t="shared" ca="1" si="29"/>
        <v>#DIV/0!</v>
      </c>
      <c r="N1465" s="20" t="str">
        <f ca="1">IFERROR(__xludf.DUMMYFUNCTION("IF(COUNTIFS($C$2:C1465, C1465, $A$2:A1465, ""&lt;="" &amp; A1465) &lt; 30, STDEV.P(FILTER($G$2:G1465, $C$2:C1465 = C1465)), STDEV.P(FILTER($G$2:G1465, $C$2:C1465 = C1465, $A$2:A1465 &gt;= A1465 - 30)))
"),"#DIV/0!")</f>
        <v>#DIV/0!</v>
      </c>
    </row>
    <row r="1466" spans="1:14" x14ac:dyDescent="0.2">
      <c r="A1466" s="41"/>
      <c r="B1466" s="40"/>
      <c r="C1466" s="40"/>
      <c r="D1466" s="31"/>
      <c r="E1466" s="31"/>
      <c r="F1466" s="31"/>
      <c r="G1466" s="19" t="e">
        <f t="shared" si="25"/>
        <v>#DIV/0!</v>
      </c>
      <c r="H1466" s="20" t="str">
        <f ca="1">IFERROR(__xludf.DUMMYFUNCTION("IF(COUNTIFS($C$2:C1466, C1466, $A$2:A1466, ""&lt;="" &amp; A1466) &lt; 30, AVERAGEIF($C$2:C1466, C1466, $G$2:G1466), AVERAGE(FILTER($G$2:G1466, $C$2:C1466 = C1466, $A$2:A1466 &gt;= A1466 - 30)))
"),"#DIV/0!")</f>
        <v>#DIV/0!</v>
      </c>
      <c r="I1466" s="20" t="e">
        <f t="shared" ca="1" si="26"/>
        <v>#DIV/0!</v>
      </c>
      <c r="J1466" s="20" t="str">
        <f ca="1">IFERROR(__xludf.DUMMYFUNCTION("IF(OR($I1466=2, $I1466=3), 0, IFERROR(COUNTIFS($C$2:C1466, $C1466, $A$2:A1466, ""&gt;""&amp;IFERROR(MAX(FILTER($A$2:A1466, $C$2:C1466=$C1466, $I$2:I1466&lt;&gt;1)), 0), $I$2:I1466, 1),1))
"),"#DIV/0!")</f>
        <v>#DIV/0!</v>
      </c>
      <c r="K1466" s="7" t="e">
        <f t="shared" ca="1" si="27"/>
        <v>#DIV/0!</v>
      </c>
      <c r="L1466" s="20" t="e">
        <f t="shared" ca="1" si="28"/>
        <v>#DIV/0!</v>
      </c>
      <c r="M1466" s="21" t="e">
        <f t="shared" ca="1" si="29"/>
        <v>#DIV/0!</v>
      </c>
      <c r="N1466" s="20" t="str">
        <f ca="1">IFERROR(__xludf.DUMMYFUNCTION("IF(COUNTIFS($C$2:C1466, C1466, $A$2:A1466, ""&lt;="" &amp; A1466) &lt; 30, STDEV.P(FILTER($G$2:G1466, $C$2:C1466 = C1466)), STDEV.P(FILTER($G$2:G1466, $C$2:C1466 = C1466, $A$2:A1466 &gt;= A1466 - 30)))
"),"#DIV/0!")</f>
        <v>#DIV/0!</v>
      </c>
    </row>
    <row r="1467" spans="1:14" x14ac:dyDescent="0.2">
      <c r="A1467" s="41"/>
      <c r="B1467" s="40"/>
      <c r="C1467" s="40"/>
      <c r="D1467" s="31"/>
      <c r="E1467" s="31"/>
      <c r="F1467" s="31"/>
      <c r="G1467" s="19" t="e">
        <f t="shared" si="25"/>
        <v>#DIV/0!</v>
      </c>
      <c r="H1467" s="20" t="str">
        <f ca="1">IFERROR(__xludf.DUMMYFUNCTION("IF(COUNTIFS($C$2:C1467, C1467, $A$2:A1467, ""&lt;="" &amp; A1467) &lt; 30, AVERAGEIF($C$2:C1467, C1467, $G$2:G1467), AVERAGE(FILTER($G$2:G1467, $C$2:C1467 = C1467, $A$2:A1467 &gt;= A1467 - 30)))
"),"#DIV/0!")</f>
        <v>#DIV/0!</v>
      </c>
      <c r="I1467" s="20" t="e">
        <f t="shared" ca="1" si="26"/>
        <v>#DIV/0!</v>
      </c>
      <c r="J1467" s="20" t="str">
        <f ca="1">IFERROR(__xludf.DUMMYFUNCTION("IF(OR($I1467=2, $I1467=3), 0, IFERROR(COUNTIFS($C$2:C1467, $C1467, $A$2:A1467, ""&gt;""&amp;IFERROR(MAX(FILTER($A$2:A1467, $C$2:C1467=$C1467, $I$2:I1467&lt;&gt;1)), 0), $I$2:I1467, 1),1))
"),"#DIV/0!")</f>
        <v>#DIV/0!</v>
      </c>
      <c r="K1467" s="7" t="e">
        <f t="shared" ca="1" si="27"/>
        <v>#DIV/0!</v>
      </c>
      <c r="L1467" s="20" t="e">
        <f t="shared" ca="1" si="28"/>
        <v>#DIV/0!</v>
      </c>
      <c r="M1467" s="21" t="e">
        <f t="shared" ca="1" si="29"/>
        <v>#DIV/0!</v>
      </c>
      <c r="N1467" s="20" t="str">
        <f ca="1">IFERROR(__xludf.DUMMYFUNCTION("IF(COUNTIFS($C$2:C1467, C1467, $A$2:A1467, ""&lt;="" &amp; A1467) &lt; 30, STDEV.P(FILTER($G$2:G1467, $C$2:C1467 = C1467)), STDEV.P(FILTER($G$2:G1467, $C$2:C1467 = C1467, $A$2:A1467 &gt;= A1467 - 30)))
"),"#DIV/0!")</f>
        <v>#DIV/0!</v>
      </c>
    </row>
    <row r="1468" spans="1:14" x14ac:dyDescent="0.2">
      <c r="A1468" s="41"/>
      <c r="B1468" s="40"/>
      <c r="C1468" s="40"/>
      <c r="D1468" s="31"/>
      <c r="E1468" s="31"/>
      <c r="F1468" s="31"/>
      <c r="G1468" s="19" t="e">
        <f t="shared" si="25"/>
        <v>#DIV/0!</v>
      </c>
      <c r="H1468" s="20" t="str">
        <f ca="1">IFERROR(__xludf.DUMMYFUNCTION("IF(COUNTIFS($C$2:C1468, C1468, $A$2:A1468, ""&lt;="" &amp; A1468) &lt; 30, AVERAGEIF($C$2:C1468, C1468, $G$2:G1468), AVERAGE(FILTER($G$2:G1468, $C$2:C1468 = C1468, $A$2:A1468 &gt;= A1468 - 30)))
"),"#DIV/0!")</f>
        <v>#DIV/0!</v>
      </c>
      <c r="I1468" s="20" t="e">
        <f t="shared" ca="1" si="26"/>
        <v>#DIV/0!</v>
      </c>
      <c r="J1468" s="20" t="str">
        <f ca="1">IFERROR(__xludf.DUMMYFUNCTION("IF(OR($I1468=2, $I1468=3), 0, IFERROR(COUNTIFS($C$2:C1468, $C1468, $A$2:A1468, ""&gt;""&amp;IFERROR(MAX(FILTER($A$2:A1468, $C$2:C1468=$C1468, $I$2:I1468&lt;&gt;1)), 0), $I$2:I1468, 1),1))
"),"#DIV/0!")</f>
        <v>#DIV/0!</v>
      </c>
      <c r="K1468" s="7" t="e">
        <f t="shared" ca="1" si="27"/>
        <v>#DIV/0!</v>
      </c>
      <c r="L1468" s="20" t="e">
        <f t="shared" ca="1" si="28"/>
        <v>#DIV/0!</v>
      </c>
      <c r="M1468" s="21" t="e">
        <f t="shared" ca="1" si="29"/>
        <v>#DIV/0!</v>
      </c>
      <c r="N1468" s="20" t="str">
        <f ca="1">IFERROR(__xludf.DUMMYFUNCTION("IF(COUNTIFS($C$2:C1468, C1468, $A$2:A1468, ""&lt;="" &amp; A1468) &lt; 30, STDEV.P(FILTER($G$2:G1468, $C$2:C1468 = C1468)), STDEV.P(FILTER($G$2:G1468, $C$2:C1468 = C1468, $A$2:A1468 &gt;= A1468 - 30)))
"),"#DIV/0!")</f>
        <v>#DIV/0!</v>
      </c>
    </row>
    <row r="1469" spans="1:14" x14ac:dyDescent="0.2">
      <c r="A1469" s="41"/>
      <c r="B1469" s="40"/>
      <c r="C1469" s="40"/>
      <c r="D1469" s="31"/>
      <c r="E1469" s="31"/>
      <c r="F1469" s="31"/>
      <c r="G1469" s="19" t="e">
        <f t="shared" si="25"/>
        <v>#DIV/0!</v>
      </c>
      <c r="H1469" s="20" t="str">
        <f ca="1">IFERROR(__xludf.DUMMYFUNCTION("IF(COUNTIFS($C$2:C1469, C1469, $A$2:A1469, ""&lt;="" &amp; A1469) &lt; 30, AVERAGEIF($C$2:C1469, C1469, $G$2:G1469), AVERAGE(FILTER($G$2:G1469, $C$2:C1469 = C1469, $A$2:A1469 &gt;= A1469 - 30)))
"),"#DIV/0!")</f>
        <v>#DIV/0!</v>
      </c>
      <c r="I1469" s="20" t="e">
        <f t="shared" ca="1" si="26"/>
        <v>#DIV/0!</v>
      </c>
      <c r="J1469" s="20" t="str">
        <f ca="1">IFERROR(__xludf.DUMMYFUNCTION("IF(OR($I1469=2, $I1469=3), 0, IFERROR(COUNTIFS($C$2:C1469, $C1469, $A$2:A1469, ""&gt;""&amp;IFERROR(MAX(FILTER($A$2:A1469, $C$2:C1469=$C1469, $I$2:I1469&lt;&gt;1)), 0), $I$2:I1469, 1),1))
"),"#DIV/0!")</f>
        <v>#DIV/0!</v>
      </c>
      <c r="K1469" s="7" t="e">
        <f t="shared" ca="1" si="27"/>
        <v>#DIV/0!</v>
      </c>
      <c r="L1469" s="20" t="e">
        <f t="shared" ca="1" si="28"/>
        <v>#DIV/0!</v>
      </c>
      <c r="M1469" s="21" t="e">
        <f t="shared" ca="1" si="29"/>
        <v>#DIV/0!</v>
      </c>
      <c r="N1469" s="20" t="str">
        <f ca="1">IFERROR(__xludf.DUMMYFUNCTION("IF(COUNTIFS($C$2:C1469, C1469, $A$2:A1469, ""&lt;="" &amp; A1469) &lt; 30, STDEV.P(FILTER($G$2:G1469, $C$2:C1469 = C1469)), STDEV.P(FILTER($G$2:G1469, $C$2:C1469 = C1469, $A$2:A1469 &gt;= A1469 - 30)))
"),"#DIV/0!")</f>
        <v>#DIV/0!</v>
      </c>
    </row>
    <row r="1470" spans="1:14" x14ac:dyDescent="0.2">
      <c r="A1470" s="41"/>
      <c r="B1470" s="40"/>
      <c r="C1470" s="40"/>
      <c r="D1470" s="31"/>
      <c r="E1470" s="31"/>
      <c r="F1470" s="31"/>
      <c r="G1470" s="19" t="e">
        <f t="shared" si="25"/>
        <v>#DIV/0!</v>
      </c>
      <c r="H1470" s="20" t="str">
        <f ca="1">IFERROR(__xludf.DUMMYFUNCTION("IF(COUNTIFS($C$2:C1470, C1470, $A$2:A1470, ""&lt;="" &amp; A1470) &lt; 30, AVERAGEIF($C$2:C1470, C1470, $G$2:G1470), AVERAGE(FILTER($G$2:G1470, $C$2:C1470 = C1470, $A$2:A1470 &gt;= A1470 - 30)))
"),"#DIV/0!")</f>
        <v>#DIV/0!</v>
      </c>
      <c r="I1470" s="20" t="e">
        <f t="shared" ca="1" si="26"/>
        <v>#DIV/0!</v>
      </c>
      <c r="J1470" s="20" t="str">
        <f ca="1">IFERROR(__xludf.DUMMYFUNCTION("IF(OR($I1470=2, $I1470=3), 0, IFERROR(COUNTIFS($C$2:C1470, $C1470, $A$2:A1470, ""&gt;""&amp;IFERROR(MAX(FILTER($A$2:A1470, $C$2:C1470=$C1470, $I$2:I1470&lt;&gt;1)), 0), $I$2:I1470, 1),1))
"),"#DIV/0!")</f>
        <v>#DIV/0!</v>
      </c>
      <c r="K1470" s="7" t="e">
        <f t="shared" ca="1" si="27"/>
        <v>#DIV/0!</v>
      </c>
      <c r="L1470" s="20" t="e">
        <f t="shared" ca="1" si="28"/>
        <v>#DIV/0!</v>
      </c>
      <c r="M1470" s="21" t="e">
        <f t="shared" ca="1" si="29"/>
        <v>#DIV/0!</v>
      </c>
      <c r="N1470" s="20" t="str">
        <f ca="1">IFERROR(__xludf.DUMMYFUNCTION("IF(COUNTIFS($C$2:C1470, C1470, $A$2:A1470, ""&lt;="" &amp; A1470) &lt; 30, STDEV.P(FILTER($G$2:G1470, $C$2:C1470 = C1470)), STDEV.P(FILTER($G$2:G1470, $C$2:C1470 = C1470, $A$2:A1470 &gt;= A1470 - 30)))
"),"#DIV/0!")</f>
        <v>#DIV/0!</v>
      </c>
    </row>
    <row r="1471" spans="1:14" x14ac:dyDescent="0.2">
      <c r="A1471" s="41"/>
      <c r="B1471" s="40"/>
      <c r="C1471" s="40"/>
      <c r="D1471" s="31"/>
      <c r="E1471" s="31"/>
      <c r="F1471" s="31"/>
      <c r="G1471" s="19" t="e">
        <f t="shared" si="25"/>
        <v>#DIV/0!</v>
      </c>
      <c r="H1471" s="20" t="str">
        <f ca="1">IFERROR(__xludf.DUMMYFUNCTION("IF(COUNTIFS($C$2:C1471, C1471, $A$2:A1471, ""&lt;="" &amp; A1471) &lt; 30, AVERAGEIF($C$2:C1471, C1471, $G$2:G1471), AVERAGE(FILTER($G$2:G1471, $C$2:C1471 = C1471, $A$2:A1471 &gt;= A1471 - 30)))
"),"#DIV/0!")</f>
        <v>#DIV/0!</v>
      </c>
      <c r="I1471" s="20" t="e">
        <f t="shared" ca="1" si="26"/>
        <v>#DIV/0!</v>
      </c>
      <c r="J1471" s="20" t="str">
        <f ca="1">IFERROR(__xludf.DUMMYFUNCTION("IF(OR($I1471=2, $I1471=3), 0, IFERROR(COUNTIFS($C$2:C1471, $C1471, $A$2:A1471, ""&gt;""&amp;IFERROR(MAX(FILTER($A$2:A1471, $C$2:C1471=$C1471, $I$2:I1471&lt;&gt;1)), 0), $I$2:I1471, 1),1))
"),"#DIV/0!")</f>
        <v>#DIV/0!</v>
      </c>
      <c r="K1471" s="7" t="e">
        <f t="shared" ca="1" si="27"/>
        <v>#DIV/0!</v>
      </c>
      <c r="L1471" s="20" t="e">
        <f t="shared" ca="1" si="28"/>
        <v>#DIV/0!</v>
      </c>
      <c r="M1471" s="21" t="e">
        <f t="shared" ca="1" si="29"/>
        <v>#DIV/0!</v>
      </c>
      <c r="N1471" s="20" t="str">
        <f ca="1">IFERROR(__xludf.DUMMYFUNCTION("IF(COUNTIFS($C$2:C1471, C1471, $A$2:A1471, ""&lt;="" &amp; A1471) &lt; 30, STDEV.P(FILTER($G$2:G1471, $C$2:C1471 = C1471)), STDEV.P(FILTER($G$2:G1471, $C$2:C1471 = C1471, $A$2:A1471 &gt;= A1471 - 30)))
"),"#DIV/0!")</f>
        <v>#DIV/0!</v>
      </c>
    </row>
    <row r="1472" spans="1:14" x14ac:dyDescent="0.2">
      <c r="A1472" s="41"/>
      <c r="B1472" s="40"/>
      <c r="C1472" s="40"/>
      <c r="D1472" s="31"/>
      <c r="E1472" s="31"/>
      <c r="F1472" s="31"/>
      <c r="G1472" s="19" t="e">
        <f t="shared" si="25"/>
        <v>#DIV/0!</v>
      </c>
      <c r="H1472" s="20" t="str">
        <f ca="1">IFERROR(__xludf.DUMMYFUNCTION("IF(COUNTIFS($C$2:C1472, C1472, $A$2:A1472, ""&lt;="" &amp; A1472) &lt; 30, AVERAGEIF($C$2:C1472, C1472, $G$2:G1472), AVERAGE(FILTER($G$2:G1472, $C$2:C1472 = C1472, $A$2:A1472 &gt;= A1472 - 30)))
"),"#DIV/0!")</f>
        <v>#DIV/0!</v>
      </c>
      <c r="I1472" s="20" t="e">
        <f t="shared" ca="1" si="26"/>
        <v>#DIV/0!</v>
      </c>
      <c r="J1472" s="20" t="str">
        <f ca="1">IFERROR(__xludf.DUMMYFUNCTION("IF(OR($I1472=2, $I1472=3), 0, IFERROR(COUNTIFS($C$2:C1472, $C1472, $A$2:A1472, ""&gt;""&amp;IFERROR(MAX(FILTER($A$2:A1472, $C$2:C1472=$C1472, $I$2:I1472&lt;&gt;1)), 0), $I$2:I1472, 1),1))
"),"#DIV/0!")</f>
        <v>#DIV/0!</v>
      </c>
      <c r="K1472" s="7" t="e">
        <f t="shared" ca="1" si="27"/>
        <v>#DIV/0!</v>
      </c>
      <c r="L1472" s="20" t="e">
        <f t="shared" ca="1" si="28"/>
        <v>#DIV/0!</v>
      </c>
      <c r="M1472" s="21" t="e">
        <f t="shared" ca="1" si="29"/>
        <v>#DIV/0!</v>
      </c>
      <c r="N1472" s="20" t="str">
        <f ca="1">IFERROR(__xludf.DUMMYFUNCTION("IF(COUNTIFS($C$2:C1472, C1472, $A$2:A1472, ""&lt;="" &amp; A1472) &lt; 30, STDEV.P(FILTER($G$2:G1472, $C$2:C1472 = C1472)), STDEV.P(FILTER($G$2:G1472, $C$2:C1472 = C1472, $A$2:A1472 &gt;= A1472 - 30)))
"),"#DIV/0!")</f>
        <v>#DIV/0!</v>
      </c>
    </row>
    <row r="1473" spans="1:14" x14ac:dyDescent="0.2">
      <c r="A1473" s="41"/>
      <c r="B1473" s="40"/>
      <c r="C1473" s="40"/>
      <c r="D1473" s="31"/>
      <c r="E1473" s="31"/>
      <c r="F1473" s="31"/>
      <c r="G1473" s="19" t="e">
        <f t="shared" si="25"/>
        <v>#DIV/0!</v>
      </c>
      <c r="H1473" s="20" t="str">
        <f ca="1">IFERROR(__xludf.DUMMYFUNCTION("IF(COUNTIFS($C$2:C1473, C1473, $A$2:A1473, ""&lt;="" &amp; A1473) &lt; 30, AVERAGEIF($C$2:C1473, C1473, $G$2:G1473), AVERAGE(FILTER($G$2:G1473, $C$2:C1473 = C1473, $A$2:A1473 &gt;= A1473 - 30)))
"),"#DIV/0!")</f>
        <v>#DIV/0!</v>
      </c>
      <c r="I1473" s="20" t="e">
        <f t="shared" ca="1" si="26"/>
        <v>#DIV/0!</v>
      </c>
      <c r="J1473" s="20" t="str">
        <f ca="1">IFERROR(__xludf.DUMMYFUNCTION("IF(OR($I1473=2, $I1473=3), 0, IFERROR(COUNTIFS($C$2:C1473, $C1473, $A$2:A1473, ""&gt;""&amp;IFERROR(MAX(FILTER($A$2:A1473, $C$2:C1473=$C1473, $I$2:I1473&lt;&gt;1)), 0), $I$2:I1473, 1),1))
"),"#DIV/0!")</f>
        <v>#DIV/0!</v>
      </c>
      <c r="K1473" s="7" t="e">
        <f t="shared" ca="1" si="27"/>
        <v>#DIV/0!</v>
      </c>
      <c r="L1473" s="20" t="e">
        <f t="shared" ca="1" si="28"/>
        <v>#DIV/0!</v>
      </c>
      <c r="M1473" s="21" t="e">
        <f t="shared" ca="1" si="29"/>
        <v>#DIV/0!</v>
      </c>
      <c r="N1473" s="20" t="str">
        <f ca="1">IFERROR(__xludf.DUMMYFUNCTION("IF(COUNTIFS($C$2:C1473, C1473, $A$2:A1473, ""&lt;="" &amp; A1473) &lt; 30, STDEV.P(FILTER($G$2:G1473, $C$2:C1473 = C1473)), STDEV.P(FILTER($G$2:G1473, $C$2:C1473 = C1473, $A$2:A1473 &gt;= A1473 - 30)))
"),"#DIV/0!")</f>
        <v>#DIV/0!</v>
      </c>
    </row>
    <row r="1474" spans="1:14" x14ac:dyDescent="0.2">
      <c r="A1474" s="41"/>
      <c r="B1474" s="40"/>
      <c r="C1474" s="40"/>
      <c r="D1474" s="31"/>
      <c r="E1474" s="31"/>
      <c r="F1474" s="31"/>
      <c r="G1474" s="19" t="e">
        <f t="shared" si="25"/>
        <v>#DIV/0!</v>
      </c>
      <c r="H1474" s="20" t="str">
        <f ca="1">IFERROR(__xludf.DUMMYFUNCTION("IF(COUNTIFS($C$2:C1474, C1474, $A$2:A1474, ""&lt;="" &amp; A1474) &lt; 30, AVERAGEIF($C$2:C1474, C1474, $G$2:G1474), AVERAGE(FILTER($G$2:G1474, $C$2:C1474 = C1474, $A$2:A1474 &gt;= A1474 - 30)))
"),"#DIV/0!")</f>
        <v>#DIV/0!</v>
      </c>
      <c r="I1474" s="20" t="e">
        <f t="shared" ca="1" si="26"/>
        <v>#DIV/0!</v>
      </c>
      <c r="J1474" s="20" t="str">
        <f ca="1">IFERROR(__xludf.DUMMYFUNCTION("IF(OR($I1474=2, $I1474=3), 0, IFERROR(COUNTIFS($C$2:C1474, $C1474, $A$2:A1474, ""&gt;""&amp;IFERROR(MAX(FILTER($A$2:A1474, $C$2:C1474=$C1474, $I$2:I1474&lt;&gt;1)), 0), $I$2:I1474, 1),1))
"),"#DIV/0!")</f>
        <v>#DIV/0!</v>
      </c>
      <c r="K1474" s="7" t="e">
        <f t="shared" ca="1" si="27"/>
        <v>#DIV/0!</v>
      </c>
      <c r="L1474" s="20" t="e">
        <f t="shared" ca="1" si="28"/>
        <v>#DIV/0!</v>
      </c>
      <c r="M1474" s="21" t="e">
        <f t="shared" ca="1" si="29"/>
        <v>#DIV/0!</v>
      </c>
      <c r="N1474" s="20" t="str">
        <f ca="1">IFERROR(__xludf.DUMMYFUNCTION("IF(COUNTIFS($C$2:C1474, C1474, $A$2:A1474, ""&lt;="" &amp; A1474) &lt; 30, STDEV.P(FILTER($G$2:G1474, $C$2:C1474 = C1474)), STDEV.P(FILTER($G$2:G1474, $C$2:C1474 = C1474, $A$2:A1474 &gt;= A1474 - 30)))
"),"#DIV/0!")</f>
        <v>#DIV/0!</v>
      </c>
    </row>
    <row r="1475" spans="1:14" x14ac:dyDescent="0.2">
      <c r="A1475" s="41"/>
      <c r="B1475" s="40"/>
      <c r="C1475" s="40"/>
      <c r="D1475" s="31"/>
      <c r="E1475" s="31"/>
      <c r="F1475" s="31"/>
      <c r="G1475" s="19" t="e">
        <f t="shared" si="25"/>
        <v>#DIV/0!</v>
      </c>
      <c r="H1475" s="20" t="str">
        <f ca="1">IFERROR(__xludf.DUMMYFUNCTION("IF(COUNTIFS($C$2:C1475, C1475, $A$2:A1475, ""&lt;="" &amp; A1475) &lt; 30, AVERAGEIF($C$2:C1475, C1475, $G$2:G1475), AVERAGE(FILTER($G$2:G1475, $C$2:C1475 = C1475, $A$2:A1475 &gt;= A1475 - 30)))
"),"#DIV/0!")</f>
        <v>#DIV/0!</v>
      </c>
      <c r="I1475" s="20" t="e">
        <f t="shared" ca="1" si="26"/>
        <v>#DIV/0!</v>
      </c>
      <c r="J1475" s="20" t="str">
        <f ca="1">IFERROR(__xludf.DUMMYFUNCTION("IF(OR($I1475=2, $I1475=3), 0, IFERROR(COUNTIFS($C$2:C1475, $C1475, $A$2:A1475, ""&gt;""&amp;IFERROR(MAX(FILTER($A$2:A1475, $C$2:C1475=$C1475, $I$2:I1475&lt;&gt;1)), 0), $I$2:I1475, 1),1))
"),"#DIV/0!")</f>
        <v>#DIV/0!</v>
      </c>
      <c r="K1475" s="7" t="e">
        <f t="shared" ca="1" si="27"/>
        <v>#DIV/0!</v>
      </c>
      <c r="L1475" s="20" t="e">
        <f t="shared" ca="1" si="28"/>
        <v>#DIV/0!</v>
      </c>
      <c r="M1475" s="21" t="e">
        <f t="shared" ca="1" si="29"/>
        <v>#DIV/0!</v>
      </c>
      <c r="N1475" s="20" t="str">
        <f ca="1">IFERROR(__xludf.DUMMYFUNCTION("IF(COUNTIFS($C$2:C1475, C1475, $A$2:A1475, ""&lt;="" &amp; A1475) &lt; 30, STDEV.P(FILTER($G$2:G1475, $C$2:C1475 = C1475)), STDEV.P(FILTER($G$2:G1475, $C$2:C1475 = C1475, $A$2:A1475 &gt;= A1475 - 30)))
"),"#DIV/0!")</f>
        <v>#DIV/0!</v>
      </c>
    </row>
    <row r="1476" spans="1:14" x14ac:dyDescent="0.2">
      <c r="A1476" s="41"/>
      <c r="B1476" s="40"/>
      <c r="C1476" s="40"/>
      <c r="D1476" s="31"/>
      <c r="E1476" s="31"/>
      <c r="F1476" s="31"/>
      <c r="G1476" s="19" t="e">
        <f t="shared" si="25"/>
        <v>#DIV/0!</v>
      </c>
      <c r="H1476" s="20" t="str">
        <f ca="1">IFERROR(__xludf.DUMMYFUNCTION("IF(COUNTIFS($C$2:C1476, C1476, $A$2:A1476, ""&lt;="" &amp; A1476) &lt; 30, AVERAGEIF($C$2:C1476, C1476, $G$2:G1476), AVERAGE(FILTER($G$2:G1476, $C$2:C1476 = C1476, $A$2:A1476 &gt;= A1476 - 30)))
"),"#DIV/0!")</f>
        <v>#DIV/0!</v>
      </c>
      <c r="I1476" s="20" t="e">
        <f t="shared" ca="1" si="26"/>
        <v>#DIV/0!</v>
      </c>
      <c r="J1476" s="20" t="str">
        <f ca="1">IFERROR(__xludf.DUMMYFUNCTION("IF(OR($I1476=2, $I1476=3), 0, IFERROR(COUNTIFS($C$2:C1476, $C1476, $A$2:A1476, ""&gt;""&amp;IFERROR(MAX(FILTER($A$2:A1476, $C$2:C1476=$C1476, $I$2:I1476&lt;&gt;1)), 0), $I$2:I1476, 1),1))
"),"#DIV/0!")</f>
        <v>#DIV/0!</v>
      </c>
      <c r="K1476" s="7" t="e">
        <f t="shared" ca="1" si="27"/>
        <v>#DIV/0!</v>
      </c>
      <c r="L1476" s="20" t="e">
        <f t="shared" ca="1" si="28"/>
        <v>#DIV/0!</v>
      </c>
      <c r="M1476" s="21" t="e">
        <f t="shared" ca="1" si="29"/>
        <v>#DIV/0!</v>
      </c>
      <c r="N1476" s="20" t="str">
        <f ca="1">IFERROR(__xludf.DUMMYFUNCTION("IF(COUNTIFS($C$2:C1476, C1476, $A$2:A1476, ""&lt;="" &amp; A1476) &lt; 30, STDEV.P(FILTER($G$2:G1476, $C$2:C1476 = C1476)), STDEV.P(FILTER($G$2:G1476, $C$2:C1476 = C1476, $A$2:A1476 &gt;= A1476 - 30)))
"),"#DIV/0!")</f>
        <v>#DIV/0!</v>
      </c>
    </row>
    <row r="1477" spans="1:14" x14ac:dyDescent="0.2">
      <c r="A1477" s="41"/>
      <c r="B1477" s="40"/>
      <c r="C1477" s="40"/>
      <c r="D1477" s="31"/>
      <c r="E1477" s="31"/>
      <c r="F1477" s="31"/>
      <c r="G1477" s="19" t="e">
        <f t="shared" si="25"/>
        <v>#DIV/0!</v>
      </c>
      <c r="H1477" s="20" t="str">
        <f ca="1">IFERROR(__xludf.DUMMYFUNCTION("IF(COUNTIFS($C$2:C1477, C1477, $A$2:A1477, ""&lt;="" &amp; A1477) &lt; 30, AVERAGEIF($C$2:C1477, C1477, $G$2:G1477), AVERAGE(FILTER($G$2:G1477, $C$2:C1477 = C1477, $A$2:A1477 &gt;= A1477 - 30)))
"),"#DIV/0!")</f>
        <v>#DIV/0!</v>
      </c>
      <c r="I1477" s="20" t="e">
        <f t="shared" ca="1" si="26"/>
        <v>#DIV/0!</v>
      </c>
      <c r="J1477" s="20" t="str">
        <f ca="1">IFERROR(__xludf.DUMMYFUNCTION("IF(OR($I1477=2, $I1477=3), 0, IFERROR(COUNTIFS($C$2:C1477, $C1477, $A$2:A1477, ""&gt;""&amp;IFERROR(MAX(FILTER($A$2:A1477, $C$2:C1477=$C1477, $I$2:I1477&lt;&gt;1)), 0), $I$2:I1477, 1),1))
"),"#DIV/0!")</f>
        <v>#DIV/0!</v>
      </c>
      <c r="K1477" s="7" t="e">
        <f t="shared" ca="1" si="27"/>
        <v>#DIV/0!</v>
      </c>
      <c r="L1477" s="20" t="e">
        <f t="shared" ca="1" si="28"/>
        <v>#DIV/0!</v>
      </c>
      <c r="M1477" s="21" t="e">
        <f t="shared" ca="1" si="29"/>
        <v>#DIV/0!</v>
      </c>
      <c r="N1477" s="20" t="str">
        <f ca="1">IFERROR(__xludf.DUMMYFUNCTION("IF(COUNTIFS($C$2:C1477, C1477, $A$2:A1477, ""&lt;="" &amp; A1477) &lt; 30, STDEV.P(FILTER($G$2:G1477, $C$2:C1477 = C1477)), STDEV.P(FILTER($G$2:G1477, $C$2:C1477 = C1477, $A$2:A1477 &gt;= A1477 - 30)))
"),"#DIV/0!")</f>
        <v>#DIV/0!</v>
      </c>
    </row>
    <row r="1478" spans="1:14" x14ac:dyDescent="0.2">
      <c r="A1478" s="41"/>
      <c r="B1478" s="40"/>
      <c r="C1478" s="40"/>
      <c r="D1478" s="31"/>
      <c r="E1478" s="31"/>
      <c r="F1478" s="31"/>
      <c r="G1478" s="19" t="e">
        <f t="shared" si="25"/>
        <v>#DIV/0!</v>
      </c>
      <c r="H1478" s="20" t="str">
        <f ca="1">IFERROR(__xludf.DUMMYFUNCTION("IF(COUNTIFS($C$2:C1478, C1478, $A$2:A1478, ""&lt;="" &amp; A1478) &lt; 30, AVERAGEIF($C$2:C1478, C1478, $G$2:G1478), AVERAGE(FILTER($G$2:G1478, $C$2:C1478 = C1478, $A$2:A1478 &gt;= A1478 - 30)))
"),"#DIV/0!")</f>
        <v>#DIV/0!</v>
      </c>
      <c r="I1478" s="20" t="e">
        <f t="shared" ca="1" si="26"/>
        <v>#DIV/0!</v>
      </c>
      <c r="J1478" s="20" t="str">
        <f ca="1">IFERROR(__xludf.DUMMYFUNCTION("IF(OR($I1478=2, $I1478=3), 0, IFERROR(COUNTIFS($C$2:C1478, $C1478, $A$2:A1478, ""&gt;""&amp;IFERROR(MAX(FILTER($A$2:A1478, $C$2:C1478=$C1478, $I$2:I1478&lt;&gt;1)), 0), $I$2:I1478, 1),1))
"),"#DIV/0!")</f>
        <v>#DIV/0!</v>
      </c>
      <c r="K1478" s="7" t="e">
        <f t="shared" ca="1" si="27"/>
        <v>#DIV/0!</v>
      </c>
      <c r="L1478" s="20" t="e">
        <f t="shared" ca="1" si="28"/>
        <v>#DIV/0!</v>
      </c>
      <c r="M1478" s="21" t="e">
        <f t="shared" ca="1" si="29"/>
        <v>#DIV/0!</v>
      </c>
      <c r="N1478" s="20" t="str">
        <f ca="1">IFERROR(__xludf.DUMMYFUNCTION("IF(COUNTIFS($C$2:C1478, C1478, $A$2:A1478, ""&lt;="" &amp; A1478) &lt; 30, STDEV.P(FILTER($G$2:G1478, $C$2:C1478 = C1478)), STDEV.P(FILTER($G$2:G1478, $C$2:C1478 = C1478, $A$2:A1478 &gt;= A1478 - 30)))
"),"#DIV/0!")</f>
        <v>#DIV/0!</v>
      </c>
    </row>
    <row r="1479" spans="1:14" x14ac:dyDescent="0.2">
      <c r="A1479" s="41"/>
      <c r="B1479" s="40"/>
      <c r="C1479" s="40"/>
      <c r="D1479" s="31"/>
      <c r="E1479" s="31"/>
      <c r="F1479" s="31"/>
      <c r="G1479" s="19" t="e">
        <f t="shared" si="25"/>
        <v>#DIV/0!</v>
      </c>
      <c r="H1479" s="20" t="str">
        <f ca="1">IFERROR(__xludf.DUMMYFUNCTION("IF(COUNTIFS($C$2:C1479, C1479, $A$2:A1479, ""&lt;="" &amp; A1479) &lt; 30, AVERAGEIF($C$2:C1479, C1479, $G$2:G1479), AVERAGE(FILTER($G$2:G1479, $C$2:C1479 = C1479, $A$2:A1479 &gt;= A1479 - 30)))
"),"#DIV/0!")</f>
        <v>#DIV/0!</v>
      </c>
      <c r="I1479" s="20" t="e">
        <f t="shared" ca="1" si="26"/>
        <v>#DIV/0!</v>
      </c>
      <c r="J1479" s="20" t="str">
        <f ca="1">IFERROR(__xludf.DUMMYFUNCTION("IF(OR($I1479=2, $I1479=3), 0, IFERROR(COUNTIFS($C$2:C1479, $C1479, $A$2:A1479, ""&gt;""&amp;IFERROR(MAX(FILTER($A$2:A1479, $C$2:C1479=$C1479, $I$2:I1479&lt;&gt;1)), 0), $I$2:I1479, 1),1))
"),"#DIV/0!")</f>
        <v>#DIV/0!</v>
      </c>
      <c r="K1479" s="7" t="e">
        <f t="shared" ca="1" si="27"/>
        <v>#DIV/0!</v>
      </c>
      <c r="L1479" s="20" t="e">
        <f t="shared" ca="1" si="28"/>
        <v>#DIV/0!</v>
      </c>
      <c r="M1479" s="21" t="e">
        <f t="shared" ca="1" si="29"/>
        <v>#DIV/0!</v>
      </c>
      <c r="N1479" s="20" t="str">
        <f ca="1">IFERROR(__xludf.DUMMYFUNCTION("IF(COUNTIFS($C$2:C1479, C1479, $A$2:A1479, ""&lt;="" &amp; A1479) &lt; 30, STDEV.P(FILTER($G$2:G1479, $C$2:C1479 = C1479)), STDEV.P(FILTER($G$2:G1479, $C$2:C1479 = C1479, $A$2:A1479 &gt;= A1479 - 30)))
"),"#DIV/0!")</f>
        <v>#DIV/0!</v>
      </c>
    </row>
    <row r="1480" spans="1:14" x14ac:dyDescent="0.2">
      <c r="A1480" s="41"/>
      <c r="B1480" s="40"/>
      <c r="C1480" s="40"/>
      <c r="D1480" s="31"/>
      <c r="E1480" s="31"/>
      <c r="F1480" s="31"/>
      <c r="G1480" s="19" t="e">
        <f t="shared" si="25"/>
        <v>#DIV/0!</v>
      </c>
      <c r="H1480" s="20" t="str">
        <f ca="1">IFERROR(__xludf.DUMMYFUNCTION("IF(COUNTIFS($C$2:C1480, C1480, $A$2:A1480, ""&lt;="" &amp; A1480) &lt; 30, AVERAGEIF($C$2:C1480, C1480, $G$2:G1480), AVERAGE(FILTER($G$2:G1480, $C$2:C1480 = C1480, $A$2:A1480 &gt;= A1480 - 30)))
"),"#DIV/0!")</f>
        <v>#DIV/0!</v>
      </c>
      <c r="I1480" s="20" t="e">
        <f t="shared" ca="1" si="26"/>
        <v>#DIV/0!</v>
      </c>
      <c r="J1480" s="20" t="str">
        <f ca="1">IFERROR(__xludf.DUMMYFUNCTION("IF(OR($I1480=2, $I1480=3), 0, IFERROR(COUNTIFS($C$2:C1480, $C1480, $A$2:A1480, ""&gt;""&amp;IFERROR(MAX(FILTER($A$2:A1480, $C$2:C1480=$C1480, $I$2:I1480&lt;&gt;1)), 0), $I$2:I1480, 1),1))
"),"#DIV/0!")</f>
        <v>#DIV/0!</v>
      </c>
      <c r="K1480" s="7" t="e">
        <f t="shared" ca="1" si="27"/>
        <v>#DIV/0!</v>
      </c>
      <c r="L1480" s="20" t="e">
        <f t="shared" ca="1" si="28"/>
        <v>#DIV/0!</v>
      </c>
      <c r="M1480" s="21" t="e">
        <f t="shared" ca="1" si="29"/>
        <v>#DIV/0!</v>
      </c>
      <c r="N1480" s="20" t="str">
        <f ca="1">IFERROR(__xludf.DUMMYFUNCTION("IF(COUNTIFS($C$2:C1480, C1480, $A$2:A1480, ""&lt;="" &amp; A1480) &lt; 30, STDEV.P(FILTER($G$2:G1480, $C$2:C1480 = C1480)), STDEV.P(FILTER($G$2:G1480, $C$2:C1480 = C1480, $A$2:A1480 &gt;= A1480 - 30)))
"),"#DIV/0!")</f>
        <v>#DIV/0!</v>
      </c>
    </row>
    <row r="1481" spans="1:14" x14ac:dyDescent="0.2">
      <c r="A1481" s="41"/>
      <c r="B1481" s="40"/>
      <c r="C1481" s="40"/>
      <c r="D1481" s="31"/>
      <c r="E1481" s="31"/>
      <c r="F1481" s="31"/>
      <c r="G1481" s="19" t="e">
        <f t="shared" si="25"/>
        <v>#DIV/0!</v>
      </c>
      <c r="H1481" s="20" t="str">
        <f ca="1">IFERROR(__xludf.DUMMYFUNCTION("IF(COUNTIFS($C$2:C1481, C1481, $A$2:A1481, ""&lt;="" &amp; A1481) &lt; 30, AVERAGEIF($C$2:C1481, C1481, $G$2:G1481), AVERAGE(FILTER($G$2:G1481, $C$2:C1481 = C1481, $A$2:A1481 &gt;= A1481 - 30)))
"),"#DIV/0!")</f>
        <v>#DIV/0!</v>
      </c>
      <c r="I1481" s="20" t="e">
        <f t="shared" ca="1" si="26"/>
        <v>#DIV/0!</v>
      </c>
      <c r="J1481" s="20" t="str">
        <f ca="1">IFERROR(__xludf.DUMMYFUNCTION("IF(OR($I1481=2, $I1481=3), 0, IFERROR(COUNTIFS($C$2:C1481, $C1481, $A$2:A1481, ""&gt;""&amp;IFERROR(MAX(FILTER($A$2:A1481, $C$2:C1481=$C1481, $I$2:I1481&lt;&gt;1)), 0), $I$2:I1481, 1),1))
"),"#DIV/0!")</f>
        <v>#DIV/0!</v>
      </c>
      <c r="K1481" s="7" t="e">
        <f t="shared" ca="1" si="27"/>
        <v>#DIV/0!</v>
      </c>
      <c r="L1481" s="20" t="e">
        <f t="shared" ca="1" si="28"/>
        <v>#DIV/0!</v>
      </c>
      <c r="M1481" s="21" t="e">
        <f t="shared" ca="1" si="29"/>
        <v>#DIV/0!</v>
      </c>
      <c r="N1481" s="20" t="str">
        <f ca="1">IFERROR(__xludf.DUMMYFUNCTION("IF(COUNTIFS($C$2:C1481, C1481, $A$2:A1481, ""&lt;="" &amp; A1481) &lt; 30, STDEV.P(FILTER($G$2:G1481, $C$2:C1481 = C1481)), STDEV.P(FILTER($G$2:G1481, $C$2:C1481 = C1481, $A$2:A1481 &gt;= A1481 - 30)))
"),"#DIV/0!")</f>
        <v>#DIV/0!</v>
      </c>
    </row>
    <row r="1482" spans="1:14" x14ac:dyDescent="0.2">
      <c r="A1482" s="41"/>
      <c r="B1482" s="40"/>
      <c r="C1482" s="40"/>
      <c r="D1482" s="31"/>
      <c r="E1482" s="31"/>
      <c r="F1482" s="31"/>
      <c r="G1482" s="19" t="e">
        <f t="shared" si="25"/>
        <v>#DIV/0!</v>
      </c>
      <c r="H1482" s="20" t="str">
        <f ca="1">IFERROR(__xludf.DUMMYFUNCTION("IF(COUNTIFS($C$2:C1482, C1482, $A$2:A1482, ""&lt;="" &amp; A1482) &lt; 30, AVERAGEIF($C$2:C1482, C1482, $G$2:G1482), AVERAGE(FILTER($G$2:G1482, $C$2:C1482 = C1482, $A$2:A1482 &gt;= A1482 - 30)))
"),"#DIV/0!")</f>
        <v>#DIV/0!</v>
      </c>
      <c r="I1482" s="20" t="e">
        <f t="shared" ca="1" si="26"/>
        <v>#DIV/0!</v>
      </c>
      <c r="J1482" s="20" t="str">
        <f ca="1">IFERROR(__xludf.DUMMYFUNCTION("IF(OR($I1482=2, $I1482=3), 0, IFERROR(COUNTIFS($C$2:C1482, $C1482, $A$2:A1482, ""&gt;""&amp;IFERROR(MAX(FILTER($A$2:A1482, $C$2:C1482=$C1482, $I$2:I1482&lt;&gt;1)), 0), $I$2:I1482, 1),1))
"),"#DIV/0!")</f>
        <v>#DIV/0!</v>
      </c>
      <c r="K1482" s="7" t="e">
        <f t="shared" ca="1" si="27"/>
        <v>#DIV/0!</v>
      </c>
      <c r="L1482" s="20" t="e">
        <f t="shared" ca="1" si="28"/>
        <v>#DIV/0!</v>
      </c>
      <c r="M1482" s="21" t="e">
        <f t="shared" ca="1" si="29"/>
        <v>#DIV/0!</v>
      </c>
      <c r="N1482" s="20" t="str">
        <f ca="1">IFERROR(__xludf.DUMMYFUNCTION("IF(COUNTIFS($C$2:C1482, C1482, $A$2:A1482, ""&lt;="" &amp; A1482) &lt; 30, STDEV.P(FILTER($G$2:G1482, $C$2:C1482 = C1482)), STDEV.P(FILTER($G$2:G1482, $C$2:C1482 = C1482, $A$2:A1482 &gt;= A1482 - 30)))
"),"#DIV/0!")</f>
        <v>#DIV/0!</v>
      </c>
    </row>
    <row r="1483" spans="1:14" x14ac:dyDescent="0.2">
      <c r="A1483" s="41"/>
      <c r="B1483" s="40"/>
      <c r="C1483" s="40"/>
      <c r="D1483" s="31"/>
      <c r="E1483" s="31"/>
      <c r="F1483" s="31"/>
      <c r="G1483" s="19" t="e">
        <f t="shared" si="25"/>
        <v>#DIV/0!</v>
      </c>
      <c r="H1483" s="20" t="str">
        <f ca="1">IFERROR(__xludf.DUMMYFUNCTION("IF(COUNTIFS($C$2:C1483, C1483, $A$2:A1483, ""&lt;="" &amp; A1483) &lt; 30, AVERAGEIF($C$2:C1483, C1483, $G$2:G1483), AVERAGE(FILTER($G$2:G1483, $C$2:C1483 = C1483, $A$2:A1483 &gt;= A1483 - 30)))
"),"#DIV/0!")</f>
        <v>#DIV/0!</v>
      </c>
      <c r="I1483" s="20" t="e">
        <f t="shared" ca="1" si="26"/>
        <v>#DIV/0!</v>
      </c>
      <c r="J1483" s="20" t="str">
        <f ca="1">IFERROR(__xludf.DUMMYFUNCTION("IF(OR($I1483=2, $I1483=3), 0, IFERROR(COUNTIFS($C$2:C1483, $C1483, $A$2:A1483, ""&gt;""&amp;IFERROR(MAX(FILTER($A$2:A1483, $C$2:C1483=$C1483, $I$2:I1483&lt;&gt;1)), 0), $I$2:I1483, 1),1))
"),"#DIV/0!")</f>
        <v>#DIV/0!</v>
      </c>
      <c r="K1483" s="7" t="e">
        <f t="shared" ca="1" si="27"/>
        <v>#DIV/0!</v>
      </c>
      <c r="L1483" s="20" t="e">
        <f t="shared" ca="1" si="28"/>
        <v>#DIV/0!</v>
      </c>
      <c r="M1483" s="21" t="e">
        <f t="shared" ca="1" si="29"/>
        <v>#DIV/0!</v>
      </c>
      <c r="N1483" s="20" t="str">
        <f ca="1">IFERROR(__xludf.DUMMYFUNCTION("IF(COUNTIFS($C$2:C1483, C1483, $A$2:A1483, ""&lt;="" &amp; A1483) &lt; 30, STDEV.P(FILTER($G$2:G1483, $C$2:C1483 = C1483)), STDEV.P(FILTER($G$2:G1483, $C$2:C1483 = C1483, $A$2:A1483 &gt;= A1483 - 30)))
"),"#DIV/0!")</f>
        <v>#DIV/0!</v>
      </c>
    </row>
    <row r="1484" spans="1:14" x14ac:dyDescent="0.2">
      <c r="A1484" s="41"/>
      <c r="B1484" s="40"/>
      <c r="C1484" s="40"/>
      <c r="D1484" s="31"/>
      <c r="E1484" s="31"/>
      <c r="F1484" s="31"/>
      <c r="G1484" s="19" t="e">
        <f t="shared" si="25"/>
        <v>#DIV/0!</v>
      </c>
      <c r="H1484" s="20" t="str">
        <f ca="1">IFERROR(__xludf.DUMMYFUNCTION("IF(COUNTIFS($C$2:C1484, C1484, $A$2:A1484, ""&lt;="" &amp; A1484) &lt; 30, AVERAGEIF($C$2:C1484, C1484, $G$2:G1484), AVERAGE(FILTER($G$2:G1484, $C$2:C1484 = C1484, $A$2:A1484 &gt;= A1484 - 30)))
"),"#DIV/0!")</f>
        <v>#DIV/0!</v>
      </c>
      <c r="I1484" s="20" t="e">
        <f t="shared" ca="1" si="26"/>
        <v>#DIV/0!</v>
      </c>
      <c r="J1484" s="20" t="str">
        <f ca="1">IFERROR(__xludf.DUMMYFUNCTION("IF(OR($I1484=2, $I1484=3), 0, IFERROR(COUNTIFS($C$2:C1484, $C1484, $A$2:A1484, ""&gt;""&amp;IFERROR(MAX(FILTER($A$2:A1484, $C$2:C1484=$C1484, $I$2:I1484&lt;&gt;1)), 0), $I$2:I1484, 1),1))
"),"#DIV/0!")</f>
        <v>#DIV/0!</v>
      </c>
      <c r="K1484" s="7" t="e">
        <f t="shared" ca="1" si="27"/>
        <v>#DIV/0!</v>
      </c>
      <c r="L1484" s="20" t="e">
        <f t="shared" ca="1" si="28"/>
        <v>#DIV/0!</v>
      </c>
      <c r="M1484" s="21" t="e">
        <f t="shared" ca="1" si="29"/>
        <v>#DIV/0!</v>
      </c>
      <c r="N1484" s="20" t="str">
        <f ca="1">IFERROR(__xludf.DUMMYFUNCTION("IF(COUNTIFS($C$2:C1484, C1484, $A$2:A1484, ""&lt;="" &amp; A1484) &lt; 30, STDEV.P(FILTER($G$2:G1484, $C$2:C1484 = C1484)), STDEV.P(FILTER($G$2:G1484, $C$2:C1484 = C1484, $A$2:A1484 &gt;= A1484 - 30)))
"),"#DIV/0!")</f>
        <v>#DIV/0!</v>
      </c>
    </row>
    <row r="1485" spans="1:14" x14ac:dyDescent="0.2">
      <c r="A1485" s="41"/>
      <c r="B1485" s="40"/>
      <c r="C1485" s="40"/>
      <c r="D1485" s="31"/>
      <c r="E1485" s="31"/>
      <c r="F1485" s="31"/>
      <c r="G1485" s="19" t="e">
        <f t="shared" si="25"/>
        <v>#DIV/0!</v>
      </c>
      <c r="H1485" s="20" t="str">
        <f ca="1">IFERROR(__xludf.DUMMYFUNCTION("IF(COUNTIFS($C$2:C1485, C1485, $A$2:A1485, ""&lt;="" &amp; A1485) &lt; 30, AVERAGEIF($C$2:C1485, C1485, $G$2:G1485), AVERAGE(FILTER($G$2:G1485, $C$2:C1485 = C1485, $A$2:A1485 &gt;= A1485 - 30)))
"),"#DIV/0!")</f>
        <v>#DIV/0!</v>
      </c>
      <c r="I1485" s="20" t="e">
        <f t="shared" ca="1" si="26"/>
        <v>#DIV/0!</v>
      </c>
      <c r="J1485" s="20" t="str">
        <f ca="1">IFERROR(__xludf.DUMMYFUNCTION("IF(OR($I1485=2, $I1485=3), 0, IFERROR(COUNTIFS($C$2:C1485, $C1485, $A$2:A1485, ""&gt;""&amp;IFERROR(MAX(FILTER($A$2:A1485, $C$2:C1485=$C1485, $I$2:I1485&lt;&gt;1)), 0), $I$2:I1485, 1),1))
"),"#DIV/0!")</f>
        <v>#DIV/0!</v>
      </c>
      <c r="K1485" s="7" t="e">
        <f t="shared" ca="1" si="27"/>
        <v>#DIV/0!</v>
      </c>
      <c r="L1485" s="20" t="e">
        <f t="shared" ca="1" si="28"/>
        <v>#DIV/0!</v>
      </c>
      <c r="M1485" s="21" t="e">
        <f t="shared" ca="1" si="29"/>
        <v>#DIV/0!</v>
      </c>
      <c r="N1485" s="20" t="str">
        <f ca="1">IFERROR(__xludf.DUMMYFUNCTION("IF(COUNTIFS($C$2:C1485, C1485, $A$2:A1485, ""&lt;="" &amp; A1485) &lt; 30, STDEV.P(FILTER($G$2:G1485, $C$2:C1485 = C1485)), STDEV.P(FILTER($G$2:G1485, $C$2:C1485 = C1485, $A$2:A1485 &gt;= A1485 - 30)))
"),"#DIV/0!")</f>
        <v>#DIV/0!</v>
      </c>
    </row>
    <row r="1486" spans="1:14" x14ac:dyDescent="0.2">
      <c r="A1486" s="41"/>
      <c r="B1486" s="40"/>
      <c r="C1486" s="40"/>
      <c r="D1486" s="31"/>
      <c r="E1486" s="31"/>
      <c r="F1486" s="31"/>
      <c r="G1486" s="19" t="e">
        <f t="shared" si="25"/>
        <v>#DIV/0!</v>
      </c>
      <c r="H1486" s="20" t="str">
        <f ca="1">IFERROR(__xludf.DUMMYFUNCTION("IF(COUNTIFS($C$2:C1486, C1486, $A$2:A1486, ""&lt;="" &amp; A1486) &lt; 30, AVERAGEIF($C$2:C1486, C1486, $G$2:G1486), AVERAGE(FILTER($G$2:G1486, $C$2:C1486 = C1486, $A$2:A1486 &gt;= A1486 - 30)))
"),"#DIV/0!")</f>
        <v>#DIV/0!</v>
      </c>
      <c r="I1486" s="20" t="e">
        <f t="shared" ca="1" si="26"/>
        <v>#DIV/0!</v>
      </c>
      <c r="J1486" s="20" t="str">
        <f ca="1">IFERROR(__xludf.DUMMYFUNCTION("IF(OR($I1486=2, $I1486=3), 0, IFERROR(COUNTIFS($C$2:C1486, $C1486, $A$2:A1486, ""&gt;""&amp;IFERROR(MAX(FILTER($A$2:A1486, $C$2:C1486=$C1486, $I$2:I1486&lt;&gt;1)), 0), $I$2:I1486, 1),1))
"),"#DIV/0!")</f>
        <v>#DIV/0!</v>
      </c>
      <c r="K1486" s="7" t="e">
        <f t="shared" ca="1" si="27"/>
        <v>#DIV/0!</v>
      </c>
      <c r="L1486" s="20" t="e">
        <f t="shared" ca="1" si="28"/>
        <v>#DIV/0!</v>
      </c>
      <c r="M1486" s="21" t="e">
        <f t="shared" ca="1" si="29"/>
        <v>#DIV/0!</v>
      </c>
      <c r="N1486" s="20" t="str">
        <f ca="1">IFERROR(__xludf.DUMMYFUNCTION("IF(COUNTIFS($C$2:C1486, C1486, $A$2:A1486, ""&lt;="" &amp; A1486) &lt; 30, STDEV.P(FILTER($G$2:G1486, $C$2:C1486 = C1486)), STDEV.P(FILTER($G$2:G1486, $C$2:C1486 = C1486, $A$2:A1486 &gt;= A1486 - 30)))
"),"#DIV/0!")</f>
        <v>#DIV/0!</v>
      </c>
    </row>
    <row r="1487" spans="1:14" x14ac:dyDescent="0.2">
      <c r="A1487" s="41"/>
      <c r="B1487" s="40"/>
      <c r="C1487" s="40"/>
      <c r="D1487" s="31"/>
      <c r="E1487" s="31"/>
      <c r="F1487" s="31"/>
      <c r="G1487" s="19" t="e">
        <f t="shared" si="25"/>
        <v>#DIV/0!</v>
      </c>
      <c r="H1487" s="20" t="str">
        <f ca="1">IFERROR(__xludf.DUMMYFUNCTION("IF(COUNTIFS($C$2:C1487, C1487, $A$2:A1487, ""&lt;="" &amp; A1487) &lt; 30, AVERAGEIF($C$2:C1487, C1487, $G$2:G1487), AVERAGE(FILTER($G$2:G1487, $C$2:C1487 = C1487, $A$2:A1487 &gt;= A1487 - 30)))
"),"#DIV/0!")</f>
        <v>#DIV/0!</v>
      </c>
      <c r="I1487" s="20" t="e">
        <f t="shared" ca="1" si="26"/>
        <v>#DIV/0!</v>
      </c>
      <c r="J1487" s="20" t="str">
        <f ca="1">IFERROR(__xludf.DUMMYFUNCTION("IF(OR($I1487=2, $I1487=3), 0, IFERROR(COUNTIFS($C$2:C1487, $C1487, $A$2:A1487, ""&gt;""&amp;IFERROR(MAX(FILTER($A$2:A1487, $C$2:C1487=$C1487, $I$2:I1487&lt;&gt;1)), 0), $I$2:I1487, 1),1))
"),"#DIV/0!")</f>
        <v>#DIV/0!</v>
      </c>
      <c r="K1487" s="7" t="e">
        <f t="shared" ca="1" si="27"/>
        <v>#DIV/0!</v>
      </c>
      <c r="L1487" s="20" t="e">
        <f t="shared" ca="1" si="28"/>
        <v>#DIV/0!</v>
      </c>
      <c r="M1487" s="21" t="e">
        <f t="shared" ca="1" si="29"/>
        <v>#DIV/0!</v>
      </c>
      <c r="N1487" s="20" t="str">
        <f ca="1">IFERROR(__xludf.DUMMYFUNCTION("IF(COUNTIFS($C$2:C1487, C1487, $A$2:A1487, ""&lt;="" &amp; A1487) &lt; 30, STDEV.P(FILTER($G$2:G1487, $C$2:C1487 = C1487)), STDEV.P(FILTER($G$2:G1487, $C$2:C1487 = C1487, $A$2:A1487 &gt;= A1487 - 30)))
"),"#DIV/0!")</f>
        <v>#DIV/0!</v>
      </c>
    </row>
    <row r="1488" spans="1:14" x14ac:dyDescent="0.2">
      <c r="A1488" s="41"/>
      <c r="B1488" s="40"/>
      <c r="C1488" s="40"/>
      <c r="D1488" s="31"/>
      <c r="E1488" s="31"/>
      <c r="F1488" s="31"/>
      <c r="G1488" s="19" t="e">
        <f t="shared" si="25"/>
        <v>#DIV/0!</v>
      </c>
      <c r="H1488" s="20" t="str">
        <f ca="1">IFERROR(__xludf.DUMMYFUNCTION("IF(COUNTIFS($C$2:C1488, C1488, $A$2:A1488, ""&lt;="" &amp; A1488) &lt; 30, AVERAGEIF($C$2:C1488, C1488, $G$2:G1488), AVERAGE(FILTER($G$2:G1488, $C$2:C1488 = C1488, $A$2:A1488 &gt;= A1488 - 30)))
"),"#DIV/0!")</f>
        <v>#DIV/0!</v>
      </c>
      <c r="I1488" s="20" t="e">
        <f t="shared" ca="1" si="26"/>
        <v>#DIV/0!</v>
      </c>
      <c r="J1488" s="20" t="str">
        <f ca="1">IFERROR(__xludf.DUMMYFUNCTION("IF(OR($I1488=2, $I1488=3), 0, IFERROR(COUNTIFS($C$2:C1488, $C1488, $A$2:A1488, ""&gt;""&amp;IFERROR(MAX(FILTER($A$2:A1488, $C$2:C1488=$C1488, $I$2:I1488&lt;&gt;1)), 0), $I$2:I1488, 1),1))
"),"#DIV/0!")</f>
        <v>#DIV/0!</v>
      </c>
      <c r="K1488" s="7" t="e">
        <f t="shared" ca="1" si="27"/>
        <v>#DIV/0!</v>
      </c>
      <c r="L1488" s="20" t="e">
        <f t="shared" ca="1" si="28"/>
        <v>#DIV/0!</v>
      </c>
      <c r="M1488" s="21" t="e">
        <f t="shared" ca="1" si="29"/>
        <v>#DIV/0!</v>
      </c>
      <c r="N1488" s="20" t="str">
        <f ca="1">IFERROR(__xludf.DUMMYFUNCTION("IF(COUNTIFS($C$2:C1488, C1488, $A$2:A1488, ""&lt;="" &amp; A1488) &lt; 30, STDEV.P(FILTER($G$2:G1488, $C$2:C1488 = C1488)), STDEV.P(FILTER($G$2:G1488, $C$2:C1488 = C1488, $A$2:A1488 &gt;= A1488 - 30)))
"),"#DIV/0!")</f>
        <v>#DIV/0!</v>
      </c>
    </row>
    <row r="1489" spans="1:14" x14ac:dyDescent="0.2">
      <c r="A1489" s="41"/>
      <c r="B1489" s="40"/>
      <c r="C1489" s="40"/>
      <c r="D1489" s="31"/>
      <c r="E1489" s="31"/>
      <c r="F1489" s="31"/>
      <c r="G1489" s="19" t="e">
        <f t="shared" si="25"/>
        <v>#DIV/0!</v>
      </c>
      <c r="H1489" s="20" t="str">
        <f ca="1">IFERROR(__xludf.DUMMYFUNCTION("IF(COUNTIFS($C$2:C1489, C1489, $A$2:A1489, ""&lt;="" &amp; A1489) &lt; 30, AVERAGEIF($C$2:C1489, C1489, $G$2:G1489), AVERAGE(FILTER($G$2:G1489, $C$2:C1489 = C1489, $A$2:A1489 &gt;= A1489 - 30)))
"),"#DIV/0!")</f>
        <v>#DIV/0!</v>
      </c>
      <c r="I1489" s="20" t="e">
        <f t="shared" ca="1" si="26"/>
        <v>#DIV/0!</v>
      </c>
      <c r="J1489" s="20" t="str">
        <f ca="1">IFERROR(__xludf.DUMMYFUNCTION("IF(OR($I1489=2, $I1489=3), 0, IFERROR(COUNTIFS($C$2:C1489, $C1489, $A$2:A1489, ""&gt;""&amp;IFERROR(MAX(FILTER($A$2:A1489, $C$2:C1489=$C1489, $I$2:I1489&lt;&gt;1)), 0), $I$2:I1489, 1),1))
"),"#DIV/0!")</f>
        <v>#DIV/0!</v>
      </c>
      <c r="K1489" s="7" t="e">
        <f t="shared" ca="1" si="27"/>
        <v>#DIV/0!</v>
      </c>
      <c r="L1489" s="20" t="e">
        <f t="shared" ca="1" si="28"/>
        <v>#DIV/0!</v>
      </c>
      <c r="M1489" s="21" t="e">
        <f t="shared" ca="1" si="29"/>
        <v>#DIV/0!</v>
      </c>
      <c r="N1489" s="20" t="str">
        <f ca="1">IFERROR(__xludf.DUMMYFUNCTION("IF(COUNTIFS($C$2:C1489, C1489, $A$2:A1489, ""&lt;="" &amp; A1489) &lt; 30, STDEV.P(FILTER($G$2:G1489, $C$2:C1489 = C1489)), STDEV.P(FILTER($G$2:G1489, $C$2:C1489 = C1489, $A$2:A1489 &gt;= A1489 - 30)))
"),"#DIV/0!")</f>
        <v>#DIV/0!</v>
      </c>
    </row>
    <row r="1490" spans="1:14" x14ac:dyDescent="0.2">
      <c r="A1490" s="41"/>
      <c r="B1490" s="40"/>
      <c r="C1490" s="40"/>
      <c r="D1490" s="31"/>
      <c r="E1490" s="31"/>
      <c r="F1490" s="31"/>
      <c r="G1490" s="19" t="e">
        <f t="shared" si="25"/>
        <v>#DIV/0!</v>
      </c>
      <c r="H1490" s="20" t="str">
        <f ca="1">IFERROR(__xludf.DUMMYFUNCTION("IF(COUNTIFS($C$2:C1490, C1490, $A$2:A1490, ""&lt;="" &amp; A1490) &lt; 30, AVERAGEIF($C$2:C1490, C1490, $G$2:G1490), AVERAGE(FILTER($G$2:G1490, $C$2:C1490 = C1490, $A$2:A1490 &gt;= A1490 - 30)))
"),"#DIV/0!")</f>
        <v>#DIV/0!</v>
      </c>
      <c r="I1490" s="20" t="e">
        <f t="shared" ca="1" si="26"/>
        <v>#DIV/0!</v>
      </c>
      <c r="J1490" s="20" t="str">
        <f ca="1">IFERROR(__xludf.DUMMYFUNCTION("IF(OR($I1490=2, $I1490=3), 0, IFERROR(COUNTIFS($C$2:C1490, $C1490, $A$2:A1490, ""&gt;""&amp;IFERROR(MAX(FILTER($A$2:A1490, $C$2:C1490=$C1490, $I$2:I1490&lt;&gt;1)), 0), $I$2:I1490, 1),1))
"),"#DIV/0!")</f>
        <v>#DIV/0!</v>
      </c>
      <c r="K1490" s="7" t="e">
        <f t="shared" ca="1" si="27"/>
        <v>#DIV/0!</v>
      </c>
      <c r="L1490" s="20" t="e">
        <f t="shared" ca="1" si="28"/>
        <v>#DIV/0!</v>
      </c>
      <c r="M1490" s="21" t="e">
        <f t="shared" ca="1" si="29"/>
        <v>#DIV/0!</v>
      </c>
      <c r="N1490" s="20" t="str">
        <f ca="1">IFERROR(__xludf.DUMMYFUNCTION("IF(COUNTIFS($C$2:C1490, C1490, $A$2:A1490, ""&lt;="" &amp; A1490) &lt; 30, STDEV.P(FILTER($G$2:G1490, $C$2:C1490 = C1490)), STDEV.P(FILTER($G$2:G1490, $C$2:C1490 = C1490, $A$2:A1490 &gt;= A1490 - 30)))
"),"#DIV/0!")</f>
        <v>#DIV/0!</v>
      </c>
    </row>
    <row r="1491" spans="1:14" x14ac:dyDescent="0.2">
      <c r="A1491" s="41"/>
      <c r="B1491" s="40"/>
      <c r="C1491" s="40"/>
      <c r="D1491" s="31"/>
      <c r="E1491" s="31"/>
      <c r="F1491" s="31"/>
      <c r="G1491" s="19" t="e">
        <f t="shared" si="25"/>
        <v>#DIV/0!</v>
      </c>
      <c r="H1491" s="20" t="str">
        <f ca="1">IFERROR(__xludf.DUMMYFUNCTION("IF(COUNTIFS($C$2:C1491, C1491, $A$2:A1491, ""&lt;="" &amp; A1491) &lt; 30, AVERAGEIF($C$2:C1491, C1491, $G$2:G1491), AVERAGE(FILTER($G$2:G1491, $C$2:C1491 = C1491, $A$2:A1491 &gt;= A1491 - 30)))
"),"#DIV/0!")</f>
        <v>#DIV/0!</v>
      </c>
      <c r="I1491" s="20" t="e">
        <f t="shared" ca="1" si="26"/>
        <v>#DIV/0!</v>
      </c>
      <c r="J1491" s="20" t="str">
        <f ca="1">IFERROR(__xludf.DUMMYFUNCTION("IF(OR($I1491=2, $I1491=3), 0, IFERROR(COUNTIFS($C$2:C1491, $C1491, $A$2:A1491, ""&gt;""&amp;IFERROR(MAX(FILTER($A$2:A1491, $C$2:C1491=$C1491, $I$2:I1491&lt;&gt;1)), 0), $I$2:I1491, 1),1))
"),"#DIV/0!")</f>
        <v>#DIV/0!</v>
      </c>
      <c r="K1491" s="7" t="e">
        <f t="shared" ca="1" si="27"/>
        <v>#DIV/0!</v>
      </c>
      <c r="L1491" s="20" t="e">
        <f t="shared" ca="1" si="28"/>
        <v>#DIV/0!</v>
      </c>
      <c r="M1491" s="21" t="e">
        <f t="shared" ca="1" si="29"/>
        <v>#DIV/0!</v>
      </c>
      <c r="N1491" s="20" t="str">
        <f ca="1">IFERROR(__xludf.DUMMYFUNCTION("IF(COUNTIFS($C$2:C1491, C1491, $A$2:A1491, ""&lt;="" &amp; A1491) &lt; 30, STDEV.P(FILTER($G$2:G1491, $C$2:C1491 = C1491)), STDEV.P(FILTER($G$2:G1491, $C$2:C1491 = C1491, $A$2:A1491 &gt;= A1491 - 30)))
"),"#DIV/0!")</f>
        <v>#DIV/0!</v>
      </c>
    </row>
    <row r="1492" spans="1:14" x14ac:dyDescent="0.2">
      <c r="A1492" s="41"/>
      <c r="B1492" s="40"/>
      <c r="C1492" s="40"/>
      <c r="D1492" s="31"/>
      <c r="E1492" s="31"/>
      <c r="F1492" s="31"/>
      <c r="G1492" s="19" t="e">
        <f t="shared" si="25"/>
        <v>#DIV/0!</v>
      </c>
      <c r="H1492" s="20" t="str">
        <f ca="1">IFERROR(__xludf.DUMMYFUNCTION("IF(COUNTIFS($C$2:C1492, C1492, $A$2:A1492, ""&lt;="" &amp; A1492) &lt; 30, AVERAGEIF($C$2:C1492, C1492, $G$2:G1492), AVERAGE(FILTER($G$2:G1492, $C$2:C1492 = C1492, $A$2:A1492 &gt;= A1492 - 30)))
"),"#DIV/0!")</f>
        <v>#DIV/0!</v>
      </c>
      <c r="I1492" s="20" t="e">
        <f t="shared" ca="1" si="26"/>
        <v>#DIV/0!</v>
      </c>
      <c r="J1492" s="20" t="str">
        <f ca="1">IFERROR(__xludf.DUMMYFUNCTION("IF(OR($I1492=2, $I1492=3), 0, IFERROR(COUNTIFS($C$2:C1492, $C1492, $A$2:A1492, ""&gt;""&amp;IFERROR(MAX(FILTER($A$2:A1492, $C$2:C1492=$C1492, $I$2:I1492&lt;&gt;1)), 0), $I$2:I1492, 1),1))
"),"#DIV/0!")</f>
        <v>#DIV/0!</v>
      </c>
      <c r="K1492" s="7" t="e">
        <f t="shared" ca="1" si="27"/>
        <v>#DIV/0!</v>
      </c>
      <c r="L1492" s="20" t="e">
        <f t="shared" ca="1" si="28"/>
        <v>#DIV/0!</v>
      </c>
      <c r="M1492" s="21" t="e">
        <f t="shared" ca="1" si="29"/>
        <v>#DIV/0!</v>
      </c>
      <c r="N1492" s="20" t="str">
        <f ca="1">IFERROR(__xludf.DUMMYFUNCTION("IF(COUNTIFS($C$2:C1492, C1492, $A$2:A1492, ""&lt;="" &amp; A1492) &lt; 30, STDEV.P(FILTER($G$2:G1492, $C$2:C1492 = C1492)), STDEV.P(FILTER($G$2:G1492, $C$2:C1492 = C1492, $A$2:A1492 &gt;= A1492 - 30)))
"),"#DIV/0!")</f>
        <v>#DIV/0!</v>
      </c>
    </row>
    <row r="1493" spans="1:14" x14ac:dyDescent="0.2">
      <c r="A1493" s="41"/>
      <c r="B1493" s="40"/>
      <c r="C1493" s="40"/>
      <c r="D1493" s="31"/>
      <c r="E1493" s="31"/>
      <c r="F1493" s="31"/>
      <c r="G1493" s="19" t="e">
        <f t="shared" si="25"/>
        <v>#DIV/0!</v>
      </c>
      <c r="H1493" s="20" t="str">
        <f ca="1">IFERROR(__xludf.DUMMYFUNCTION("IF(COUNTIFS($C$2:C1493, C1493, $A$2:A1493, ""&lt;="" &amp; A1493) &lt; 30, AVERAGEIF($C$2:C1493, C1493, $G$2:G1493), AVERAGE(FILTER($G$2:G1493, $C$2:C1493 = C1493, $A$2:A1493 &gt;= A1493 - 30)))
"),"#DIV/0!")</f>
        <v>#DIV/0!</v>
      </c>
      <c r="I1493" s="20" t="e">
        <f t="shared" ca="1" si="26"/>
        <v>#DIV/0!</v>
      </c>
      <c r="J1493" s="20" t="str">
        <f ca="1">IFERROR(__xludf.DUMMYFUNCTION("IF(OR($I1493=2, $I1493=3), 0, IFERROR(COUNTIFS($C$2:C1493, $C1493, $A$2:A1493, ""&gt;""&amp;IFERROR(MAX(FILTER($A$2:A1493, $C$2:C1493=$C1493, $I$2:I1493&lt;&gt;1)), 0), $I$2:I1493, 1),1))
"),"#DIV/0!")</f>
        <v>#DIV/0!</v>
      </c>
      <c r="K1493" s="7" t="e">
        <f t="shared" ca="1" si="27"/>
        <v>#DIV/0!</v>
      </c>
      <c r="L1493" s="20" t="e">
        <f t="shared" ca="1" si="28"/>
        <v>#DIV/0!</v>
      </c>
      <c r="M1493" s="21" t="e">
        <f t="shared" ca="1" si="29"/>
        <v>#DIV/0!</v>
      </c>
      <c r="N1493" s="20" t="str">
        <f ca="1">IFERROR(__xludf.DUMMYFUNCTION("IF(COUNTIFS($C$2:C1493, C1493, $A$2:A1493, ""&lt;="" &amp; A1493) &lt; 30, STDEV.P(FILTER($G$2:G1493, $C$2:C1493 = C1493)), STDEV.P(FILTER($G$2:G1493, $C$2:C1493 = C1493, $A$2:A1493 &gt;= A1493 - 30)))
"),"#DIV/0!")</f>
        <v>#DIV/0!</v>
      </c>
    </row>
    <row r="1494" spans="1:14" x14ac:dyDescent="0.2">
      <c r="A1494" s="41"/>
      <c r="B1494" s="40"/>
      <c r="C1494" s="40"/>
      <c r="D1494" s="31"/>
      <c r="E1494" s="31"/>
      <c r="F1494" s="31"/>
      <c r="G1494" s="19" t="e">
        <f t="shared" si="25"/>
        <v>#DIV/0!</v>
      </c>
      <c r="H1494" s="20" t="str">
        <f ca="1">IFERROR(__xludf.DUMMYFUNCTION("IF(COUNTIFS($C$2:C1494, C1494, $A$2:A1494, ""&lt;="" &amp; A1494) &lt; 30, AVERAGEIF($C$2:C1494, C1494, $G$2:G1494), AVERAGE(FILTER($G$2:G1494, $C$2:C1494 = C1494, $A$2:A1494 &gt;= A1494 - 30)))
"),"#DIV/0!")</f>
        <v>#DIV/0!</v>
      </c>
      <c r="I1494" s="20" t="e">
        <f t="shared" ca="1" si="26"/>
        <v>#DIV/0!</v>
      </c>
      <c r="J1494" s="20" t="str">
        <f ca="1">IFERROR(__xludf.DUMMYFUNCTION("IF(OR($I1494=2, $I1494=3), 0, IFERROR(COUNTIFS($C$2:C1494, $C1494, $A$2:A1494, ""&gt;""&amp;IFERROR(MAX(FILTER($A$2:A1494, $C$2:C1494=$C1494, $I$2:I1494&lt;&gt;1)), 0), $I$2:I1494, 1),1))
"),"#DIV/0!")</f>
        <v>#DIV/0!</v>
      </c>
      <c r="K1494" s="7" t="e">
        <f t="shared" ca="1" si="27"/>
        <v>#DIV/0!</v>
      </c>
      <c r="L1494" s="20" t="e">
        <f t="shared" ca="1" si="28"/>
        <v>#DIV/0!</v>
      </c>
      <c r="M1494" s="21" t="e">
        <f t="shared" ca="1" si="29"/>
        <v>#DIV/0!</v>
      </c>
      <c r="N1494" s="20" t="str">
        <f ca="1">IFERROR(__xludf.DUMMYFUNCTION("IF(COUNTIFS($C$2:C1494, C1494, $A$2:A1494, ""&lt;="" &amp; A1494) &lt; 30, STDEV.P(FILTER($G$2:G1494, $C$2:C1494 = C1494)), STDEV.P(FILTER($G$2:G1494, $C$2:C1494 = C1494, $A$2:A1494 &gt;= A1494 - 30)))
"),"#DIV/0!")</f>
        <v>#DIV/0!</v>
      </c>
    </row>
    <row r="1495" spans="1:14" x14ac:dyDescent="0.2">
      <c r="A1495" s="41"/>
      <c r="B1495" s="40"/>
      <c r="C1495" s="40"/>
      <c r="D1495" s="31"/>
      <c r="E1495" s="31"/>
      <c r="F1495" s="31"/>
      <c r="G1495" s="19" t="e">
        <f t="shared" si="25"/>
        <v>#DIV/0!</v>
      </c>
      <c r="H1495" s="20" t="str">
        <f ca="1">IFERROR(__xludf.DUMMYFUNCTION("IF(COUNTIFS($C$2:C1495, C1495, $A$2:A1495, ""&lt;="" &amp; A1495) &lt; 30, AVERAGEIF($C$2:C1495, C1495, $G$2:G1495), AVERAGE(FILTER($G$2:G1495, $C$2:C1495 = C1495, $A$2:A1495 &gt;= A1495 - 30)))
"),"#DIV/0!")</f>
        <v>#DIV/0!</v>
      </c>
      <c r="I1495" s="20" t="e">
        <f t="shared" ca="1" si="26"/>
        <v>#DIV/0!</v>
      </c>
      <c r="J1495" s="20" t="str">
        <f ca="1">IFERROR(__xludf.DUMMYFUNCTION("IF(OR($I1495=2, $I1495=3), 0, IFERROR(COUNTIFS($C$2:C1495, $C1495, $A$2:A1495, ""&gt;""&amp;IFERROR(MAX(FILTER($A$2:A1495, $C$2:C1495=$C1495, $I$2:I1495&lt;&gt;1)), 0), $I$2:I1495, 1),1))
"),"#DIV/0!")</f>
        <v>#DIV/0!</v>
      </c>
      <c r="K1495" s="7" t="e">
        <f t="shared" ca="1" si="27"/>
        <v>#DIV/0!</v>
      </c>
      <c r="L1495" s="20" t="e">
        <f t="shared" ca="1" si="28"/>
        <v>#DIV/0!</v>
      </c>
      <c r="M1495" s="21" t="e">
        <f t="shared" ca="1" si="29"/>
        <v>#DIV/0!</v>
      </c>
      <c r="N1495" s="20" t="str">
        <f ca="1">IFERROR(__xludf.DUMMYFUNCTION("IF(COUNTIFS($C$2:C1495, C1495, $A$2:A1495, ""&lt;="" &amp; A1495) &lt; 30, STDEV.P(FILTER($G$2:G1495, $C$2:C1495 = C1495)), STDEV.P(FILTER($G$2:G1495, $C$2:C1495 = C1495, $A$2:A1495 &gt;= A1495 - 30)))
"),"#DIV/0!")</f>
        <v>#DIV/0!</v>
      </c>
    </row>
    <row r="1496" spans="1:14" x14ac:dyDescent="0.2">
      <c r="A1496" s="41"/>
      <c r="B1496" s="40"/>
      <c r="C1496" s="40"/>
      <c r="D1496" s="31"/>
      <c r="E1496" s="31"/>
      <c r="F1496" s="31"/>
      <c r="G1496" s="19" t="e">
        <f t="shared" si="25"/>
        <v>#DIV/0!</v>
      </c>
      <c r="H1496" s="20" t="str">
        <f ca="1">IFERROR(__xludf.DUMMYFUNCTION("IF(COUNTIFS($C$2:C1496, C1496, $A$2:A1496, ""&lt;="" &amp; A1496) &lt; 30, AVERAGEIF($C$2:C1496, C1496, $G$2:G1496), AVERAGE(FILTER($G$2:G1496, $C$2:C1496 = C1496, $A$2:A1496 &gt;= A1496 - 30)))
"),"#DIV/0!")</f>
        <v>#DIV/0!</v>
      </c>
      <c r="I1496" s="20" t="e">
        <f t="shared" ca="1" si="26"/>
        <v>#DIV/0!</v>
      </c>
      <c r="J1496" s="20" t="str">
        <f ca="1">IFERROR(__xludf.DUMMYFUNCTION("IF(OR($I1496=2, $I1496=3), 0, IFERROR(COUNTIFS($C$2:C1496, $C1496, $A$2:A1496, ""&gt;""&amp;IFERROR(MAX(FILTER($A$2:A1496, $C$2:C1496=$C1496, $I$2:I1496&lt;&gt;1)), 0), $I$2:I1496, 1),1))
"),"#DIV/0!")</f>
        <v>#DIV/0!</v>
      </c>
      <c r="K1496" s="7" t="e">
        <f t="shared" ca="1" si="27"/>
        <v>#DIV/0!</v>
      </c>
      <c r="L1496" s="20" t="e">
        <f t="shared" ca="1" si="28"/>
        <v>#DIV/0!</v>
      </c>
      <c r="M1496" s="21" t="e">
        <f t="shared" ca="1" si="29"/>
        <v>#DIV/0!</v>
      </c>
      <c r="N1496" s="20" t="str">
        <f ca="1">IFERROR(__xludf.DUMMYFUNCTION("IF(COUNTIFS($C$2:C1496, C1496, $A$2:A1496, ""&lt;="" &amp; A1496) &lt; 30, STDEV.P(FILTER($G$2:G1496, $C$2:C1496 = C1496)), STDEV.P(FILTER($G$2:G1496, $C$2:C1496 = C1496, $A$2:A1496 &gt;= A1496 - 30)))
"),"#DIV/0!")</f>
        <v>#DIV/0!</v>
      </c>
    </row>
    <row r="1497" spans="1:14" x14ac:dyDescent="0.2">
      <c r="A1497" s="41"/>
      <c r="B1497" s="40"/>
      <c r="C1497" s="40"/>
      <c r="D1497" s="31"/>
      <c r="E1497" s="31"/>
      <c r="F1497" s="31"/>
      <c r="G1497" s="19" t="e">
        <f t="shared" si="25"/>
        <v>#DIV/0!</v>
      </c>
      <c r="H1497" s="20" t="str">
        <f ca="1">IFERROR(__xludf.DUMMYFUNCTION("IF(COUNTIFS($C$2:C1497, C1497, $A$2:A1497, ""&lt;="" &amp; A1497) &lt; 30, AVERAGEIF($C$2:C1497, C1497, $G$2:G1497), AVERAGE(FILTER($G$2:G1497, $C$2:C1497 = C1497, $A$2:A1497 &gt;= A1497 - 30)))
"),"#DIV/0!")</f>
        <v>#DIV/0!</v>
      </c>
      <c r="I1497" s="20" t="e">
        <f t="shared" ca="1" si="26"/>
        <v>#DIV/0!</v>
      </c>
      <c r="J1497" s="20" t="str">
        <f ca="1">IFERROR(__xludf.DUMMYFUNCTION("IF(OR($I1497=2, $I1497=3), 0, IFERROR(COUNTIFS($C$2:C1497, $C1497, $A$2:A1497, ""&gt;""&amp;IFERROR(MAX(FILTER($A$2:A1497, $C$2:C1497=$C1497, $I$2:I1497&lt;&gt;1)), 0), $I$2:I1497, 1),1))
"),"#DIV/0!")</f>
        <v>#DIV/0!</v>
      </c>
      <c r="K1497" s="7" t="e">
        <f t="shared" ca="1" si="27"/>
        <v>#DIV/0!</v>
      </c>
      <c r="L1497" s="20" t="e">
        <f t="shared" ca="1" si="28"/>
        <v>#DIV/0!</v>
      </c>
      <c r="M1497" s="21" t="e">
        <f t="shared" ca="1" si="29"/>
        <v>#DIV/0!</v>
      </c>
      <c r="N1497" s="20" t="str">
        <f ca="1">IFERROR(__xludf.DUMMYFUNCTION("IF(COUNTIFS($C$2:C1497, C1497, $A$2:A1497, ""&lt;="" &amp; A1497) &lt; 30, STDEV.P(FILTER($G$2:G1497, $C$2:C1497 = C1497)), STDEV.P(FILTER($G$2:G1497, $C$2:C1497 = C1497, $A$2:A1497 &gt;= A1497 - 30)))
"),"#DIV/0!")</f>
        <v>#DIV/0!</v>
      </c>
    </row>
    <row r="1498" spans="1:14" x14ac:dyDescent="0.2">
      <c r="A1498" s="41"/>
      <c r="B1498" s="40"/>
      <c r="C1498" s="40"/>
      <c r="D1498" s="31"/>
      <c r="E1498" s="31"/>
      <c r="F1498" s="31"/>
      <c r="G1498" s="19" t="e">
        <f t="shared" si="25"/>
        <v>#DIV/0!</v>
      </c>
      <c r="H1498" s="20" t="str">
        <f ca="1">IFERROR(__xludf.DUMMYFUNCTION("IF(COUNTIFS($C$2:C1498, C1498, $A$2:A1498, ""&lt;="" &amp; A1498) &lt; 30, AVERAGEIF($C$2:C1498, C1498, $G$2:G1498), AVERAGE(FILTER($G$2:G1498, $C$2:C1498 = C1498, $A$2:A1498 &gt;= A1498 - 30)))
"),"#DIV/0!")</f>
        <v>#DIV/0!</v>
      </c>
      <c r="I1498" s="20" t="e">
        <f t="shared" ca="1" si="26"/>
        <v>#DIV/0!</v>
      </c>
      <c r="J1498" s="20" t="str">
        <f ca="1">IFERROR(__xludf.DUMMYFUNCTION("IF(OR($I1498=2, $I1498=3), 0, IFERROR(COUNTIFS($C$2:C1498, $C1498, $A$2:A1498, ""&gt;""&amp;IFERROR(MAX(FILTER($A$2:A1498, $C$2:C1498=$C1498, $I$2:I1498&lt;&gt;1)), 0), $I$2:I1498, 1),1))
"),"#DIV/0!")</f>
        <v>#DIV/0!</v>
      </c>
      <c r="K1498" s="7" t="e">
        <f t="shared" ca="1" si="27"/>
        <v>#DIV/0!</v>
      </c>
      <c r="L1498" s="20" t="e">
        <f t="shared" ca="1" si="28"/>
        <v>#DIV/0!</v>
      </c>
      <c r="M1498" s="21" t="e">
        <f t="shared" ca="1" si="29"/>
        <v>#DIV/0!</v>
      </c>
      <c r="N1498" s="20" t="str">
        <f ca="1">IFERROR(__xludf.DUMMYFUNCTION("IF(COUNTIFS($C$2:C1498, C1498, $A$2:A1498, ""&lt;="" &amp; A1498) &lt; 30, STDEV.P(FILTER($G$2:G1498, $C$2:C1498 = C1498)), STDEV.P(FILTER($G$2:G1498, $C$2:C1498 = C1498, $A$2:A1498 &gt;= A1498 - 30)))
"),"#DIV/0!")</f>
        <v>#DIV/0!</v>
      </c>
    </row>
    <row r="1499" spans="1:14" x14ac:dyDescent="0.2">
      <c r="A1499" s="41"/>
      <c r="B1499" s="40"/>
      <c r="C1499" s="40"/>
      <c r="D1499" s="31"/>
      <c r="E1499" s="31"/>
      <c r="F1499" s="31"/>
      <c r="G1499" s="19" t="e">
        <f t="shared" si="25"/>
        <v>#DIV/0!</v>
      </c>
      <c r="H1499" s="20" t="str">
        <f ca="1">IFERROR(__xludf.DUMMYFUNCTION("IF(COUNTIFS($C$2:C1499, C1499, $A$2:A1499, ""&lt;="" &amp; A1499) &lt; 30, AVERAGEIF($C$2:C1499, C1499, $G$2:G1499), AVERAGE(FILTER($G$2:G1499, $C$2:C1499 = C1499, $A$2:A1499 &gt;= A1499 - 30)))
"),"#DIV/0!")</f>
        <v>#DIV/0!</v>
      </c>
      <c r="I1499" s="20" t="e">
        <f t="shared" ca="1" si="26"/>
        <v>#DIV/0!</v>
      </c>
      <c r="J1499" s="20" t="str">
        <f ca="1">IFERROR(__xludf.DUMMYFUNCTION("IF(OR($I1499=2, $I1499=3), 0, IFERROR(COUNTIFS($C$2:C1499, $C1499, $A$2:A1499, ""&gt;""&amp;IFERROR(MAX(FILTER($A$2:A1499, $C$2:C1499=$C1499, $I$2:I1499&lt;&gt;1)), 0), $I$2:I1499, 1),1))
"),"#DIV/0!")</f>
        <v>#DIV/0!</v>
      </c>
      <c r="K1499" s="7" t="e">
        <f t="shared" ca="1" si="27"/>
        <v>#DIV/0!</v>
      </c>
      <c r="L1499" s="20" t="e">
        <f t="shared" ca="1" si="28"/>
        <v>#DIV/0!</v>
      </c>
      <c r="M1499" s="21" t="e">
        <f t="shared" ca="1" si="29"/>
        <v>#DIV/0!</v>
      </c>
      <c r="N1499" s="20" t="str">
        <f ca="1">IFERROR(__xludf.DUMMYFUNCTION("IF(COUNTIFS($C$2:C1499, C1499, $A$2:A1499, ""&lt;="" &amp; A1499) &lt; 30, STDEV.P(FILTER($G$2:G1499, $C$2:C1499 = C1499)), STDEV.P(FILTER($G$2:G1499, $C$2:C1499 = C1499, $A$2:A1499 &gt;= A1499 - 30)))
"),"#DIV/0!")</f>
        <v>#DIV/0!</v>
      </c>
    </row>
    <row r="1500" spans="1:14" x14ac:dyDescent="0.2">
      <c r="A1500" s="41"/>
      <c r="B1500" s="40"/>
      <c r="C1500" s="40"/>
      <c r="D1500" s="31"/>
      <c r="E1500" s="31"/>
      <c r="F1500" s="31"/>
      <c r="G1500" s="19" t="e">
        <f t="shared" si="25"/>
        <v>#DIV/0!</v>
      </c>
      <c r="H1500" s="20" t="str">
        <f ca="1">IFERROR(__xludf.DUMMYFUNCTION("IF(COUNTIFS($C$2:C1500, C1500, $A$2:A1500, ""&lt;="" &amp; A1500) &lt; 30, AVERAGEIF($C$2:C1500, C1500, $G$2:G1500), AVERAGE(FILTER($G$2:G1500, $C$2:C1500 = C1500, $A$2:A1500 &gt;= A1500 - 30)))
"),"#DIV/0!")</f>
        <v>#DIV/0!</v>
      </c>
      <c r="I1500" s="20" t="e">
        <f t="shared" ca="1" si="26"/>
        <v>#DIV/0!</v>
      </c>
      <c r="J1500" s="20" t="str">
        <f ca="1">IFERROR(__xludf.DUMMYFUNCTION("IF(OR($I1500=2, $I1500=3), 0, IFERROR(COUNTIFS($C$2:C1500, $C1500, $A$2:A1500, ""&gt;""&amp;IFERROR(MAX(FILTER($A$2:A1500, $C$2:C1500=$C1500, $I$2:I1500&lt;&gt;1)), 0), $I$2:I1500, 1),1))
"),"#DIV/0!")</f>
        <v>#DIV/0!</v>
      </c>
      <c r="K1500" s="7" t="e">
        <f t="shared" ca="1" si="27"/>
        <v>#DIV/0!</v>
      </c>
      <c r="L1500" s="20" t="e">
        <f t="shared" ca="1" si="28"/>
        <v>#DIV/0!</v>
      </c>
      <c r="M1500" s="21" t="e">
        <f t="shared" ca="1" si="29"/>
        <v>#DIV/0!</v>
      </c>
      <c r="N1500" s="20" t="str">
        <f ca="1">IFERROR(__xludf.DUMMYFUNCTION("IF(COUNTIFS($C$2:C1500, C1500, $A$2:A1500, ""&lt;="" &amp; A1500) &lt; 30, STDEV.P(FILTER($G$2:G1500, $C$2:C1500 = C1500)), STDEV.P(FILTER($G$2:G1500, $C$2:C1500 = C1500, $A$2:A1500 &gt;= A1500 - 30)))
"),"#DIV/0!")</f>
        <v>#DIV/0!</v>
      </c>
    </row>
    <row r="1501" spans="1:14" x14ac:dyDescent="0.2">
      <c r="A1501" s="41"/>
      <c r="B1501" s="40"/>
      <c r="C1501" s="40"/>
      <c r="D1501" s="31"/>
      <c r="E1501" s="31"/>
      <c r="F1501" s="31"/>
      <c r="G1501" s="19" t="e">
        <f t="shared" si="25"/>
        <v>#DIV/0!</v>
      </c>
      <c r="H1501" s="20" t="str">
        <f ca="1">IFERROR(__xludf.DUMMYFUNCTION("IF(COUNTIFS($C$2:C1501, C1501, $A$2:A1501, ""&lt;="" &amp; A1501) &lt; 30, AVERAGEIF($C$2:C1501, C1501, $G$2:G1501), AVERAGE(FILTER($G$2:G1501, $C$2:C1501 = C1501, $A$2:A1501 &gt;= A1501 - 30)))
"),"#DIV/0!")</f>
        <v>#DIV/0!</v>
      </c>
      <c r="I1501" s="20" t="e">
        <f t="shared" ca="1" si="26"/>
        <v>#DIV/0!</v>
      </c>
      <c r="J1501" s="20" t="str">
        <f ca="1">IFERROR(__xludf.DUMMYFUNCTION("IF(OR($I1501=2, $I1501=3), 0, IFERROR(COUNTIFS($C$2:C1501, $C1501, $A$2:A1501, ""&gt;""&amp;IFERROR(MAX(FILTER($A$2:A1501, $C$2:C1501=$C1501, $I$2:I1501&lt;&gt;1)), 0), $I$2:I1501, 1),1))
"),"#DIV/0!")</f>
        <v>#DIV/0!</v>
      </c>
      <c r="K1501" s="7" t="e">
        <f t="shared" ca="1" si="27"/>
        <v>#DIV/0!</v>
      </c>
      <c r="L1501" s="20" t="e">
        <f t="shared" ca="1" si="28"/>
        <v>#DIV/0!</v>
      </c>
      <c r="M1501" s="21" t="e">
        <f t="shared" ca="1" si="29"/>
        <v>#DIV/0!</v>
      </c>
      <c r="N1501" s="20" t="str">
        <f ca="1">IFERROR(__xludf.DUMMYFUNCTION("IF(COUNTIFS($C$2:C1501, C1501, $A$2:A1501, ""&lt;="" &amp; A1501) &lt; 30, STDEV.P(FILTER($G$2:G1501, $C$2:C1501 = C1501)), STDEV.P(FILTER($G$2:G1501, $C$2:C1501 = C1501, $A$2:A1501 &gt;= A1501 - 30)))
"),"#DIV/0!")</f>
        <v>#DIV/0!</v>
      </c>
    </row>
    <row r="1502" spans="1:14" x14ac:dyDescent="0.2">
      <c r="A1502" s="41"/>
      <c r="B1502" s="40"/>
      <c r="C1502" s="40"/>
      <c r="D1502" s="31"/>
      <c r="E1502" s="31"/>
      <c r="F1502" s="31"/>
      <c r="G1502" s="19" t="e">
        <f t="shared" si="25"/>
        <v>#DIV/0!</v>
      </c>
      <c r="H1502" s="20" t="str">
        <f ca="1">IFERROR(__xludf.DUMMYFUNCTION("IF(COUNTIFS($C$2:C1502, C1502, $A$2:A1502, ""&lt;="" &amp; A1502) &lt; 30, AVERAGEIF($C$2:C1502, C1502, $G$2:G1502), AVERAGE(FILTER($G$2:G1502, $C$2:C1502 = C1502, $A$2:A1502 &gt;= A1502 - 30)))
"),"#DIV/0!")</f>
        <v>#DIV/0!</v>
      </c>
      <c r="I1502" s="20" t="e">
        <f t="shared" ca="1" si="26"/>
        <v>#DIV/0!</v>
      </c>
      <c r="J1502" s="20" t="str">
        <f ca="1">IFERROR(__xludf.DUMMYFUNCTION("IF(OR($I1502=2, $I1502=3), 0, IFERROR(COUNTIFS($C$2:C1502, $C1502, $A$2:A1502, ""&gt;""&amp;IFERROR(MAX(FILTER($A$2:A1502, $C$2:C1502=$C1502, $I$2:I1502&lt;&gt;1)), 0), $I$2:I1502, 1),1))
"),"#DIV/0!")</f>
        <v>#DIV/0!</v>
      </c>
      <c r="K1502" s="7" t="e">
        <f t="shared" ca="1" si="27"/>
        <v>#DIV/0!</v>
      </c>
      <c r="L1502" s="20" t="e">
        <f t="shared" ca="1" si="28"/>
        <v>#DIV/0!</v>
      </c>
      <c r="M1502" s="21" t="e">
        <f t="shared" ca="1" si="29"/>
        <v>#DIV/0!</v>
      </c>
      <c r="N1502" s="20" t="str">
        <f ca="1">IFERROR(__xludf.DUMMYFUNCTION("IF(COUNTIFS($C$2:C1502, C1502, $A$2:A1502, ""&lt;="" &amp; A1502) &lt; 30, STDEV.P(FILTER($G$2:G1502, $C$2:C1502 = C1502)), STDEV.P(FILTER($G$2:G1502, $C$2:C1502 = C1502, $A$2:A1502 &gt;= A1502 - 30)))
"),"#DIV/0!")</f>
        <v>#DIV/0!</v>
      </c>
    </row>
    <row r="1503" spans="1:14" x14ac:dyDescent="0.2">
      <c r="A1503" s="41"/>
      <c r="B1503" s="40"/>
      <c r="C1503" s="40"/>
      <c r="D1503" s="31"/>
      <c r="E1503" s="31"/>
      <c r="F1503" s="31"/>
      <c r="G1503" s="19" t="e">
        <f t="shared" si="25"/>
        <v>#DIV/0!</v>
      </c>
      <c r="H1503" s="20" t="str">
        <f ca="1">IFERROR(__xludf.DUMMYFUNCTION("IF(COUNTIFS($C$2:C1503, C1503, $A$2:A1503, ""&lt;="" &amp; A1503) &lt; 30, AVERAGEIF($C$2:C1503, C1503, $G$2:G1503), AVERAGE(FILTER($G$2:G1503, $C$2:C1503 = C1503, $A$2:A1503 &gt;= A1503 - 30)))
"),"#DIV/0!")</f>
        <v>#DIV/0!</v>
      </c>
      <c r="I1503" s="20" t="e">
        <f t="shared" ca="1" si="26"/>
        <v>#DIV/0!</v>
      </c>
      <c r="J1503" s="20" t="str">
        <f ca="1">IFERROR(__xludf.DUMMYFUNCTION("IF(OR($I1503=2, $I1503=3), 0, IFERROR(COUNTIFS($C$2:C1503, $C1503, $A$2:A1503, ""&gt;""&amp;IFERROR(MAX(FILTER($A$2:A1503, $C$2:C1503=$C1503, $I$2:I1503&lt;&gt;1)), 0), $I$2:I1503, 1),1))
"),"#DIV/0!")</f>
        <v>#DIV/0!</v>
      </c>
      <c r="K1503" s="7" t="e">
        <f t="shared" ca="1" si="27"/>
        <v>#DIV/0!</v>
      </c>
      <c r="L1503" s="20" t="e">
        <f t="shared" ca="1" si="28"/>
        <v>#DIV/0!</v>
      </c>
      <c r="M1503" s="21" t="e">
        <f t="shared" ca="1" si="29"/>
        <v>#DIV/0!</v>
      </c>
      <c r="N1503" s="20" t="str">
        <f ca="1">IFERROR(__xludf.DUMMYFUNCTION("IF(COUNTIFS($C$2:C1503, C1503, $A$2:A1503, ""&lt;="" &amp; A1503) &lt; 30, STDEV.P(FILTER($G$2:G1503, $C$2:C1503 = C1503)), STDEV.P(FILTER($G$2:G1503, $C$2:C1503 = C1503, $A$2:A1503 &gt;= A1503 - 30)))
"),"#DIV/0!")</f>
        <v>#DIV/0!</v>
      </c>
    </row>
    <row r="1504" spans="1:14" x14ac:dyDescent="0.2">
      <c r="A1504" s="41"/>
      <c r="B1504" s="40"/>
      <c r="C1504" s="40"/>
      <c r="D1504" s="31"/>
      <c r="E1504" s="31"/>
      <c r="F1504" s="31"/>
      <c r="G1504" s="19" t="e">
        <f t="shared" si="25"/>
        <v>#DIV/0!</v>
      </c>
      <c r="H1504" s="20" t="str">
        <f ca="1">IFERROR(__xludf.DUMMYFUNCTION("IF(COUNTIFS($C$2:C1504, C1504, $A$2:A1504, ""&lt;="" &amp; A1504) &lt; 30, AVERAGEIF($C$2:C1504, C1504, $G$2:G1504), AVERAGE(FILTER($G$2:G1504, $C$2:C1504 = C1504, $A$2:A1504 &gt;= A1504 - 30)))
"),"#DIV/0!")</f>
        <v>#DIV/0!</v>
      </c>
      <c r="I1504" s="20" t="e">
        <f t="shared" ca="1" si="26"/>
        <v>#DIV/0!</v>
      </c>
      <c r="J1504" s="20" t="str">
        <f ca="1">IFERROR(__xludf.DUMMYFUNCTION("IF(OR($I1504=2, $I1504=3), 0, IFERROR(COUNTIFS($C$2:C1504, $C1504, $A$2:A1504, ""&gt;""&amp;IFERROR(MAX(FILTER($A$2:A1504, $C$2:C1504=$C1504, $I$2:I1504&lt;&gt;1)), 0), $I$2:I1504, 1),1))
"),"#DIV/0!")</f>
        <v>#DIV/0!</v>
      </c>
      <c r="K1504" s="7" t="e">
        <f t="shared" ca="1" si="27"/>
        <v>#DIV/0!</v>
      </c>
      <c r="L1504" s="20" t="e">
        <f t="shared" ca="1" si="28"/>
        <v>#DIV/0!</v>
      </c>
      <c r="M1504" s="21" t="e">
        <f t="shared" ca="1" si="29"/>
        <v>#DIV/0!</v>
      </c>
      <c r="N1504" s="20" t="str">
        <f ca="1">IFERROR(__xludf.DUMMYFUNCTION("IF(COUNTIFS($C$2:C1504, C1504, $A$2:A1504, ""&lt;="" &amp; A1504) &lt; 30, STDEV.P(FILTER($G$2:G1504, $C$2:C1504 = C1504)), STDEV.P(FILTER($G$2:G1504, $C$2:C1504 = C1504, $A$2:A1504 &gt;= A1504 - 30)))
"),"#DIV/0!")</f>
        <v>#DIV/0!</v>
      </c>
    </row>
    <row r="1505" spans="1:14" x14ac:dyDescent="0.2">
      <c r="A1505" s="41"/>
      <c r="B1505" s="40"/>
      <c r="C1505" s="40"/>
      <c r="D1505" s="31"/>
      <c r="E1505" s="31"/>
      <c r="F1505" s="31"/>
      <c r="G1505" s="19" t="e">
        <f t="shared" si="25"/>
        <v>#DIV/0!</v>
      </c>
      <c r="H1505" s="20" t="str">
        <f ca="1">IFERROR(__xludf.DUMMYFUNCTION("IF(COUNTIFS($C$2:C1505, C1505, $A$2:A1505, ""&lt;="" &amp; A1505) &lt; 30, AVERAGEIF($C$2:C1505, C1505, $G$2:G1505), AVERAGE(FILTER($G$2:G1505, $C$2:C1505 = C1505, $A$2:A1505 &gt;= A1505 - 30)))
"),"#DIV/0!")</f>
        <v>#DIV/0!</v>
      </c>
      <c r="I1505" s="20" t="e">
        <f t="shared" ca="1" si="26"/>
        <v>#DIV/0!</v>
      </c>
      <c r="J1505" s="20" t="str">
        <f ca="1">IFERROR(__xludf.DUMMYFUNCTION("IF(OR($I1505=2, $I1505=3), 0, IFERROR(COUNTIFS($C$2:C1505, $C1505, $A$2:A1505, ""&gt;""&amp;IFERROR(MAX(FILTER($A$2:A1505, $C$2:C1505=$C1505, $I$2:I1505&lt;&gt;1)), 0), $I$2:I1505, 1),1))
"),"#DIV/0!")</f>
        <v>#DIV/0!</v>
      </c>
      <c r="K1505" s="7" t="e">
        <f t="shared" ca="1" si="27"/>
        <v>#DIV/0!</v>
      </c>
      <c r="L1505" s="20" t="e">
        <f t="shared" ca="1" si="28"/>
        <v>#DIV/0!</v>
      </c>
      <c r="M1505" s="21" t="e">
        <f t="shared" ca="1" si="29"/>
        <v>#DIV/0!</v>
      </c>
      <c r="N1505" s="20" t="str">
        <f ca="1">IFERROR(__xludf.DUMMYFUNCTION("IF(COUNTIFS($C$2:C1505, C1505, $A$2:A1505, ""&lt;="" &amp; A1505) &lt; 30, STDEV.P(FILTER($G$2:G1505, $C$2:C1505 = C1505)), STDEV.P(FILTER($G$2:G1505, $C$2:C1505 = C1505, $A$2:A1505 &gt;= A1505 - 30)))
"),"#DIV/0!")</f>
        <v>#DIV/0!</v>
      </c>
    </row>
    <row r="1506" spans="1:14" x14ac:dyDescent="0.2">
      <c r="A1506" s="41"/>
      <c r="B1506" s="40"/>
      <c r="C1506" s="40"/>
      <c r="D1506" s="31"/>
      <c r="E1506" s="31"/>
      <c r="F1506" s="31"/>
      <c r="G1506" s="19" t="e">
        <f t="shared" si="25"/>
        <v>#DIV/0!</v>
      </c>
      <c r="H1506" s="20" t="str">
        <f ca="1">IFERROR(__xludf.DUMMYFUNCTION("IF(COUNTIFS($C$2:C1506, C1506, $A$2:A1506, ""&lt;="" &amp; A1506) &lt; 30, AVERAGEIF($C$2:C1506, C1506, $G$2:G1506), AVERAGE(FILTER($G$2:G1506, $C$2:C1506 = C1506, $A$2:A1506 &gt;= A1506 - 30)))
"),"#DIV/0!")</f>
        <v>#DIV/0!</v>
      </c>
      <c r="I1506" s="20" t="e">
        <f t="shared" ca="1" si="26"/>
        <v>#DIV/0!</v>
      </c>
      <c r="J1506" s="20" t="str">
        <f ca="1">IFERROR(__xludf.DUMMYFUNCTION("IF(OR($I1506=2, $I1506=3), 0, IFERROR(COUNTIFS($C$2:C1506, $C1506, $A$2:A1506, ""&gt;""&amp;IFERROR(MAX(FILTER($A$2:A1506, $C$2:C1506=$C1506, $I$2:I1506&lt;&gt;1)), 0), $I$2:I1506, 1),1))
"),"#DIV/0!")</f>
        <v>#DIV/0!</v>
      </c>
      <c r="K1506" s="7" t="e">
        <f t="shared" ca="1" si="27"/>
        <v>#DIV/0!</v>
      </c>
      <c r="L1506" s="20" t="e">
        <f t="shared" ca="1" si="28"/>
        <v>#DIV/0!</v>
      </c>
      <c r="M1506" s="21" t="e">
        <f t="shared" ca="1" si="29"/>
        <v>#DIV/0!</v>
      </c>
      <c r="N1506" s="20" t="str">
        <f ca="1">IFERROR(__xludf.DUMMYFUNCTION("IF(COUNTIFS($C$2:C1506, C1506, $A$2:A1506, ""&lt;="" &amp; A1506) &lt; 30, STDEV.P(FILTER($G$2:G1506, $C$2:C1506 = C1506)), STDEV.P(FILTER($G$2:G1506, $C$2:C1506 = C1506, $A$2:A1506 &gt;= A1506 - 30)))
"),"#DIV/0!")</f>
        <v>#DIV/0!</v>
      </c>
    </row>
    <row r="1507" spans="1:14" x14ac:dyDescent="0.2">
      <c r="A1507" s="41"/>
      <c r="B1507" s="40"/>
      <c r="C1507" s="40"/>
      <c r="D1507" s="31"/>
      <c r="E1507" s="31"/>
      <c r="F1507" s="31"/>
      <c r="G1507" s="19" t="e">
        <f t="shared" si="25"/>
        <v>#DIV/0!</v>
      </c>
      <c r="H1507" s="20" t="str">
        <f ca="1">IFERROR(__xludf.DUMMYFUNCTION("IF(COUNTIFS($C$2:C1507, C1507, $A$2:A1507, ""&lt;="" &amp; A1507) &lt; 30, AVERAGEIF($C$2:C1507, C1507, $G$2:G1507), AVERAGE(FILTER($G$2:G1507, $C$2:C1507 = C1507, $A$2:A1507 &gt;= A1507 - 30)))
"),"#DIV/0!")</f>
        <v>#DIV/0!</v>
      </c>
      <c r="I1507" s="20" t="e">
        <f t="shared" ca="1" si="26"/>
        <v>#DIV/0!</v>
      </c>
      <c r="J1507" s="20" t="str">
        <f ca="1">IFERROR(__xludf.DUMMYFUNCTION("IF(OR($I1507=2, $I1507=3), 0, IFERROR(COUNTIFS($C$2:C1507, $C1507, $A$2:A1507, ""&gt;""&amp;IFERROR(MAX(FILTER($A$2:A1507, $C$2:C1507=$C1507, $I$2:I1507&lt;&gt;1)), 0), $I$2:I1507, 1),1))
"),"#DIV/0!")</f>
        <v>#DIV/0!</v>
      </c>
      <c r="K1507" s="7" t="e">
        <f t="shared" ca="1" si="27"/>
        <v>#DIV/0!</v>
      </c>
      <c r="L1507" s="20" t="e">
        <f t="shared" ca="1" si="28"/>
        <v>#DIV/0!</v>
      </c>
      <c r="M1507" s="21" t="e">
        <f t="shared" ca="1" si="29"/>
        <v>#DIV/0!</v>
      </c>
      <c r="N1507" s="20" t="str">
        <f ca="1">IFERROR(__xludf.DUMMYFUNCTION("IF(COUNTIFS($C$2:C1507, C1507, $A$2:A1507, ""&lt;="" &amp; A1507) &lt; 30, STDEV.P(FILTER($G$2:G1507, $C$2:C1507 = C1507)), STDEV.P(FILTER($G$2:G1507, $C$2:C1507 = C1507, $A$2:A1507 &gt;= A1507 - 30)))
"),"#DIV/0!")</f>
        <v>#DIV/0!</v>
      </c>
    </row>
    <row r="1508" spans="1:14" x14ac:dyDescent="0.2">
      <c r="A1508" s="41"/>
      <c r="B1508" s="40"/>
      <c r="C1508" s="40"/>
      <c r="D1508" s="31"/>
      <c r="E1508" s="31"/>
      <c r="F1508" s="31"/>
      <c r="G1508" s="19" t="e">
        <f t="shared" si="25"/>
        <v>#DIV/0!</v>
      </c>
      <c r="H1508" s="20" t="str">
        <f ca="1">IFERROR(__xludf.DUMMYFUNCTION("IF(COUNTIFS($C$2:C1508, C1508, $A$2:A1508, ""&lt;="" &amp; A1508) &lt; 30, AVERAGEIF($C$2:C1508, C1508, $G$2:G1508), AVERAGE(FILTER($G$2:G1508, $C$2:C1508 = C1508, $A$2:A1508 &gt;= A1508 - 30)))
"),"#DIV/0!")</f>
        <v>#DIV/0!</v>
      </c>
      <c r="I1508" s="20" t="e">
        <f t="shared" ca="1" si="26"/>
        <v>#DIV/0!</v>
      </c>
      <c r="J1508" s="20" t="str">
        <f ca="1">IFERROR(__xludf.DUMMYFUNCTION("IF(OR($I1508=2, $I1508=3), 0, IFERROR(COUNTIFS($C$2:C1508, $C1508, $A$2:A1508, ""&gt;""&amp;IFERROR(MAX(FILTER($A$2:A1508, $C$2:C1508=$C1508, $I$2:I1508&lt;&gt;1)), 0), $I$2:I1508, 1),1))
"),"#DIV/0!")</f>
        <v>#DIV/0!</v>
      </c>
      <c r="K1508" s="7" t="e">
        <f t="shared" ca="1" si="27"/>
        <v>#DIV/0!</v>
      </c>
      <c r="L1508" s="20" t="e">
        <f t="shared" ca="1" si="28"/>
        <v>#DIV/0!</v>
      </c>
      <c r="M1508" s="21" t="e">
        <f t="shared" ca="1" si="29"/>
        <v>#DIV/0!</v>
      </c>
      <c r="N1508" s="20" t="str">
        <f ca="1">IFERROR(__xludf.DUMMYFUNCTION("IF(COUNTIFS($C$2:C1508, C1508, $A$2:A1508, ""&lt;="" &amp; A1508) &lt; 30, STDEV.P(FILTER($G$2:G1508, $C$2:C1508 = C1508)), STDEV.P(FILTER($G$2:G1508, $C$2:C1508 = C1508, $A$2:A1508 &gt;= A1508 - 30)))
"),"#DIV/0!")</f>
        <v>#DIV/0!</v>
      </c>
    </row>
    <row r="1509" spans="1:14" x14ac:dyDescent="0.2">
      <c r="A1509" s="41"/>
      <c r="B1509" s="40"/>
      <c r="C1509" s="40"/>
      <c r="D1509" s="31"/>
      <c r="E1509" s="31"/>
      <c r="F1509" s="31"/>
      <c r="G1509" s="19" t="e">
        <f t="shared" si="25"/>
        <v>#DIV/0!</v>
      </c>
      <c r="H1509" s="20" t="str">
        <f ca="1">IFERROR(__xludf.DUMMYFUNCTION("IF(COUNTIFS($C$2:C1509, C1509, $A$2:A1509, ""&lt;="" &amp; A1509) &lt; 30, AVERAGEIF($C$2:C1509, C1509, $G$2:G1509), AVERAGE(FILTER($G$2:G1509, $C$2:C1509 = C1509, $A$2:A1509 &gt;= A1509 - 30)))
"),"#DIV/0!")</f>
        <v>#DIV/0!</v>
      </c>
      <c r="I1509" s="20" t="e">
        <f t="shared" ca="1" si="26"/>
        <v>#DIV/0!</v>
      </c>
      <c r="J1509" s="20" t="str">
        <f ca="1">IFERROR(__xludf.DUMMYFUNCTION("IF(OR($I1509=2, $I1509=3), 0, IFERROR(COUNTIFS($C$2:C1509, $C1509, $A$2:A1509, ""&gt;""&amp;IFERROR(MAX(FILTER($A$2:A1509, $C$2:C1509=$C1509, $I$2:I1509&lt;&gt;1)), 0), $I$2:I1509, 1),1))
"),"#DIV/0!")</f>
        <v>#DIV/0!</v>
      </c>
      <c r="K1509" s="7" t="e">
        <f t="shared" ca="1" si="27"/>
        <v>#DIV/0!</v>
      </c>
      <c r="L1509" s="20" t="e">
        <f t="shared" ca="1" si="28"/>
        <v>#DIV/0!</v>
      </c>
      <c r="M1509" s="21" t="e">
        <f t="shared" ca="1" si="29"/>
        <v>#DIV/0!</v>
      </c>
      <c r="N1509" s="20" t="str">
        <f ca="1">IFERROR(__xludf.DUMMYFUNCTION("IF(COUNTIFS($C$2:C1509, C1509, $A$2:A1509, ""&lt;="" &amp; A1509) &lt; 30, STDEV.P(FILTER($G$2:G1509, $C$2:C1509 = C1509)), STDEV.P(FILTER($G$2:G1509, $C$2:C1509 = C1509, $A$2:A1509 &gt;= A1509 - 30)))
"),"#DIV/0!")</f>
        <v>#DIV/0!</v>
      </c>
    </row>
    <row r="1510" spans="1:14" x14ac:dyDescent="0.2">
      <c r="A1510" s="41"/>
      <c r="B1510" s="40"/>
      <c r="C1510" s="40"/>
      <c r="D1510" s="31"/>
      <c r="E1510" s="31"/>
      <c r="F1510" s="31"/>
      <c r="G1510" s="19" t="e">
        <f t="shared" si="25"/>
        <v>#DIV/0!</v>
      </c>
      <c r="H1510" s="20" t="str">
        <f ca="1">IFERROR(__xludf.DUMMYFUNCTION("IF(COUNTIFS($C$2:C1510, C1510, $A$2:A1510, ""&lt;="" &amp; A1510) &lt; 30, AVERAGEIF($C$2:C1510, C1510, $G$2:G1510), AVERAGE(FILTER($G$2:G1510, $C$2:C1510 = C1510, $A$2:A1510 &gt;= A1510 - 30)))
"),"#DIV/0!")</f>
        <v>#DIV/0!</v>
      </c>
      <c r="I1510" s="20" t="e">
        <f t="shared" ca="1" si="26"/>
        <v>#DIV/0!</v>
      </c>
      <c r="J1510" s="20" t="str">
        <f ca="1">IFERROR(__xludf.DUMMYFUNCTION("IF(OR($I1510=2, $I1510=3), 0, IFERROR(COUNTIFS($C$2:C1510, $C1510, $A$2:A1510, ""&gt;""&amp;IFERROR(MAX(FILTER($A$2:A1510, $C$2:C1510=$C1510, $I$2:I1510&lt;&gt;1)), 0), $I$2:I1510, 1),1))
"),"#DIV/0!")</f>
        <v>#DIV/0!</v>
      </c>
      <c r="K1510" s="7" t="e">
        <f t="shared" ca="1" si="27"/>
        <v>#DIV/0!</v>
      </c>
      <c r="L1510" s="20" t="e">
        <f t="shared" ca="1" si="28"/>
        <v>#DIV/0!</v>
      </c>
      <c r="M1510" s="21" t="e">
        <f t="shared" ca="1" si="29"/>
        <v>#DIV/0!</v>
      </c>
      <c r="N1510" s="20" t="str">
        <f ca="1">IFERROR(__xludf.DUMMYFUNCTION("IF(COUNTIFS($C$2:C1510, C1510, $A$2:A1510, ""&lt;="" &amp; A1510) &lt; 30, STDEV.P(FILTER($G$2:G1510, $C$2:C1510 = C1510)), STDEV.P(FILTER($G$2:G1510, $C$2:C1510 = C1510, $A$2:A1510 &gt;= A1510 - 30)))
"),"#DIV/0!")</f>
        <v>#DIV/0!</v>
      </c>
    </row>
    <row r="1511" spans="1:14" x14ac:dyDescent="0.2">
      <c r="A1511" s="41"/>
      <c r="B1511" s="40"/>
      <c r="C1511" s="40"/>
      <c r="D1511" s="31"/>
      <c r="E1511" s="31"/>
      <c r="F1511" s="31"/>
      <c r="G1511" s="19" t="e">
        <f t="shared" si="25"/>
        <v>#DIV/0!</v>
      </c>
      <c r="H1511" s="20" t="str">
        <f ca="1">IFERROR(__xludf.DUMMYFUNCTION("IF(COUNTIFS($C$2:C1511, C1511, $A$2:A1511, ""&lt;="" &amp; A1511) &lt; 30, AVERAGEIF($C$2:C1511, C1511, $G$2:G1511), AVERAGE(FILTER($G$2:G1511, $C$2:C1511 = C1511, $A$2:A1511 &gt;= A1511 - 30)))
"),"#DIV/0!")</f>
        <v>#DIV/0!</v>
      </c>
      <c r="I1511" s="20" t="e">
        <f t="shared" ca="1" si="26"/>
        <v>#DIV/0!</v>
      </c>
      <c r="J1511" s="20" t="str">
        <f ca="1">IFERROR(__xludf.DUMMYFUNCTION("IF(OR($I1511=2, $I1511=3), 0, IFERROR(COUNTIFS($C$2:C1511, $C1511, $A$2:A1511, ""&gt;""&amp;IFERROR(MAX(FILTER($A$2:A1511, $C$2:C1511=$C1511, $I$2:I1511&lt;&gt;1)), 0), $I$2:I1511, 1),1))
"),"#DIV/0!")</f>
        <v>#DIV/0!</v>
      </c>
      <c r="K1511" s="7" t="e">
        <f t="shared" ca="1" si="27"/>
        <v>#DIV/0!</v>
      </c>
      <c r="L1511" s="20" t="e">
        <f t="shared" ca="1" si="28"/>
        <v>#DIV/0!</v>
      </c>
      <c r="M1511" s="21" t="e">
        <f t="shared" ca="1" si="29"/>
        <v>#DIV/0!</v>
      </c>
      <c r="N1511" s="20" t="str">
        <f ca="1">IFERROR(__xludf.DUMMYFUNCTION("IF(COUNTIFS($C$2:C1511, C1511, $A$2:A1511, ""&lt;="" &amp; A1511) &lt; 30, STDEV.P(FILTER($G$2:G1511, $C$2:C1511 = C1511)), STDEV.P(FILTER($G$2:G1511, $C$2:C1511 = C1511, $A$2:A1511 &gt;= A1511 - 30)))
"),"#DIV/0!")</f>
        <v>#DIV/0!</v>
      </c>
    </row>
    <row r="1512" spans="1:14" x14ac:dyDescent="0.2">
      <c r="A1512" s="41"/>
      <c r="B1512" s="40"/>
      <c r="C1512" s="40"/>
      <c r="D1512" s="31"/>
      <c r="E1512" s="31"/>
      <c r="F1512" s="31"/>
      <c r="G1512" s="19" t="e">
        <f t="shared" si="25"/>
        <v>#DIV/0!</v>
      </c>
      <c r="H1512" s="20" t="str">
        <f ca="1">IFERROR(__xludf.DUMMYFUNCTION("IF(COUNTIFS($C$2:C1512, C1512, $A$2:A1512, ""&lt;="" &amp; A1512) &lt; 30, AVERAGEIF($C$2:C1512, C1512, $G$2:G1512), AVERAGE(FILTER($G$2:G1512, $C$2:C1512 = C1512, $A$2:A1512 &gt;= A1512 - 30)))
"),"#DIV/0!")</f>
        <v>#DIV/0!</v>
      </c>
      <c r="I1512" s="20" t="e">
        <f t="shared" ca="1" si="26"/>
        <v>#DIV/0!</v>
      </c>
      <c r="J1512" s="20" t="str">
        <f ca="1">IFERROR(__xludf.DUMMYFUNCTION("IF(OR($I1512=2, $I1512=3), 0, IFERROR(COUNTIFS($C$2:C1512, $C1512, $A$2:A1512, ""&gt;""&amp;IFERROR(MAX(FILTER($A$2:A1512, $C$2:C1512=$C1512, $I$2:I1512&lt;&gt;1)), 0), $I$2:I1512, 1),1))
"),"#DIV/0!")</f>
        <v>#DIV/0!</v>
      </c>
      <c r="K1512" s="7" t="e">
        <f t="shared" ca="1" si="27"/>
        <v>#DIV/0!</v>
      </c>
      <c r="L1512" s="20" t="e">
        <f t="shared" ca="1" si="28"/>
        <v>#DIV/0!</v>
      </c>
      <c r="M1512" s="21" t="e">
        <f t="shared" ca="1" si="29"/>
        <v>#DIV/0!</v>
      </c>
      <c r="N1512" s="20" t="str">
        <f ca="1">IFERROR(__xludf.DUMMYFUNCTION("IF(COUNTIFS($C$2:C1512, C1512, $A$2:A1512, ""&lt;="" &amp; A1512) &lt; 30, STDEV.P(FILTER($G$2:G1512, $C$2:C1512 = C1512)), STDEV.P(FILTER($G$2:G1512, $C$2:C1512 = C1512, $A$2:A1512 &gt;= A1512 - 30)))
"),"#DIV/0!")</f>
        <v>#DIV/0!</v>
      </c>
    </row>
    <row r="1513" spans="1:14" x14ac:dyDescent="0.2">
      <c r="A1513" s="41"/>
      <c r="B1513" s="40"/>
      <c r="C1513" s="40"/>
      <c r="D1513" s="31"/>
      <c r="E1513" s="31"/>
      <c r="F1513" s="31"/>
      <c r="G1513" s="19" t="e">
        <f t="shared" si="25"/>
        <v>#DIV/0!</v>
      </c>
      <c r="H1513" s="20" t="str">
        <f ca="1">IFERROR(__xludf.DUMMYFUNCTION("IF(COUNTIFS($C$2:C1513, C1513, $A$2:A1513, ""&lt;="" &amp; A1513) &lt; 30, AVERAGEIF($C$2:C1513, C1513, $G$2:G1513), AVERAGE(FILTER($G$2:G1513, $C$2:C1513 = C1513, $A$2:A1513 &gt;= A1513 - 30)))
"),"#DIV/0!")</f>
        <v>#DIV/0!</v>
      </c>
      <c r="I1513" s="20" t="e">
        <f t="shared" ca="1" si="26"/>
        <v>#DIV/0!</v>
      </c>
      <c r="J1513" s="20" t="str">
        <f ca="1">IFERROR(__xludf.DUMMYFUNCTION("IF(OR($I1513=2, $I1513=3), 0, IFERROR(COUNTIFS($C$2:C1513, $C1513, $A$2:A1513, ""&gt;""&amp;IFERROR(MAX(FILTER($A$2:A1513, $C$2:C1513=$C1513, $I$2:I1513&lt;&gt;1)), 0), $I$2:I1513, 1),1))
"),"#DIV/0!")</f>
        <v>#DIV/0!</v>
      </c>
      <c r="K1513" s="7" t="e">
        <f t="shared" ca="1" si="27"/>
        <v>#DIV/0!</v>
      </c>
      <c r="L1513" s="20" t="e">
        <f t="shared" ca="1" si="28"/>
        <v>#DIV/0!</v>
      </c>
      <c r="M1513" s="21" t="e">
        <f t="shared" ca="1" si="29"/>
        <v>#DIV/0!</v>
      </c>
      <c r="N1513" s="20" t="str">
        <f ca="1">IFERROR(__xludf.DUMMYFUNCTION("IF(COUNTIFS($C$2:C1513, C1513, $A$2:A1513, ""&lt;="" &amp; A1513) &lt; 30, STDEV.P(FILTER($G$2:G1513, $C$2:C1513 = C1513)), STDEV.P(FILTER($G$2:G1513, $C$2:C1513 = C1513, $A$2:A1513 &gt;= A1513 - 30)))
"),"#DIV/0!")</f>
        <v>#DIV/0!</v>
      </c>
    </row>
    <row r="1514" spans="1:14" x14ac:dyDescent="0.2">
      <c r="A1514" s="41"/>
      <c r="B1514" s="40"/>
      <c r="C1514" s="40"/>
      <c r="D1514" s="31"/>
      <c r="E1514" s="31"/>
      <c r="F1514" s="31"/>
      <c r="G1514" s="19" t="e">
        <f t="shared" si="25"/>
        <v>#DIV/0!</v>
      </c>
      <c r="H1514" s="20" t="str">
        <f ca="1">IFERROR(__xludf.DUMMYFUNCTION("IF(COUNTIFS($C$2:C1514, C1514, $A$2:A1514, ""&lt;="" &amp; A1514) &lt; 30, AVERAGEIF($C$2:C1514, C1514, $G$2:G1514), AVERAGE(FILTER($G$2:G1514, $C$2:C1514 = C1514, $A$2:A1514 &gt;= A1514 - 30)))
"),"#DIV/0!")</f>
        <v>#DIV/0!</v>
      </c>
      <c r="I1514" s="20" t="e">
        <f t="shared" ca="1" si="26"/>
        <v>#DIV/0!</v>
      </c>
      <c r="J1514" s="20" t="str">
        <f ca="1">IFERROR(__xludf.DUMMYFUNCTION("IF(OR($I1514=2, $I1514=3), 0, IFERROR(COUNTIFS($C$2:C1514, $C1514, $A$2:A1514, ""&gt;""&amp;IFERROR(MAX(FILTER($A$2:A1514, $C$2:C1514=$C1514, $I$2:I1514&lt;&gt;1)), 0), $I$2:I1514, 1),1))
"),"#DIV/0!")</f>
        <v>#DIV/0!</v>
      </c>
      <c r="K1514" s="7" t="e">
        <f t="shared" ca="1" si="27"/>
        <v>#DIV/0!</v>
      </c>
      <c r="L1514" s="20" t="e">
        <f t="shared" ca="1" si="28"/>
        <v>#DIV/0!</v>
      </c>
      <c r="M1514" s="21" t="e">
        <f t="shared" ca="1" si="29"/>
        <v>#DIV/0!</v>
      </c>
      <c r="N1514" s="20" t="str">
        <f ca="1">IFERROR(__xludf.DUMMYFUNCTION("IF(COUNTIFS($C$2:C1514, C1514, $A$2:A1514, ""&lt;="" &amp; A1514) &lt; 30, STDEV.P(FILTER($G$2:G1514, $C$2:C1514 = C1514)), STDEV.P(FILTER($G$2:G1514, $C$2:C1514 = C1514, $A$2:A1514 &gt;= A1514 - 30)))
"),"#DIV/0!")</f>
        <v>#DIV/0!</v>
      </c>
    </row>
    <row r="1515" spans="1:14" x14ac:dyDescent="0.2">
      <c r="A1515" s="41"/>
      <c r="B1515" s="40"/>
      <c r="C1515" s="40"/>
      <c r="D1515" s="31"/>
      <c r="E1515" s="31"/>
      <c r="F1515" s="31"/>
      <c r="G1515" s="19" t="e">
        <f t="shared" si="25"/>
        <v>#DIV/0!</v>
      </c>
      <c r="H1515" s="20" t="str">
        <f ca="1">IFERROR(__xludf.DUMMYFUNCTION("IF(COUNTIFS($C$2:C1515, C1515, $A$2:A1515, ""&lt;="" &amp; A1515) &lt; 30, AVERAGEIF($C$2:C1515, C1515, $G$2:G1515), AVERAGE(FILTER($G$2:G1515, $C$2:C1515 = C1515, $A$2:A1515 &gt;= A1515 - 30)))
"),"#DIV/0!")</f>
        <v>#DIV/0!</v>
      </c>
      <c r="I1515" s="20" t="e">
        <f t="shared" ca="1" si="26"/>
        <v>#DIV/0!</v>
      </c>
      <c r="J1515" s="20" t="str">
        <f ca="1">IFERROR(__xludf.DUMMYFUNCTION("IF(OR($I1515=2, $I1515=3), 0, IFERROR(COUNTIFS($C$2:C1515, $C1515, $A$2:A1515, ""&gt;""&amp;IFERROR(MAX(FILTER($A$2:A1515, $C$2:C1515=$C1515, $I$2:I1515&lt;&gt;1)), 0), $I$2:I1515, 1),1))
"),"#DIV/0!")</f>
        <v>#DIV/0!</v>
      </c>
      <c r="K1515" s="7" t="e">
        <f t="shared" ca="1" si="27"/>
        <v>#DIV/0!</v>
      </c>
      <c r="L1515" s="20" t="e">
        <f t="shared" ca="1" si="28"/>
        <v>#DIV/0!</v>
      </c>
      <c r="M1515" s="21" t="e">
        <f t="shared" ca="1" si="29"/>
        <v>#DIV/0!</v>
      </c>
      <c r="N1515" s="20" t="str">
        <f ca="1">IFERROR(__xludf.DUMMYFUNCTION("IF(COUNTIFS($C$2:C1515, C1515, $A$2:A1515, ""&lt;="" &amp; A1515) &lt; 30, STDEV.P(FILTER($G$2:G1515, $C$2:C1515 = C1515)), STDEV.P(FILTER($G$2:G1515, $C$2:C1515 = C1515, $A$2:A1515 &gt;= A1515 - 30)))
"),"#DIV/0!")</f>
        <v>#DIV/0!</v>
      </c>
    </row>
    <row r="1516" spans="1:14" x14ac:dyDescent="0.2">
      <c r="A1516" s="41"/>
      <c r="B1516" s="40"/>
      <c r="C1516" s="40"/>
      <c r="D1516" s="31"/>
      <c r="E1516" s="31"/>
      <c r="F1516" s="31"/>
      <c r="G1516" s="19" t="e">
        <f t="shared" si="25"/>
        <v>#DIV/0!</v>
      </c>
      <c r="H1516" s="20" t="str">
        <f ca="1">IFERROR(__xludf.DUMMYFUNCTION("IF(COUNTIFS($C$2:C1516, C1516, $A$2:A1516, ""&lt;="" &amp; A1516) &lt; 30, AVERAGEIF($C$2:C1516, C1516, $G$2:G1516), AVERAGE(FILTER($G$2:G1516, $C$2:C1516 = C1516, $A$2:A1516 &gt;= A1516 - 30)))
"),"#DIV/0!")</f>
        <v>#DIV/0!</v>
      </c>
      <c r="I1516" s="20" t="e">
        <f t="shared" ca="1" si="26"/>
        <v>#DIV/0!</v>
      </c>
      <c r="J1516" s="20" t="str">
        <f ca="1">IFERROR(__xludf.DUMMYFUNCTION("IF(OR($I1516=2, $I1516=3), 0, IFERROR(COUNTIFS($C$2:C1516, $C1516, $A$2:A1516, ""&gt;""&amp;IFERROR(MAX(FILTER($A$2:A1516, $C$2:C1516=$C1516, $I$2:I1516&lt;&gt;1)), 0), $I$2:I1516, 1),1))
"),"#DIV/0!")</f>
        <v>#DIV/0!</v>
      </c>
      <c r="K1516" s="7" t="e">
        <f t="shared" ca="1" si="27"/>
        <v>#DIV/0!</v>
      </c>
      <c r="L1516" s="20" t="e">
        <f t="shared" ca="1" si="28"/>
        <v>#DIV/0!</v>
      </c>
      <c r="M1516" s="21" t="e">
        <f t="shared" ca="1" si="29"/>
        <v>#DIV/0!</v>
      </c>
      <c r="N1516" s="20" t="str">
        <f ca="1">IFERROR(__xludf.DUMMYFUNCTION("IF(COUNTIFS($C$2:C1516, C1516, $A$2:A1516, ""&lt;="" &amp; A1516) &lt; 30, STDEV.P(FILTER($G$2:G1516, $C$2:C1516 = C1516)), STDEV.P(FILTER($G$2:G1516, $C$2:C1516 = C1516, $A$2:A1516 &gt;= A1516 - 30)))
"),"#DIV/0!")</f>
        <v>#DIV/0!</v>
      </c>
    </row>
    <row r="1517" spans="1:14" x14ac:dyDescent="0.2">
      <c r="A1517" s="41"/>
      <c r="B1517" s="40"/>
      <c r="C1517" s="40"/>
      <c r="D1517" s="31"/>
      <c r="E1517" s="31"/>
      <c r="F1517" s="31"/>
      <c r="G1517" s="19" t="e">
        <f t="shared" si="25"/>
        <v>#DIV/0!</v>
      </c>
      <c r="H1517" s="20" t="str">
        <f ca="1">IFERROR(__xludf.DUMMYFUNCTION("IF(COUNTIFS($C$2:C1517, C1517, $A$2:A1517, ""&lt;="" &amp; A1517) &lt; 30, AVERAGEIF($C$2:C1517, C1517, $G$2:G1517), AVERAGE(FILTER($G$2:G1517, $C$2:C1517 = C1517, $A$2:A1517 &gt;= A1517 - 30)))
"),"#DIV/0!")</f>
        <v>#DIV/0!</v>
      </c>
      <c r="I1517" s="20" t="e">
        <f t="shared" ca="1" si="26"/>
        <v>#DIV/0!</v>
      </c>
      <c r="J1517" s="20" t="str">
        <f ca="1">IFERROR(__xludf.DUMMYFUNCTION("IF(OR($I1517=2, $I1517=3), 0, IFERROR(COUNTIFS($C$2:C1517, $C1517, $A$2:A1517, ""&gt;""&amp;IFERROR(MAX(FILTER($A$2:A1517, $C$2:C1517=$C1517, $I$2:I1517&lt;&gt;1)), 0), $I$2:I1517, 1),1))
"),"#DIV/0!")</f>
        <v>#DIV/0!</v>
      </c>
      <c r="K1517" s="7" t="e">
        <f t="shared" ca="1" si="27"/>
        <v>#DIV/0!</v>
      </c>
      <c r="L1517" s="20" t="e">
        <f t="shared" ca="1" si="28"/>
        <v>#DIV/0!</v>
      </c>
      <c r="M1517" s="21" t="e">
        <f t="shared" ca="1" si="29"/>
        <v>#DIV/0!</v>
      </c>
      <c r="N1517" s="20" t="str">
        <f ca="1">IFERROR(__xludf.DUMMYFUNCTION("IF(COUNTIFS($C$2:C1517, C1517, $A$2:A1517, ""&lt;="" &amp; A1517) &lt; 30, STDEV.P(FILTER($G$2:G1517, $C$2:C1517 = C1517)), STDEV.P(FILTER($G$2:G1517, $C$2:C1517 = C1517, $A$2:A1517 &gt;= A1517 - 30)))
"),"#DIV/0!")</f>
        <v>#DIV/0!</v>
      </c>
    </row>
    <row r="1518" spans="1:14" x14ac:dyDescent="0.2">
      <c r="A1518" s="41"/>
      <c r="B1518" s="40"/>
      <c r="C1518" s="40"/>
      <c r="D1518" s="31"/>
      <c r="E1518" s="31"/>
      <c r="F1518" s="31"/>
      <c r="G1518" s="19" t="e">
        <f t="shared" si="25"/>
        <v>#DIV/0!</v>
      </c>
      <c r="H1518" s="20" t="str">
        <f ca="1">IFERROR(__xludf.DUMMYFUNCTION("IF(COUNTIFS($C$2:C1518, C1518, $A$2:A1518, ""&lt;="" &amp; A1518) &lt; 30, AVERAGEIF($C$2:C1518, C1518, $G$2:G1518), AVERAGE(FILTER($G$2:G1518, $C$2:C1518 = C1518, $A$2:A1518 &gt;= A1518 - 30)))
"),"#DIV/0!")</f>
        <v>#DIV/0!</v>
      </c>
      <c r="I1518" s="20" t="e">
        <f t="shared" ca="1" si="26"/>
        <v>#DIV/0!</v>
      </c>
      <c r="J1518" s="20" t="str">
        <f ca="1">IFERROR(__xludf.DUMMYFUNCTION("IF(OR($I1518=2, $I1518=3), 0, IFERROR(COUNTIFS($C$2:C1518, $C1518, $A$2:A1518, ""&gt;""&amp;IFERROR(MAX(FILTER($A$2:A1518, $C$2:C1518=$C1518, $I$2:I1518&lt;&gt;1)), 0), $I$2:I1518, 1),1))
"),"#DIV/0!")</f>
        <v>#DIV/0!</v>
      </c>
      <c r="K1518" s="7" t="e">
        <f t="shared" ca="1" si="27"/>
        <v>#DIV/0!</v>
      </c>
      <c r="L1518" s="20" t="e">
        <f t="shared" ca="1" si="28"/>
        <v>#DIV/0!</v>
      </c>
      <c r="M1518" s="21" t="e">
        <f t="shared" ca="1" si="29"/>
        <v>#DIV/0!</v>
      </c>
      <c r="N1518" s="20" t="str">
        <f ca="1">IFERROR(__xludf.DUMMYFUNCTION("IF(COUNTIFS($C$2:C1518, C1518, $A$2:A1518, ""&lt;="" &amp; A1518) &lt; 30, STDEV.P(FILTER($G$2:G1518, $C$2:C1518 = C1518)), STDEV.P(FILTER($G$2:G1518, $C$2:C1518 = C1518, $A$2:A1518 &gt;= A1518 - 30)))
"),"#DIV/0!")</f>
        <v>#DIV/0!</v>
      </c>
    </row>
    <row r="1519" spans="1:14" x14ac:dyDescent="0.2">
      <c r="A1519" s="41"/>
      <c r="B1519" s="40"/>
      <c r="C1519" s="40"/>
      <c r="D1519" s="31"/>
      <c r="E1519" s="31"/>
      <c r="F1519" s="31"/>
      <c r="G1519" s="19" t="e">
        <f t="shared" si="25"/>
        <v>#DIV/0!</v>
      </c>
      <c r="H1519" s="20" t="str">
        <f ca="1">IFERROR(__xludf.DUMMYFUNCTION("IF(COUNTIFS($C$2:C1519, C1519, $A$2:A1519, ""&lt;="" &amp; A1519) &lt; 30, AVERAGEIF($C$2:C1519, C1519, $G$2:G1519), AVERAGE(FILTER($G$2:G1519, $C$2:C1519 = C1519, $A$2:A1519 &gt;= A1519 - 30)))
"),"#DIV/0!")</f>
        <v>#DIV/0!</v>
      </c>
      <c r="I1519" s="20" t="e">
        <f t="shared" ca="1" si="26"/>
        <v>#DIV/0!</v>
      </c>
      <c r="J1519" s="20" t="str">
        <f ca="1">IFERROR(__xludf.DUMMYFUNCTION("IF(OR($I1519=2, $I1519=3), 0, IFERROR(COUNTIFS($C$2:C1519, $C1519, $A$2:A1519, ""&gt;""&amp;IFERROR(MAX(FILTER($A$2:A1519, $C$2:C1519=$C1519, $I$2:I1519&lt;&gt;1)), 0), $I$2:I1519, 1),1))
"),"#DIV/0!")</f>
        <v>#DIV/0!</v>
      </c>
      <c r="K1519" s="7" t="e">
        <f t="shared" ca="1" si="27"/>
        <v>#DIV/0!</v>
      </c>
      <c r="L1519" s="20" t="e">
        <f t="shared" ca="1" si="28"/>
        <v>#DIV/0!</v>
      </c>
      <c r="M1519" s="21" t="e">
        <f t="shared" ca="1" si="29"/>
        <v>#DIV/0!</v>
      </c>
      <c r="N1519" s="20" t="str">
        <f ca="1">IFERROR(__xludf.DUMMYFUNCTION("IF(COUNTIFS($C$2:C1519, C1519, $A$2:A1519, ""&lt;="" &amp; A1519) &lt; 30, STDEV.P(FILTER($G$2:G1519, $C$2:C1519 = C1519)), STDEV.P(FILTER($G$2:G1519, $C$2:C1519 = C1519, $A$2:A1519 &gt;= A1519 - 30)))
"),"#DIV/0!")</f>
        <v>#DIV/0!</v>
      </c>
    </row>
    <row r="1520" spans="1:14" x14ac:dyDescent="0.2">
      <c r="A1520" s="41"/>
      <c r="B1520" s="40"/>
      <c r="C1520" s="40"/>
      <c r="D1520" s="31"/>
      <c r="E1520" s="31"/>
      <c r="F1520" s="31"/>
      <c r="G1520" s="19" t="e">
        <f t="shared" si="25"/>
        <v>#DIV/0!</v>
      </c>
      <c r="H1520" s="20" t="str">
        <f ca="1">IFERROR(__xludf.DUMMYFUNCTION("IF(COUNTIFS($C$2:C1520, C1520, $A$2:A1520, ""&lt;="" &amp; A1520) &lt; 30, AVERAGEIF($C$2:C1520, C1520, $G$2:G1520), AVERAGE(FILTER($G$2:G1520, $C$2:C1520 = C1520, $A$2:A1520 &gt;= A1520 - 30)))
"),"#DIV/0!")</f>
        <v>#DIV/0!</v>
      </c>
      <c r="I1520" s="20" t="e">
        <f t="shared" ca="1" si="26"/>
        <v>#DIV/0!</v>
      </c>
      <c r="J1520" s="20" t="str">
        <f ca="1">IFERROR(__xludf.DUMMYFUNCTION("IF(OR($I1520=2, $I1520=3), 0, IFERROR(COUNTIFS($C$2:C1520, $C1520, $A$2:A1520, ""&gt;""&amp;IFERROR(MAX(FILTER($A$2:A1520, $C$2:C1520=$C1520, $I$2:I1520&lt;&gt;1)), 0), $I$2:I1520, 1),1))
"),"#DIV/0!")</f>
        <v>#DIV/0!</v>
      </c>
      <c r="K1520" s="7" t="e">
        <f t="shared" ca="1" si="27"/>
        <v>#DIV/0!</v>
      </c>
      <c r="L1520" s="20" t="e">
        <f t="shared" ca="1" si="28"/>
        <v>#DIV/0!</v>
      </c>
      <c r="M1520" s="21" t="e">
        <f t="shared" ca="1" si="29"/>
        <v>#DIV/0!</v>
      </c>
      <c r="N1520" s="20" t="str">
        <f ca="1">IFERROR(__xludf.DUMMYFUNCTION("IF(COUNTIFS($C$2:C1520, C1520, $A$2:A1520, ""&lt;="" &amp; A1520) &lt; 30, STDEV.P(FILTER($G$2:G1520, $C$2:C1520 = C1520)), STDEV.P(FILTER($G$2:G1520, $C$2:C1520 = C1520, $A$2:A1520 &gt;= A1520 - 30)))
"),"#DIV/0!")</f>
        <v>#DIV/0!</v>
      </c>
    </row>
    <row r="1521" spans="1:14" x14ac:dyDescent="0.2">
      <c r="A1521" s="41"/>
      <c r="B1521" s="40"/>
      <c r="C1521" s="40"/>
      <c r="D1521" s="31"/>
      <c r="E1521" s="31"/>
      <c r="F1521" s="31"/>
      <c r="G1521" s="19" t="e">
        <f t="shared" si="25"/>
        <v>#DIV/0!</v>
      </c>
      <c r="H1521" s="20" t="str">
        <f ca="1">IFERROR(__xludf.DUMMYFUNCTION("IF(COUNTIFS($C$2:C1521, C1521, $A$2:A1521, ""&lt;="" &amp; A1521) &lt; 30, AVERAGEIF($C$2:C1521, C1521, $G$2:G1521), AVERAGE(FILTER($G$2:G1521, $C$2:C1521 = C1521, $A$2:A1521 &gt;= A1521 - 30)))
"),"#DIV/0!")</f>
        <v>#DIV/0!</v>
      </c>
      <c r="I1521" s="20" t="e">
        <f t="shared" ca="1" si="26"/>
        <v>#DIV/0!</v>
      </c>
      <c r="J1521" s="20" t="str">
        <f ca="1">IFERROR(__xludf.DUMMYFUNCTION("IF(OR($I1521=2, $I1521=3), 0, IFERROR(COUNTIFS($C$2:C1521, $C1521, $A$2:A1521, ""&gt;""&amp;IFERROR(MAX(FILTER($A$2:A1521, $C$2:C1521=$C1521, $I$2:I1521&lt;&gt;1)), 0), $I$2:I1521, 1),1))
"),"#DIV/0!")</f>
        <v>#DIV/0!</v>
      </c>
      <c r="K1521" s="7" t="e">
        <f t="shared" ca="1" si="27"/>
        <v>#DIV/0!</v>
      </c>
      <c r="L1521" s="20" t="e">
        <f t="shared" ca="1" si="28"/>
        <v>#DIV/0!</v>
      </c>
      <c r="M1521" s="21" t="e">
        <f t="shared" ca="1" si="29"/>
        <v>#DIV/0!</v>
      </c>
      <c r="N1521" s="20" t="str">
        <f ca="1">IFERROR(__xludf.DUMMYFUNCTION("IF(COUNTIFS($C$2:C1521, C1521, $A$2:A1521, ""&lt;="" &amp; A1521) &lt; 30, STDEV.P(FILTER($G$2:G1521, $C$2:C1521 = C1521)), STDEV.P(FILTER($G$2:G1521, $C$2:C1521 = C1521, $A$2:A1521 &gt;= A1521 - 30)))
"),"#DIV/0!")</f>
        <v>#DIV/0!</v>
      </c>
    </row>
    <row r="1522" spans="1:14" x14ac:dyDescent="0.2">
      <c r="A1522" s="41"/>
      <c r="B1522" s="40"/>
      <c r="C1522" s="40"/>
      <c r="D1522" s="31"/>
      <c r="E1522" s="31"/>
      <c r="F1522" s="31"/>
      <c r="G1522" s="19" t="e">
        <f t="shared" si="25"/>
        <v>#DIV/0!</v>
      </c>
      <c r="H1522" s="20" t="str">
        <f ca="1">IFERROR(__xludf.DUMMYFUNCTION("IF(COUNTIFS($C$2:C1522, C1522, $A$2:A1522, ""&lt;="" &amp; A1522) &lt; 30, AVERAGEIF($C$2:C1522, C1522, $G$2:G1522), AVERAGE(FILTER($G$2:G1522, $C$2:C1522 = C1522, $A$2:A1522 &gt;= A1522 - 30)))
"),"#DIV/0!")</f>
        <v>#DIV/0!</v>
      </c>
      <c r="I1522" s="20" t="e">
        <f t="shared" ca="1" si="26"/>
        <v>#DIV/0!</v>
      </c>
      <c r="J1522" s="20" t="str">
        <f ca="1">IFERROR(__xludf.DUMMYFUNCTION("IF(OR($I1522=2, $I1522=3), 0, IFERROR(COUNTIFS($C$2:C1522, $C1522, $A$2:A1522, ""&gt;""&amp;IFERROR(MAX(FILTER($A$2:A1522, $C$2:C1522=$C1522, $I$2:I1522&lt;&gt;1)), 0), $I$2:I1522, 1),1))
"),"#DIV/0!")</f>
        <v>#DIV/0!</v>
      </c>
      <c r="K1522" s="7" t="e">
        <f t="shared" ca="1" si="27"/>
        <v>#DIV/0!</v>
      </c>
      <c r="L1522" s="20" t="e">
        <f t="shared" ca="1" si="28"/>
        <v>#DIV/0!</v>
      </c>
      <c r="M1522" s="21" t="e">
        <f t="shared" ca="1" si="29"/>
        <v>#DIV/0!</v>
      </c>
      <c r="N1522" s="20" t="str">
        <f ca="1">IFERROR(__xludf.DUMMYFUNCTION("IF(COUNTIFS($C$2:C1522, C1522, $A$2:A1522, ""&lt;="" &amp; A1522) &lt; 30, STDEV.P(FILTER($G$2:G1522, $C$2:C1522 = C1522)), STDEV.P(FILTER($G$2:G1522, $C$2:C1522 = C1522, $A$2:A1522 &gt;= A1522 - 30)))
"),"#DIV/0!")</f>
        <v>#DIV/0!</v>
      </c>
    </row>
    <row r="1523" spans="1:14" x14ac:dyDescent="0.2">
      <c r="A1523" s="41"/>
      <c r="B1523" s="40"/>
      <c r="C1523" s="40"/>
      <c r="D1523" s="31"/>
      <c r="E1523" s="31"/>
      <c r="F1523" s="31"/>
      <c r="G1523" s="19" t="e">
        <f t="shared" si="25"/>
        <v>#DIV/0!</v>
      </c>
      <c r="H1523" s="20" t="str">
        <f ca="1">IFERROR(__xludf.DUMMYFUNCTION("IF(COUNTIFS($C$2:C1523, C1523, $A$2:A1523, ""&lt;="" &amp; A1523) &lt; 30, AVERAGEIF($C$2:C1523, C1523, $G$2:G1523), AVERAGE(FILTER($G$2:G1523, $C$2:C1523 = C1523, $A$2:A1523 &gt;= A1523 - 30)))
"),"#DIV/0!")</f>
        <v>#DIV/0!</v>
      </c>
      <c r="I1523" s="20" t="e">
        <f t="shared" ca="1" si="26"/>
        <v>#DIV/0!</v>
      </c>
      <c r="J1523" s="20" t="str">
        <f ca="1">IFERROR(__xludf.DUMMYFUNCTION("IF(OR($I1523=2, $I1523=3), 0, IFERROR(COUNTIFS($C$2:C1523, $C1523, $A$2:A1523, ""&gt;""&amp;IFERROR(MAX(FILTER($A$2:A1523, $C$2:C1523=$C1523, $I$2:I1523&lt;&gt;1)), 0), $I$2:I1523, 1),1))
"),"#DIV/0!")</f>
        <v>#DIV/0!</v>
      </c>
      <c r="K1523" s="7" t="e">
        <f t="shared" ca="1" si="27"/>
        <v>#DIV/0!</v>
      </c>
      <c r="L1523" s="20" t="e">
        <f t="shared" ca="1" si="28"/>
        <v>#DIV/0!</v>
      </c>
      <c r="M1523" s="21" t="e">
        <f t="shared" ca="1" si="29"/>
        <v>#DIV/0!</v>
      </c>
      <c r="N1523" s="20" t="str">
        <f ca="1">IFERROR(__xludf.DUMMYFUNCTION("IF(COUNTIFS($C$2:C1523, C1523, $A$2:A1523, ""&lt;="" &amp; A1523) &lt; 30, STDEV.P(FILTER($G$2:G1523, $C$2:C1523 = C1523)), STDEV.P(FILTER($G$2:G1523, $C$2:C1523 = C1523, $A$2:A1523 &gt;= A1523 - 30)))
"),"#DIV/0!")</f>
        <v>#DIV/0!</v>
      </c>
    </row>
    <row r="1524" spans="1:14" x14ac:dyDescent="0.2">
      <c r="A1524" s="41"/>
      <c r="B1524" s="40"/>
      <c r="C1524" s="40"/>
      <c r="D1524" s="31"/>
      <c r="E1524" s="31"/>
      <c r="F1524" s="31"/>
      <c r="G1524" s="19" t="e">
        <f t="shared" si="25"/>
        <v>#DIV/0!</v>
      </c>
      <c r="H1524" s="20" t="str">
        <f ca="1">IFERROR(__xludf.DUMMYFUNCTION("IF(COUNTIFS($C$2:C1524, C1524, $A$2:A1524, ""&lt;="" &amp; A1524) &lt; 30, AVERAGEIF($C$2:C1524, C1524, $G$2:G1524), AVERAGE(FILTER($G$2:G1524, $C$2:C1524 = C1524, $A$2:A1524 &gt;= A1524 - 30)))
"),"#DIV/0!")</f>
        <v>#DIV/0!</v>
      </c>
      <c r="I1524" s="20" t="e">
        <f t="shared" ca="1" si="26"/>
        <v>#DIV/0!</v>
      </c>
      <c r="J1524" s="20" t="str">
        <f ca="1">IFERROR(__xludf.DUMMYFUNCTION("IF(OR($I1524=2, $I1524=3), 0, IFERROR(COUNTIFS($C$2:C1524, $C1524, $A$2:A1524, ""&gt;""&amp;IFERROR(MAX(FILTER($A$2:A1524, $C$2:C1524=$C1524, $I$2:I1524&lt;&gt;1)), 0), $I$2:I1524, 1),1))
"),"#DIV/0!")</f>
        <v>#DIV/0!</v>
      </c>
      <c r="K1524" s="7" t="e">
        <f t="shared" ca="1" si="27"/>
        <v>#DIV/0!</v>
      </c>
      <c r="L1524" s="20" t="e">
        <f t="shared" ca="1" si="28"/>
        <v>#DIV/0!</v>
      </c>
      <c r="M1524" s="21" t="e">
        <f t="shared" ca="1" si="29"/>
        <v>#DIV/0!</v>
      </c>
      <c r="N1524" s="20" t="str">
        <f ca="1">IFERROR(__xludf.DUMMYFUNCTION("IF(COUNTIFS($C$2:C1524, C1524, $A$2:A1524, ""&lt;="" &amp; A1524) &lt; 30, STDEV.P(FILTER($G$2:G1524, $C$2:C1524 = C1524)), STDEV.P(FILTER($G$2:G1524, $C$2:C1524 = C1524, $A$2:A1524 &gt;= A1524 - 30)))
"),"#DIV/0!")</f>
        <v>#DIV/0!</v>
      </c>
    </row>
    <row r="1525" spans="1:14" x14ac:dyDescent="0.2">
      <c r="A1525" s="41"/>
      <c r="B1525" s="40"/>
      <c r="C1525" s="40"/>
      <c r="D1525" s="31"/>
      <c r="E1525" s="31"/>
      <c r="F1525" s="31"/>
      <c r="G1525" s="19" t="e">
        <f t="shared" si="25"/>
        <v>#DIV/0!</v>
      </c>
      <c r="H1525" s="20" t="str">
        <f ca="1">IFERROR(__xludf.DUMMYFUNCTION("IF(COUNTIFS($C$2:C1525, C1525, $A$2:A1525, ""&lt;="" &amp; A1525) &lt; 30, AVERAGEIF($C$2:C1525, C1525, $G$2:G1525), AVERAGE(FILTER($G$2:G1525, $C$2:C1525 = C1525, $A$2:A1525 &gt;= A1525 - 30)))
"),"#DIV/0!")</f>
        <v>#DIV/0!</v>
      </c>
      <c r="I1525" s="20" t="e">
        <f t="shared" ca="1" si="26"/>
        <v>#DIV/0!</v>
      </c>
      <c r="J1525" s="20" t="str">
        <f ca="1">IFERROR(__xludf.DUMMYFUNCTION("IF(OR($I1525=2, $I1525=3), 0, IFERROR(COUNTIFS($C$2:C1525, $C1525, $A$2:A1525, ""&gt;""&amp;IFERROR(MAX(FILTER($A$2:A1525, $C$2:C1525=$C1525, $I$2:I1525&lt;&gt;1)), 0), $I$2:I1525, 1),1))
"),"#DIV/0!")</f>
        <v>#DIV/0!</v>
      </c>
      <c r="K1525" s="7" t="e">
        <f t="shared" ca="1" si="27"/>
        <v>#DIV/0!</v>
      </c>
      <c r="L1525" s="20" t="e">
        <f t="shared" ca="1" si="28"/>
        <v>#DIV/0!</v>
      </c>
      <c r="M1525" s="21" t="e">
        <f t="shared" ca="1" si="29"/>
        <v>#DIV/0!</v>
      </c>
      <c r="N1525" s="20" t="str">
        <f ca="1">IFERROR(__xludf.DUMMYFUNCTION("IF(COUNTIFS($C$2:C1525, C1525, $A$2:A1525, ""&lt;="" &amp; A1525) &lt; 30, STDEV.P(FILTER($G$2:G1525, $C$2:C1525 = C1525)), STDEV.P(FILTER($G$2:G1525, $C$2:C1525 = C1525, $A$2:A1525 &gt;= A1525 - 30)))
"),"#DIV/0!")</f>
        <v>#DIV/0!</v>
      </c>
    </row>
    <row r="1526" spans="1:14" x14ac:dyDescent="0.2">
      <c r="A1526" s="41"/>
      <c r="B1526" s="40"/>
      <c r="C1526" s="40"/>
      <c r="D1526" s="31"/>
      <c r="E1526" s="31"/>
      <c r="F1526" s="31"/>
      <c r="G1526" s="19" t="e">
        <f t="shared" si="25"/>
        <v>#DIV/0!</v>
      </c>
      <c r="H1526" s="20" t="str">
        <f ca="1">IFERROR(__xludf.DUMMYFUNCTION("IF(COUNTIFS($C$2:C1526, C1526, $A$2:A1526, ""&lt;="" &amp; A1526) &lt; 30, AVERAGEIF($C$2:C1526, C1526, $G$2:G1526), AVERAGE(FILTER($G$2:G1526, $C$2:C1526 = C1526, $A$2:A1526 &gt;= A1526 - 30)))
"),"#DIV/0!")</f>
        <v>#DIV/0!</v>
      </c>
      <c r="I1526" s="20" t="e">
        <f t="shared" ca="1" si="26"/>
        <v>#DIV/0!</v>
      </c>
      <c r="J1526" s="20" t="str">
        <f ca="1">IFERROR(__xludf.DUMMYFUNCTION("IF(OR($I1526=2, $I1526=3), 0, IFERROR(COUNTIFS($C$2:C1526, $C1526, $A$2:A1526, ""&gt;""&amp;IFERROR(MAX(FILTER($A$2:A1526, $C$2:C1526=$C1526, $I$2:I1526&lt;&gt;1)), 0), $I$2:I1526, 1),1))
"),"#DIV/0!")</f>
        <v>#DIV/0!</v>
      </c>
      <c r="K1526" s="7" t="e">
        <f t="shared" ca="1" si="27"/>
        <v>#DIV/0!</v>
      </c>
      <c r="L1526" s="20" t="e">
        <f t="shared" ca="1" si="28"/>
        <v>#DIV/0!</v>
      </c>
      <c r="M1526" s="21" t="e">
        <f t="shared" ca="1" si="29"/>
        <v>#DIV/0!</v>
      </c>
      <c r="N1526" s="20" t="str">
        <f ca="1">IFERROR(__xludf.DUMMYFUNCTION("IF(COUNTIFS($C$2:C1526, C1526, $A$2:A1526, ""&lt;="" &amp; A1526) &lt; 30, STDEV.P(FILTER($G$2:G1526, $C$2:C1526 = C1526)), STDEV.P(FILTER($G$2:G1526, $C$2:C1526 = C1526, $A$2:A1526 &gt;= A1526 - 30)))
"),"#DIV/0!")</f>
        <v>#DIV/0!</v>
      </c>
    </row>
    <row r="1527" spans="1:14" x14ac:dyDescent="0.2">
      <c r="A1527" s="41"/>
      <c r="B1527" s="40"/>
      <c r="C1527" s="40"/>
      <c r="D1527" s="31"/>
      <c r="E1527" s="31"/>
      <c r="F1527" s="31"/>
      <c r="G1527" s="19" t="e">
        <f t="shared" si="25"/>
        <v>#DIV/0!</v>
      </c>
      <c r="H1527" s="20" t="str">
        <f ca="1">IFERROR(__xludf.DUMMYFUNCTION("IF(COUNTIFS($C$2:C1527, C1527, $A$2:A1527, ""&lt;="" &amp; A1527) &lt; 30, AVERAGEIF($C$2:C1527, C1527, $G$2:G1527), AVERAGE(FILTER($G$2:G1527, $C$2:C1527 = C1527, $A$2:A1527 &gt;= A1527 - 30)))
"),"#DIV/0!")</f>
        <v>#DIV/0!</v>
      </c>
      <c r="I1527" s="20" t="e">
        <f t="shared" ca="1" si="26"/>
        <v>#DIV/0!</v>
      </c>
      <c r="J1527" s="20" t="str">
        <f ca="1">IFERROR(__xludf.DUMMYFUNCTION("IF(OR($I1527=2, $I1527=3), 0, IFERROR(COUNTIFS($C$2:C1527, $C1527, $A$2:A1527, ""&gt;""&amp;IFERROR(MAX(FILTER($A$2:A1527, $C$2:C1527=$C1527, $I$2:I1527&lt;&gt;1)), 0), $I$2:I1527, 1),1))
"),"#DIV/0!")</f>
        <v>#DIV/0!</v>
      </c>
      <c r="K1527" s="7" t="e">
        <f t="shared" ca="1" si="27"/>
        <v>#DIV/0!</v>
      </c>
      <c r="L1527" s="20" t="e">
        <f t="shared" ca="1" si="28"/>
        <v>#DIV/0!</v>
      </c>
      <c r="M1527" s="21" t="e">
        <f t="shared" ca="1" si="29"/>
        <v>#DIV/0!</v>
      </c>
      <c r="N1527" s="20" t="str">
        <f ca="1">IFERROR(__xludf.DUMMYFUNCTION("IF(COUNTIFS($C$2:C1527, C1527, $A$2:A1527, ""&lt;="" &amp; A1527) &lt; 30, STDEV.P(FILTER($G$2:G1527, $C$2:C1527 = C1527)), STDEV.P(FILTER($G$2:G1527, $C$2:C1527 = C1527, $A$2:A1527 &gt;= A1527 - 30)))
"),"#DIV/0!")</f>
        <v>#DIV/0!</v>
      </c>
    </row>
    <row r="1528" spans="1:14" x14ac:dyDescent="0.2">
      <c r="A1528" s="41"/>
      <c r="B1528" s="40"/>
      <c r="C1528" s="40"/>
      <c r="D1528" s="31"/>
      <c r="E1528" s="31"/>
      <c r="F1528" s="31"/>
      <c r="G1528" s="19" t="e">
        <f t="shared" si="25"/>
        <v>#DIV/0!</v>
      </c>
      <c r="H1528" s="20" t="str">
        <f ca="1">IFERROR(__xludf.DUMMYFUNCTION("IF(COUNTIFS($C$2:C1528, C1528, $A$2:A1528, ""&lt;="" &amp; A1528) &lt; 30, AVERAGEIF($C$2:C1528, C1528, $G$2:G1528), AVERAGE(FILTER($G$2:G1528, $C$2:C1528 = C1528, $A$2:A1528 &gt;= A1528 - 30)))
"),"#DIV/0!")</f>
        <v>#DIV/0!</v>
      </c>
      <c r="I1528" s="20" t="e">
        <f t="shared" ca="1" si="26"/>
        <v>#DIV/0!</v>
      </c>
      <c r="J1528" s="20" t="str">
        <f ca="1">IFERROR(__xludf.DUMMYFUNCTION("IF(OR($I1528=2, $I1528=3), 0, IFERROR(COUNTIFS($C$2:C1528, $C1528, $A$2:A1528, ""&gt;""&amp;IFERROR(MAX(FILTER($A$2:A1528, $C$2:C1528=$C1528, $I$2:I1528&lt;&gt;1)), 0), $I$2:I1528, 1),1))
"),"#DIV/0!")</f>
        <v>#DIV/0!</v>
      </c>
      <c r="K1528" s="7" t="e">
        <f t="shared" ca="1" si="27"/>
        <v>#DIV/0!</v>
      </c>
      <c r="L1528" s="20" t="e">
        <f t="shared" ca="1" si="28"/>
        <v>#DIV/0!</v>
      </c>
      <c r="M1528" s="21" t="e">
        <f t="shared" ca="1" si="29"/>
        <v>#DIV/0!</v>
      </c>
      <c r="N1528" s="20" t="str">
        <f ca="1">IFERROR(__xludf.DUMMYFUNCTION("IF(COUNTIFS($C$2:C1528, C1528, $A$2:A1528, ""&lt;="" &amp; A1528) &lt; 30, STDEV.P(FILTER($G$2:G1528, $C$2:C1528 = C1528)), STDEV.P(FILTER($G$2:G1528, $C$2:C1528 = C1528, $A$2:A1528 &gt;= A1528 - 30)))
"),"#DIV/0!")</f>
        <v>#DIV/0!</v>
      </c>
    </row>
    <row r="1529" spans="1:14" x14ac:dyDescent="0.2">
      <c r="A1529" s="41"/>
      <c r="B1529" s="40"/>
      <c r="C1529" s="40"/>
      <c r="D1529" s="31"/>
      <c r="E1529" s="31"/>
      <c r="F1529" s="31"/>
      <c r="G1529" s="19" t="e">
        <f t="shared" si="25"/>
        <v>#DIV/0!</v>
      </c>
      <c r="H1529" s="20" t="str">
        <f ca="1">IFERROR(__xludf.DUMMYFUNCTION("IF(COUNTIFS($C$2:C1529, C1529, $A$2:A1529, ""&lt;="" &amp; A1529) &lt; 30, AVERAGEIF($C$2:C1529, C1529, $G$2:G1529), AVERAGE(FILTER($G$2:G1529, $C$2:C1529 = C1529, $A$2:A1529 &gt;= A1529 - 30)))
"),"#DIV/0!")</f>
        <v>#DIV/0!</v>
      </c>
      <c r="I1529" s="20" t="e">
        <f t="shared" ca="1" si="26"/>
        <v>#DIV/0!</v>
      </c>
      <c r="J1529" s="20" t="str">
        <f ca="1">IFERROR(__xludf.DUMMYFUNCTION("IF(OR($I1529=2, $I1529=3), 0, IFERROR(COUNTIFS($C$2:C1529, $C1529, $A$2:A1529, ""&gt;""&amp;IFERROR(MAX(FILTER($A$2:A1529, $C$2:C1529=$C1529, $I$2:I1529&lt;&gt;1)), 0), $I$2:I1529, 1),1))
"),"#DIV/0!")</f>
        <v>#DIV/0!</v>
      </c>
      <c r="K1529" s="7" t="e">
        <f t="shared" ca="1" si="27"/>
        <v>#DIV/0!</v>
      </c>
      <c r="L1529" s="20" t="e">
        <f t="shared" ca="1" si="28"/>
        <v>#DIV/0!</v>
      </c>
      <c r="M1529" s="21" t="e">
        <f t="shared" ca="1" si="29"/>
        <v>#DIV/0!</v>
      </c>
      <c r="N1529" s="20" t="str">
        <f ca="1">IFERROR(__xludf.DUMMYFUNCTION("IF(COUNTIFS($C$2:C1529, C1529, $A$2:A1529, ""&lt;="" &amp; A1529) &lt; 30, STDEV.P(FILTER($G$2:G1529, $C$2:C1529 = C1529)), STDEV.P(FILTER($G$2:G1529, $C$2:C1529 = C1529, $A$2:A1529 &gt;= A1529 - 30)))
"),"#DIV/0!")</f>
        <v>#DIV/0!</v>
      </c>
    </row>
    <row r="1530" spans="1:14" x14ac:dyDescent="0.2">
      <c r="A1530" s="41"/>
      <c r="B1530" s="40"/>
      <c r="C1530" s="40"/>
      <c r="D1530" s="31"/>
      <c r="E1530" s="31"/>
      <c r="F1530" s="31"/>
      <c r="G1530" s="19" t="e">
        <f t="shared" si="25"/>
        <v>#DIV/0!</v>
      </c>
      <c r="H1530" s="20" t="str">
        <f ca="1">IFERROR(__xludf.DUMMYFUNCTION("IF(COUNTIFS($C$2:C1530, C1530, $A$2:A1530, ""&lt;="" &amp; A1530) &lt; 30, AVERAGEIF($C$2:C1530, C1530, $G$2:G1530), AVERAGE(FILTER($G$2:G1530, $C$2:C1530 = C1530, $A$2:A1530 &gt;= A1530 - 30)))
"),"#DIV/0!")</f>
        <v>#DIV/0!</v>
      </c>
      <c r="I1530" s="20" t="e">
        <f t="shared" ca="1" si="26"/>
        <v>#DIV/0!</v>
      </c>
      <c r="J1530" s="20" t="str">
        <f ca="1">IFERROR(__xludf.DUMMYFUNCTION("IF(OR($I1530=2, $I1530=3), 0, IFERROR(COUNTIFS($C$2:C1530, $C1530, $A$2:A1530, ""&gt;""&amp;IFERROR(MAX(FILTER($A$2:A1530, $C$2:C1530=$C1530, $I$2:I1530&lt;&gt;1)), 0), $I$2:I1530, 1),1))
"),"#DIV/0!")</f>
        <v>#DIV/0!</v>
      </c>
      <c r="K1530" s="7" t="e">
        <f t="shared" ca="1" si="27"/>
        <v>#DIV/0!</v>
      </c>
      <c r="L1530" s="20" t="e">
        <f t="shared" ca="1" si="28"/>
        <v>#DIV/0!</v>
      </c>
      <c r="M1530" s="21" t="e">
        <f t="shared" ca="1" si="29"/>
        <v>#DIV/0!</v>
      </c>
      <c r="N1530" s="20" t="str">
        <f ca="1">IFERROR(__xludf.DUMMYFUNCTION("IF(COUNTIFS($C$2:C1530, C1530, $A$2:A1530, ""&lt;="" &amp; A1530) &lt; 30, STDEV.P(FILTER($G$2:G1530, $C$2:C1530 = C1530)), STDEV.P(FILTER($G$2:G1530, $C$2:C1530 = C1530, $A$2:A1530 &gt;= A1530 - 30)))
"),"#DIV/0!")</f>
        <v>#DIV/0!</v>
      </c>
    </row>
    <row r="1531" spans="1:14" x14ac:dyDescent="0.2">
      <c r="A1531" s="41"/>
      <c r="B1531" s="40"/>
      <c r="C1531" s="40"/>
      <c r="D1531" s="31"/>
      <c r="E1531" s="31"/>
      <c r="F1531" s="31"/>
      <c r="G1531" s="19" t="e">
        <f t="shared" si="25"/>
        <v>#DIV/0!</v>
      </c>
      <c r="H1531" s="20" t="str">
        <f ca="1">IFERROR(__xludf.DUMMYFUNCTION("IF(COUNTIFS($C$2:C1531, C1531, $A$2:A1531, ""&lt;="" &amp; A1531) &lt; 30, AVERAGEIF($C$2:C1531, C1531, $G$2:G1531), AVERAGE(FILTER($G$2:G1531, $C$2:C1531 = C1531, $A$2:A1531 &gt;= A1531 - 30)))
"),"#DIV/0!")</f>
        <v>#DIV/0!</v>
      </c>
      <c r="I1531" s="20" t="e">
        <f t="shared" ca="1" si="26"/>
        <v>#DIV/0!</v>
      </c>
      <c r="J1531" s="20" t="str">
        <f ca="1">IFERROR(__xludf.DUMMYFUNCTION("IF(OR($I1531=2, $I1531=3), 0, IFERROR(COUNTIFS($C$2:C1531, $C1531, $A$2:A1531, ""&gt;""&amp;IFERROR(MAX(FILTER($A$2:A1531, $C$2:C1531=$C1531, $I$2:I1531&lt;&gt;1)), 0), $I$2:I1531, 1),1))
"),"#DIV/0!")</f>
        <v>#DIV/0!</v>
      </c>
      <c r="K1531" s="7" t="e">
        <f t="shared" ca="1" si="27"/>
        <v>#DIV/0!</v>
      </c>
      <c r="L1531" s="20" t="e">
        <f t="shared" ca="1" si="28"/>
        <v>#DIV/0!</v>
      </c>
      <c r="M1531" s="21" t="e">
        <f t="shared" ca="1" si="29"/>
        <v>#DIV/0!</v>
      </c>
      <c r="N1531" s="20" t="str">
        <f ca="1">IFERROR(__xludf.DUMMYFUNCTION("IF(COUNTIFS($C$2:C1531, C1531, $A$2:A1531, ""&lt;="" &amp; A1531) &lt; 30, STDEV.P(FILTER($G$2:G1531, $C$2:C1531 = C1531)), STDEV.P(FILTER($G$2:G1531, $C$2:C1531 = C1531, $A$2:A1531 &gt;= A1531 - 30)))
"),"#DIV/0!")</f>
        <v>#DIV/0!</v>
      </c>
    </row>
    <row r="1532" spans="1:14" x14ac:dyDescent="0.2">
      <c r="A1532" s="41"/>
      <c r="B1532" s="40"/>
      <c r="C1532" s="40"/>
      <c r="D1532" s="31"/>
      <c r="E1532" s="31"/>
      <c r="F1532" s="31"/>
      <c r="G1532" s="19" t="e">
        <f t="shared" ref="G1532:G1786" si="30">AVERAGE(D1532:F1532)</f>
        <v>#DIV/0!</v>
      </c>
      <c r="H1532" s="20" t="str">
        <f ca="1">IFERROR(__xludf.DUMMYFUNCTION("IF(COUNTIFS($C$2:C1532, C1532, $A$2:A1532, ""&lt;="" &amp; A1532) &lt; 30, AVERAGEIF($C$2:C1532, C1532, $G$2:G1532), AVERAGE(FILTER($G$2:G1532, $C$2:C1532 = C1532, $A$2:A1532 &gt;= A1532 - 30)))
"),"#DIV/0!")</f>
        <v>#DIV/0!</v>
      </c>
      <c r="I1532" s="20" t="e">
        <f t="shared" ref="I1532:I1786" ca="1" si="31">IF(L1532 &gt;= 1, 3, IF(L1532 &lt;= -1, 1, 2))</f>
        <v>#DIV/0!</v>
      </c>
      <c r="J1532" s="20" t="str">
        <f ca="1">IFERROR(__xludf.DUMMYFUNCTION("IF(OR($I1532=2, $I1532=3), 0, IFERROR(COUNTIFS($C$2:C1532, $C1532, $A$2:A1532, ""&gt;""&amp;IFERROR(MAX(FILTER($A$2:A1532, $C$2:C1532=$C1532, $I$2:I1532&lt;&gt;1)), 0), $I$2:I1532, 1),1))
"),"#DIV/0!")</f>
        <v>#DIV/0!</v>
      </c>
      <c r="K1532" s="7" t="e">
        <f t="shared" ref="K1532:K1786" ca="1" si="32">G1532-H1532</f>
        <v>#DIV/0!</v>
      </c>
      <c r="L1532" s="20" t="e">
        <f t="shared" ref="L1532:L1786" ca="1" si="33">(G1532 - H1532) / N1532</f>
        <v>#DIV/0!</v>
      </c>
      <c r="M1532" s="21" t="e">
        <f t="shared" ref="M1532:M1786" ca="1" si="34">IF(H1532&lt;&gt;0, ((G1532-H1532)/H1532), 0)</f>
        <v>#DIV/0!</v>
      </c>
      <c r="N1532" s="20" t="str">
        <f ca="1">IFERROR(__xludf.DUMMYFUNCTION("IF(COUNTIFS($C$2:C1532, C1532, $A$2:A1532, ""&lt;="" &amp; A1532) &lt; 30, STDEV.P(FILTER($G$2:G1532, $C$2:C1532 = C1532)), STDEV.P(FILTER($G$2:G1532, $C$2:C1532 = C1532, $A$2:A1532 &gt;= A1532 - 30)))
"),"#DIV/0!")</f>
        <v>#DIV/0!</v>
      </c>
    </row>
    <row r="1533" spans="1:14" x14ac:dyDescent="0.2">
      <c r="A1533" s="41"/>
      <c r="B1533" s="40"/>
      <c r="C1533" s="40"/>
      <c r="D1533" s="31"/>
      <c r="E1533" s="31"/>
      <c r="F1533" s="31"/>
      <c r="G1533" s="19" t="e">
        <f t="shared" si="30"/>
        <v>#DIV/0!</v>
      </c>
      <c r="H1533" s="20" t="str">
        <f ca="1">IFERROR(__xludf.DUMMYFUNCTION("IF(COUNTIFS($C$2:C1533, C1533, $A$2:A1533, ""&lt;="" &amp; A1533) &lt; 30, AVERAGEIF($C$2:C1533, C1533, $G$2:G1533), AVERAGE(FILTER($G$2:G1533, $C$2:C1533 = C1533, $A$2:A1533 &gt;= A1533 - 30)))
"),"#DIV/0!")</f>
        <v>#DIV/0!</v>
      </c>
      <c r="I1533" s="20" t="e">
        <f t="shared" ca="1" si="31"/>
        <v>#DIV/0!</v>
      </c>
      <c r="J1533" s="20" t="str">
        <f ca="1">IFERROR(__xludf.DUMMYFUNCTION("IF(OR($I1533=2, $I1533=3), 0, IFERROR(COUNTIFS($C$2:C1533, $C1533, $A$2:A1533, ""&gt;""&amp;IFERROR(MAX(FILTER($A$2:A1533, $C$2:C1533=$C1533, $I$2:I1533&lt;&gt;1)), 0), $I$2:I1533, 1),1))
"),"#DIV/0!")</f>
        <v>#DIV/0!</v>
      </c>
      <c r="K1533" s="7" t="e">
        <f t="shared" ca="1" si="32"/>
        <v>#DIV/0!</v>
      </c>
      <c r="L1533" s="20" t="e">
        <f t="shared" ca="1" si="33"/>
        <v>#DIV/0!</v>
      </c>
      <c r="M1533" s="21" t="e">
        <f t="shared" ca="1" si="34"/>
        <v>#DIV/0!</v>
      </c>
      <c r="N1533" s="20" t="str">
        <f ca="1">IFERROR(__xludf.DUMMYFUNCTION("IF(COUNTIFS($C$2:C1533, C1533, $A$2:A1533, ""&lt;="" &amp; A1533) &lt; 30, STDEV.P(FILTER($G$2:G1533, $C$2:C1533 = C1533)), STDEV.P(FILTER($G$2:G1533, $C$2:C1533 = C1533, $A$2:A1533 &gt;= A1533 - 30)))
"),"#DIV/0!")</f>
        <v>#DIV/0!</v>
      </c>
    </row>
    <row r="1534" spans="1:14" x14ac:dyDescent="0.2">
      <c r="A1534" s="41"/>
      <c r="B1534" s="40"/>
      <c r="C1534" s="40"/>
      <c r="D1534" s="31"/>
      <c r="E1534" s="31"/>
      <c r="F1534" s="31"/>
      <c r="G1534" s="19" t="e">
        <f t="shared" si="30"/>
        <v>#DIV/0!</v>
      </c>
      <c r="H1534" s="20" t="str">
        <f ca="1">IFERROR(__xludf.DUMMYFUNCTION("IF(COUNTIFS($C$2:C1534, C1534, $A$2:A1534, ""&lt;="" &amp; A1534) &lt; 30, AVERAGEIF($C$2:C1534, C1534, $G$2:G1534), AVERAGE(FILTER($G$2:G1534, $C$2:C1534 = C1534, $A$2:A1534 &gt;= A1534 - 30)))
"),"#DIV/0!")</f>
        <v>#DIV/0!</v>
      </c>
      <c r="I1534" s="20" t="e">
        <f t="shared" ca="1" si="31"/>
        <v>#DIV/0!</v>
      </c>
      <c r="J1534" s="20" t="str">
        <f ca="1">IFERROR(__xludf.DUMMYFUNCTION("IF(OR($I1534=2, $I1534=3), 0, IFERROR(COUNTIFS($C$2:C1534, $C1534, $A$2:A1534, ""&gt;""&amp;IFERROR(MAX(FILTER($A$2:A1534, $C$2:C1534=$C1534, $I$2:I1534&lt;&gt;1)), 0), $I$2:I1534, 1),1))
"),"#DIV/0!")</f>
        <v>#DIV/0!</v>
      </c>
      <c r="K1534" s="7" t="e">
        <f t="shared" ca="1" si="32"/>
        <v>#DIV/0!</v>
      </c>
      <c r="L1534" s="20" t="e">
        <f t="shared" ca="1" si="33"/>
        <v>#DIV/0!</v>
      </c>
      <c r="M1534" s="21" t="e">
        <f t="shared" ca="1" si="34"/>
        <v>#DIV/0!</v>
      </c>
      <c r="N1534" s="20" t="str">
        <f ca="1">IFERROR(__xludf.DUMMYFUNCTION("IF(COUNTIFS($C$2:C1534, C1534, $A$2:A1534, ""&lt;="" &amp; A1534) &lt; 30, STDEV.P(FILTER($G$2:G1534, $C$2:C1534 = C1534)), STDEV.P(FILTER($G$2:G1534, $C$2:C1534 = C1534, $A$2:A1534 &gt;= A1534 - 30)))
"),"#DIV/0!")</f>
        <v>#DIV/0!</v>
      </c>
    </row>
    <row r="1535" spans="1:14" x14ac:dyDescent="0.2">
      <c r="A1535" s="41"/>
      <c r="B1535" s="40"/>
      <c r="C1535" s="40"/>
      <c r="D1535" s="31"/>
      <c r="E1535" s="31"/>
      <c r="F1535" s="31"/>
      <c r="G1535" s="19" t="e">
        <f t="shared" si="30"/>
        <v>#DIV/0!</v>
      </c>
      <c r="H1535" s="20" t="str">
        <f ca="1">IFERROR(__xludf.DUMMYFUNCTION("IF(COUNTIFS($C$2:C1535, C1535, $A$2:A1535, ""&lt;="" &amp; A1535) &lt; 30, AVERAGEIF($C$2:C1535, C1535, $G$2:G1535), AVERAGE(FILTER($G$2:G1535, $C$2:C1535 = C1535, $A$2:A1535 &gt;= A1535 - 30)))
"),"#DIV/0!")</f>
        <v>#DIV/0!</v>
      </c>
      <c r="I1535" s="20" t="e">
        <f t="shared" ca="1" si="31"/>
        <v>#DIV/0!</v>
      </c>
      <c r="J1535" s="20" t="str">
        <f ca="1">IFERROR(__xludf.DUMMYFUNCTION("IF(OR($I1535=2, $I1535=3), 0, IFERROR(COUNTIFS($C$2:C1535, $C1535, $A$2:A1535, ""&gt;""&amp;IFERROR(MAX(FILTER($A$2:A1535, $C$2:C1535=$C1535, $I$2:I1535&lt;&gt;1)), 0), $I$2:I1535, 1),1))
"),"#DIV/0!")</f>
        <v>#DIV/0!</v>
      </c>
      <c r="K1535" s="7" t="e">
        <f t="shared" ca="1" si="32"/>
        <v>#DIV/0!</v>
      </c>
      <c r="L1535" s="20" t="e">
        <f t="shared" ca="1" si="33"/>
        <v>#DIV/0!</v>
      </c>
      <c r="M1535" s="21" t="e">
        <f t="shared" ca="1" si="34"/>
        <v>#DIV/0!</v>
      </c>
      <c r="N1535" s="20" t="str">
        <f ca="1">IFERROR(__xludf.DUMMYFUNCTION("IF(COUNTIFS($C$2:C1535, C1535, $A$2:A1535, ""&lt;="" &amp; A1535) &lt; 30, STDEV.P(FILTER($G$2:G1535, $C$2:C1535 = C1535)), STDEV.P(FILTER($G$2:G1535, $C$2:C1535 = C1535, $A$2:A1535 &gt;= A1535 - 30)))
"),"#DIV/0!")</f>
        <v>#DIV/0!</v>
      </c>
    </row>
    <row r="1536" spans="1:14" x14ac:dyDescent="0.2">
      <c r="A1536" s="41"/>
      <c r="B1536" s="40"/>
      <c r="C1536" s="40"/>
      <c r="D1536" s="31"/>
      <c r="E1536" s="31"/>
      <c r="F1536" s="31"/>
      <c r="G1536" s="19" t="e">
        <f t="shared" si="30"/>
        <v>#DIV/0!</v>
      </c>
      <c r="H1536" s="20" t="str">
        <f ca="1">IFERROR(__xludf.DUMMYFUNCTION("IF(COUNTIFS($C$2:C1536, C1536, $A$2:A1536, ""&lt;="" &amp; A1536) &lt; 30, AVERAGEIF($C$2:C1536, C1536, $G$2:G1536), AVERAGE(FILTER($G$2:G1536, $C$2:C1536 = C1536, $A$2:A1536 &gt;= A1536 - 30)))
"),"#DIV/0!")</f>
        <v>#DIV/0!</v>
      </c>
      <c r="I1536" s="20" t="e">
        <f t="shared" ca="1" si="31"/>
        <v>#DIV/0!</v>
      </c>
      <c r="J1536" s="20" t="str">
        <f ca="1">IFERROR(__xludf.DUMMYFUNCTION("IF(OR($I1536=2, $I1536=3), 0, IFERROR(COUNTIFS($C$2:C1536, $C1536, $A$2:A1536, ""&gt;""&amp;IFERROR(MAX(FILTER($A$2:A1536, $C$2:C1536=$C1536, $I$2:I1536&lt;&gt;1)), 0), $I$2:I1536, 1),1))
"),"#DIV/0!")</f>
        <v>#DIV/0!</v>
      </c>
      <c r="K1536" s="7" t="e">
        <f t="shared" ca="1" si="32"/>
        <v>#DIV/0!</v>
      </c>
      <c r="L1536" s="20" t="e">
        <f t="shared" ca="1" si="33"/>
        <v>#DIV/0!</v>
      </c>
      <c r="M1536" s="21" t="e">
        <f t="shared" ca="1" si="34"/>
        <v>#DIV/0!</v>
      </c>
      <c r="N1536" s="20" t="str">
        <f ca="1">IFERROR(__xludf.DUMMYFUNCTION("IF(COUNTIFS($C$2:C1536, C1536, $A$2:A1536, ""&lt;="" &amp; A1536) &lt; 30, STDEV.P(FILTER($G$2:G1536, $C$2:C1536 = C1536)), STDEV.P(FILTER($G$2:G1536, $C$2:C1536 = C1536, $A$2:A1536 &gt;= A1536 - 30)))
"),"#DIV/0!")</f>
        <v>#DIV/0!</v>
      </c>
    </row>
    <row r="1537" spans="1:14" x14ac:dyDescent="0.2">
      <c r="A1537" s="41"/>
      <c r="B1537" s="40"/>
      <c r="C1537" s="40"/>
      <c r="D1537" s="31"/>
      <c r="E1537" s="31"/>
      <c r="F1537" s="31"/>
      <c r="G1537" s="19" t="e">
        <f t="shared" si="30"/>
        <v>#DIV/0!</v>
      </c>
      <c r="H1537" s="20" t="str">
        <f ca="1">IFERROR(__xludf.DUMMYFUNCTION("IF(COUNTIFS($C$2:C1537, C1537, $A$2:A1537, ""&lt;="" &amp; A1537) &lt; 30, AVERAGEIF($C$2:C1537, C1537, $G$2:G1537), AVERAGE(FILTER($G$2:G1537, $C$2:C1537 = C1537, $A$2:A1537 &gt;= A1537 - 30)))
"),"#DIV/0!")</f>
        <v>#DIV/0!</v>
      </c>
      <c r="I1537" s="20" t="e">
        <f t="shared" ca="1" si="31"/>
        <v>#DIV/0!</v>
      </c>
      <c r="J1537" s="20" t="str">
        <f ca="1">IFERROR(__xludf.DUMMYFUNCTION("IF(OR($I1537=2, $I1537=3), 0, IFERROR(COUNTIFS($C$2:C1537, $C1537, $A$2:A1537, ""&gt;""&amp;IFERROR(MAX(FILTER($A$2:A1537, $C$2:C1537=$C1537, $I$2:I1537&lt;&gt;1)), 0), $I$2:I1537, 1),1))
"),"#DIV/0!")</f>
        <v>#DIV/0!</v>
      </c>
      <c r="K1537" s="7" t="e">
        <f t="shared" ca="1" si="32"/>
        <v>#DIV/0!</v>
      </c>
      <c r="L1537" s="20" t="e">
        <f t="shared" ca="1" si="33"/>
        <v>#DIV/0!</v>
      </c>
      <c r="M1537" s="21" t="e">
        <f t="shared" ca="1" si="34"/>
        <v>#DIV/0!</v>
      </c>
      <c r="N1537" s="20" t="str">
        <f ca="1">IFERROR(__xludf.DUMMYFUNCTION("IF(COUNTIFS($C$2:C1537, C1537, $A$2:A1537, ""&lt;="" &amp; A1537) &lt; 30, STDEV.P(FILTER($G$2:G1537, $C$2:C1537 = C1537)), STDEV.P(FILTER($G$2:G1537, $C$2:C1537 = C1537, $A$2:A1537 &gt;= A1537 - 30)))
"),"#DIV/0!")</f>
        <v>#DIV/0!</v>
      </c>
    </row>
    <row r="1538" spans="1:14" x14ac:dyDescent="0.2">
      <c r="A1538" s="41"/>
      <c r="B1538" s="40"/>
      <c r="C1538" s="40"/>
      <c r="D1538" s="31"/>
      <c r="E1538" s="31"/>
      <c r="F1538" s="31"/>
      <c r="G1538" s="19" t="e">
        <f t="shared" si="30"/>
        <v>#DIV/0!</v>
      </c>
      <c r="H1538" s="20" t="str">
        <f ca="1">IFERROR(__xludf.DUMMYFUNCTION("IF(COUNTIFS($C$2:C1538, C1538, $A$2:A1538, ""&lt;="" &amp; A1538) &lt; 30, AVERAGEIF($C$2:C1538, C1538, $G$2:G1538), AVERAGE(FILTER($G$2:G1538, $C$2:C1538 = C1538, $A$2:A1538 &gt;= A1538 - 30)))
"),"#DIV/0!")</f>
        <v>#DIV/0!</v>
      </c>
      <c r="I1538" s="20" t="e">
        <f t="shared" ca="1" si="31"/>
        <v>#DIV/0!</v>
      </c>
      <c r="J1538" s="20" t="str">
        <f ca="1">IFERROR(__xludf.DUMMYFUNCTION("IF(OR($I1538=2, $I1538=3), 0, IFERROR(COUNTIFS($C$2:C1538, $C1538, $A$2:A1538, ""&gt;""&amp;IFERROR(MAX(FILTER($A$2:A1538, $C$2:C1538=$C1538, $I$2:I1538&lt;&gt;1)), 0), $I$2:I1538, 1),1))
"),"#DIV/0!")</f>
        <v>#DIV/0!</v>
      </c>
      <c r="K1538" s="7" t="e">
        <f t="shared" ca="1" si="32"/>
        <v>#DIV/0!</v>
      </c>
      <c r="L1538" s="20" t="e">
        <f t="shared" ca="1" si="33"/>
        <v>#DIV/0!</v>
      </c>
      <c r="M1538" s="21" t="e">
        <f t="shared" ca="1" si="34"/>
        <v>#DIV/0!</v>
      </c>
      <c r="N1538" s="20" t="str">
        <f ca="1">IFERROR(__xludf.DUMMYFUNCTION("IF(COUNTIFS($C$2:C1538, C1538, $A$2:A1538, ""&lt;="" &amp; A1538) &lt; 30, STDEV.P(FILTER($G$2:G1538, $C$2:C1538 = C1538)), STDEV.P(FILTER($G$2:G1538, $C$2:C1538 = C1538, $A$2:A1538 &gt;= A1538 - 30)))
"),"#DIV/0!")</f>
        <v>#DIV/0!</v>
      </c>
    </row>
    <row r="1539" spans="1:14" x14ac:dyDescent="0.2">
      <c r="A1539" s="41"/>
      <c r="B1539" s="40"/>
      <c r="C1539" s="40"/>
      <c r="D1539" s="31"/>
      <c r="E1539" s="31"/>
      <c r="F1539" s="31"/>
      <c r="G1539" s="19" t="e">
        <f t="shared" si="30"/>
        <v>#DIV/0!</v>
      </c>
      <c r="H1539" s="20" t="str">
        <f ca="1">IFERROR(__xludf.DUMMYFUNCTION("IF(COUNTIFS($C$2:C1539, C1539, $A$2:A1539, ""&lt;="" &amp; A1539) &lt; 30, AVERAGEIF($C$2:C1539, C1539, $G$2:G1539), AVERAGE(FILTER($G$2:G1539, $C$2:C1539 = C1539, $A$2:A1539 &gt;= A1539 - 30)))
"),"#DIV/0!")</f>
        <v>#DIV/0!</v>
      </c>
      <c r="I1539" s="20" t="e">
        <f t="shared" ca="1" si="31"/>
        <v>#DIV/0!</v>
      </c>
      <c r="J1539" s="20" t="str">
        <f ca="1">IFERROR(__xludf.DUMMYFUNCTION("IF(OR($I1539=2, $I1539=3), 0, IFERROR(COUNTIFS($C$2:C1539, $C1539, $A$2:A1539, ""&gt;""&amp;IFERROR(MAX(FILTER($A$2:A1539, $C$2:C1539=$C1539, $I$2:I1539&lt;&gt;1)), 0), $I$2:I1539, 1),1))
"),"#DIV/0!")</f>
        <v>#DIV/0!</v>
      </c>
      <c r="K1539" s="7" t="e">
        <f t="shared" ca="1" si="32"/>
        <v>#DIV/0!</v>
      </c>
      <c r="L1539" s="20" t="e">
        <f t="shared" ca="1" si="33"/>
        <v>#DIV/0!</v>
      </c>
      <c r="M1539" s="21" t="e">
        <f t="shared" ca="1" si="34"/>
        <v>#DIV/0!</v>
      </c>
      <c r="N1539" s="20" t="str">
        <f ca="1">IFERROR(__xludf.DUMMYFUNCTION("IF(COUNTIFS($C$2:C1539, C1539, $A$2:A1539, ""&lt;="" &amp; A1539) &lt; 30, STDEV.P(FILTER($G$2:G1539, $C$2:C1539 = C1539)), STDEV.P(FILTER($G$2:G1539, $C$2:C1539 = C1539, $A$2:A1539 &gt;= A1539 - 30)))
"),"#DIV/0!")</f>
        <v>#DIV/0!</v>
      </c>
    </row>
    <row r="1540" spans="1:14" x14ac:dyDescent="0.2">
      <c r="A1540" s="41"/>
      <c r="B1540" s="40"/>
      <c r="C1540" s="40"/>
      <c r="D1540" s="31"/>
      <c r="E1540" s="31"/>
      <c r="F1540" s="31"/>
      <c r="G1540" s="19" t="e">
        <f t="shared" si="30"/>
        <v>#DIV/0!</v>
      </c>
      <c r="H1540" s="20" t="str">
        <f ca="1">IFERROR(__xludf.DUMMYFUNCTION("IF(COUNTIFS($C$2:C1540, C1540, $A$2:A1540, ""&lt;="" &amp; A1540) &lt; 30, AVERAGEIF($C$2:C1540, C1540, $G$2:G1540), AVERAGE(FILTER($G$2:G1540, $C$2:C1540 = C1540, $A$2:A1540 &gt;= A1540 - 30)))
"),"#DIV/0!")</f>
        <v>#DIV/0!</v>
      </c>
      <c r="I1540" s="20" t="e">
        <f t="shared" ca="1" si="31"/>
        <v>#DIV/0!</v>
      </c>
      <c r="J1540" s="20" t="str">
        <f ca="1">IFERROR(__xludf.DUMMYFUNCTION("IF(OR($I1540=2, $I1540=3), 0, IFERROR(COUNTIFS($C$2:C1540, $C1540, $A$2:A1540, ""&gt;""&amp;IFERROR(MAX(FILTER($A$2:A1540, $C$2:C1540=$C1540, $I$2:I1540&lt;&gt;1)), 0), $I$2:I1540, 1),1))
"),"#DIV/0!")</f>
        <v>#DIV/0!</v>
      </c>
      <c r="K1540" s="7" t="e">
        <f t="shared" ca="1" si="32"/>
        <v>#DIV/0!</v>
      </c>
      <c r="L1540" s="20" t="e">
        <f t="shared" ca="1" si="33"/>
        <v>#DIV/0!</v>
      </c>
      <c r="M1540" s="21" t="e">
        <f t="shared" ca="1" si="34"/>
        <v>#DIV/0!</v>
      </c>
      <c r="N1540" s="20" t="str">
        <f ca="1">IFERROR(__xludf.DUMMYFUNCTION("IF(COUNTIFS($C$2:C1540, C1540, $A$2:A1540, ""&lt;="" &amp; A1540) &lt; 30, STDEV.P(FILTER($G$2:G1540, $C$2:C1540 = C1540)), STDEV.P(FILTER($G$2:G1540, $C$2:C1540 = C1540, $A$2:A1540 &gt;= A1540 - 30)))
"),"#DIV/0!")</f>
        <v>#DIV/0!</v>
      </c>
    </row>
    <row r="1541" spans="1:14" x14ac:dyDescent="0.2">
      <c r="A1541" s="41"/>
      <c r="B1541" s="40"/>
      <c r="C1541" s="40"/>
      <c r="D1541" s="31"/>
      <c r="E1541" s="31"/>
      <c r="F1541" s="31"/>
      <c r="G1541" s="19" t="e">
        <f t="shared" si="30"/>
        <v>#DIV/0!</v>
      </c>
      <c r="H1541" s="20" t="str">
        <f ca="1">IFERROR(__xludf.DUMMYFUNCTION("IF(COUNTIFS($C$2:C1541, C1541, $A$2:A1541, ""&lt;="" &amp; A1541) &lt; 30, AVERAGEIF($C$2:C1541, C1541, $G$2:G1541), AVERAGE(FILTER($G$2:G1541, $C$2:C1541 = C1541, $A$2:A1541 &gt;= A1541 - 30)))
"),"#DIV/0!")</f>
        <v>#DIV/0!</v>
      </c>
      <c r="I1541" s="20" t="e">
        <f t="shared" ca="1" si="31"/>
        <v>#DIV/0!</v>
      </c>
      <c r="J1541" s="20" t="str">
        <f ca="1">IFERROR(__xludf.DUMMYFUNCTION("IF(OR($I1541=2, $I1541=3), 0, IFERROR(COUNTIFS($C$2:C1541, $C1541, $A$2:A1541, ""&gt;""&amp;IFERROR(MAX(FILTER($A$2:A1541, $C$2:C1541=$C1541, $I$2:I1541&lt;&gt;1)), 0), $I$2:I1541, 1),1))
"),"#DIV/0!")</f>
        <v>#DIV/0!</v>
      </c>
      <c r="K1541" s="7" t="e">
        <f t="shared" ca="1" si="32"/>
        <v>#DIV/0!</v>
      </c>
      <c r="L1541" s="20" t="e">
        <f t="shared" ca="1" si="33"/>
        <v>#DIV/0!</v>
      </c>
      <c r="M1541" s="21" t="e">
        <f t="shared" ca="1" si="34"/>
        <v>#DIV/0!</v>
      </c>
      <c r="N1541" s="20" t="str">
        <f ca="1">IFERROR(__xludf.DUMMYFUNCTION("IF(COUNTIFS($C$2:C1541, C1541, $A$2:A1541, ""&lt;="" &amp; A1541) &lt; 30, STDEV.P(FILTER($G$2:G1541, $C$2:C1541 = C1541)), STDEV.P(FILTER($G$2:G1541, $C$2:C1541 = C1541, $A$2:A1541 &gt;= A1541 - 30)))
"),"#DIV/0!")</f>
        <v>#DIV/0!</v>
      </c>
    </row>
    <row r="1542" spans="1:14" x14ac:dyDescent="0.2">
      <c r="A1542" s="41"/>
      <c r="B1542" s="40"/>
      <c r="C1542" s="40"/>
      <c r="D1542" s="31"/>
      <c r="E1542" s="31"/>
      <c r="F1542" s="31"/>
      <c r="G1542" s="19" t="e">
        <f t="shared" si="30"/>
        <v>#DIV/0!</v>
      </c>
      <c r="H1542" s="20" t="str">
        <f ca="1">IFERROR(__xludf.DUMMYFUNCTION("IF(COUNTIFS($C$2:C1542, C1542, $A$2:A1542, ""&lt;="" &amp; A1542) &lt; 30, AVERAGEIF($C$2:C1542, C1542, $G$2:G1542), AVERAGE(FILTER($G$2:G1542, $C$2:C1542 = C1542, $A$2:A1542 &gt;= A1542 - 30)))
"),"#DIV/0!")</f>
        <v>#DIV/0!</v>
      </c>
      <c r="I1542" s="20" t="e">
        <f t="shared" ca="1" si="31"/>
        <v>#DIV/0!</v>
      </c>
      <c r="J1542" s="20" t="str">
        <f ca="1">IFERROR(__xludf.DUMMYFUNCTION("IF(OR($I1542=2, $I1542=3), 0, IFERROR(COUNTIFS($C$2:C1542, $C1542, $A$2:A1542, ""&gt;""&amp;IFERROR(MAX(FILTER($A$2:A1542, $C$2:C1542=$C1542, $I$2:I1542&lt;&gt;1)), 0), $I$2:I1542, 1),1))
"),"#DIV/0!")</f>
        <v>#DIV/0!</v>
      </c>
      <c r="K1542" s="7" t="e">
        <f t="shared" ca="1" si="32"/>
        <v>#DIV/0!</v>
      </c>
      <c r="L1542" s="20" t="e">
        <f t="shared" ca="1" si="33"/>
        <v>#DIV/0!</v>
      </c>
      <c r="M1542" s="21" t="e">
        <f t="shared" ca="1" si="34"/>
        <v>#DIV/0!</v>
      </c>
      <c r="N1542" s="20" t="str">
        <f ca="1">IFERROR(__xludf.DUMMYFUNCTION("IF(COUNTIFS($C$2:C1542, C1542, $A$2:A1542, ""&lt;="" &amp; A1542) &lt; 30, STDEV.P(FILTER($G$2:G1542, $C$2:C1542 = C1542)), STDEV.P(FILTER($G$2:G1542, $C$2:C1542 = C1542, $A$2:A1542 &gt;= A1542 - 30)))
"),"#DIV/0!")</f>
        <v>#DIV/0!</v>
      </c>
    </row>
    <row r="1543" spans="1:14" x14ac:dyDescent="0.2">
      <c r="A1543" s="41"/>
      <c r="B1543" s="40"/>
      <c r="C1543" s="40"/>
      <c r="D1543" s="31"/>
      <c r="E1543" s="31"/>
      <c r="F1543" s="31"/>
      <c r="G1543" s="19" t="e">
        <f t="shared" si="30"/>
        <v>#DIV/0!</v>
      </c>
      <c r="H1543" s="20" t="str">
        <f ca="1">IFERROR(__xludf.DUMMYFUNCTION("IF(COUNTIFS($C$2:C1543, C1543, $A$2:A1543, ""&lt;="" &amp; A1543) &lt; 30, AVERAGEIF($C$2:C1543, C1543, $G$2:G1543), AVERAGE(FILTER($G$2:G1543, $C$2:C1543 = C1543, $A$2:A1543 &gt;= A1543 - 30)))
"),"#DIV/0!")</f>
        <v>#DIV/0!</v>
      </c>
      <c r="I1543" s="20" t="e">
        <f t="shared" ca="1" si="31"/>
        <v>#DIV/0!</v>
      </c>
      <c r="J1543" s="20" t="str">
        <f ca="1">IFERROR(__xludf.DUMMYFUNCTION("IF(OR($I1543=2, $I1543=3), 0, IFERROR(COUNTIFS($C$2:C1543, $C1543, $A$2:A1543, ""&gt;""&amp;IFERROR(MAX(FILTER($A$2:A1543, $C$2:C1543=$C1543, $I$2:I1543&lt;&gt;1)), 0), $I$2:I1543, 1),1))
"),"#DIV/0!")</f>
        <v>#DIV/0!</v>
      </c>
      <c r="K1543" s="7" t="e">
        <f t="shared" ca="1" si="32"/>
        <v>#DIV/0!</v>
      </c>
      <c r="L1543" s="20" t="e">
        <f t="shared" ca="1" si="33"/>
        <v>#DIV/0!</v>
      </c>
      <c r="M1543" s="21" t="e">
        <f t="shared" ca="1" si="34"/>
        <v>#DIV/0!</v>
      </c>
      <c r="N1543" s="20" t="str">
        <f ca="1">IFERROR(__xludf.DUMMYFUNCTION("IF(COUNTIFS($C$2:C1543, C1543, $A$2:A1543, ""&lt;="" &amp; A1543) &lt; 30, STDEV.P(FILTER($G$2:G1543, $C$2:C1543 = C1543)), STDEV.P(FILTER($G$2:G1543, $C$2:C1543 = C1543, $A$2:A1543 &gt;= A1543 - 30)))
"),"#DIV/0!")</f>
        <v>#DIV/0!</v>
      </c>
    </row>
    <row r="1544" spans="1:14" x14ac:dyDescent="0.2">
      <c r="A1544" s="41"/>
      <c r="B1544" s="40"/>
      <c r="C1544" s="40"/>
      <c r="D1544" s="31"/>
      <c r="E1544" s="31"/>
      <c r="F1544" s="31"/>
      <c r="G1544" s="19" t="e">
        <f t="shared" si="30"/>
        <v>#DIV/0!</v>
      </c>
      <c r="H1544" s="20" t="str">
        <f ca="1">IFERROR(__xludf.DUMMYFUNCTION("IF(COUNTIFS($C$2:C1544, C1544, $A$2:A1544, ""&lt;="" &amp; A1544) &lt; 30, AVERAGEIF($C$2:C1544, C1544, $G$2:G1544), AVERAGE(FILTER($G$2:G1544, $C$2:C1544 = C1544, $A$2:A1544 &gt;= A1544 - 30)))
"),"#DIV/0!")</f>
        <v>#DIV/0!</v>
      </c>
      <c r="I1544" s="20" t="e">
        <f t="shared" ca="1" si="31"/>
        <v>#DIV/0!</v>
      </c>
      <c r="J1544" s="20" t="str">
        <f ca="1">IFERROR(__xludf.DUMMYFUNCTION("IF(OR($I1544=2, $I1544=3), 0, IFERROR(COUNTIFS($C$2:C1544, $C1544, $A$2:A1544, ""&gt;""&amp;IFERROR(MAX(FILTER($A$2:A1544, $C$2:C1544=$C1544, $I$2:I1544&lt;&gt;1)), 0), $I$2:I1544, 1),1))
"),"#DIV/0!")</f>
        <v>#DIV/0!</v>
      </c>
      <c r="K1544" s="7" t="e">
        <f t="shared" ca="1" si="32"/>
        <v>#DIV/0!</v>
      </c>
      <c r="L1544" s="20" t="e">
        <f t="shared" ca="1" si="33"/>
        <v>#DIV/0!</v>
      </c>
      <c r="M1544" s="21" t="e">
        <f t="shared" ca="1" si="34"/>
        <v>#DIV/0!</v>
      </c>
      <c r="N1544" s="20" t="str">
        <f ca="1">IFERROR(__xludf.DUMMYFUNCTION("IF(COUNTIFS($C$2:C1544, C1544, $A$2:A1544, ""&lt;="" &amp; A1544) &lt; 30, STDEV.P(FILTER($G$2:G1544, $C$2:C1544 = C1544)), STDEV.P(FILTER($G$2:G1544, $C$2:C1544 = C1544, $A$2:A1544 &gt;= A1544 - 30)))
"),"#DIV/0!")</f>
        <v>#DIV/0!</v>
      </c>
    </row>
    <row r="1545" spans="1:14" x14ac:dyDescent="0.2">
      <c r="A1545" s="41"/>
      <c r="B1545" s="40"/>
      <c r="C1545" s="40"/>
      <c r="D1545" s="31"/>
      <c r="E1545" s="31"/>
      <c r="F1545" s="31"/>
      <c r="G1545" s="19" t="e">
        <f t="shared" si="30"/>
        <v>#DIV/0!</v>
      </c>
      <c r="H1545" s="20" t="str">
        <f ca="1">IFERROR(__xludf.DUMMYFUNCTION("IF(COUNTIFS($C$2:C1545, C1545, $A$2:A1545, ""&lt;="" &amp; A1545) &lt; 30, AVERAGEIF($C$2:C1545, C1545, $G$2:G1545), AVERAGE(FILTER($G$2:G1545, $C$2:C1545 = C1545, $A$2:A1545 &gt;= A1545 - 30)))
"),"#DIV/0!")</f>
        <v>#DIV/0!</v>
      </c>
      <c r="I1545" s="20" t="e">
        <f t="shared" ca="1" si="31"/>
        <v>#DIV/0!</v>
      </c>
      <c r="J1545" s="20" t="str">
        <f ca="1">IFERROR(__xludf.DUMMYFUNCTION("IF(OR($I1545=2, $I1545=3), 0, IFERROR(COUNTIFS($C$2:C1545, $C1545, $A$2:A1545, ""&gt;""&amp;IFERROR(MAX(FILTER($A$2:A1545, $C$2:C1545=$C1545, $I$2:I1545&lt;&gt;1)), 0), $I$2:I1545, 1),1))
"),"#DIV/0!")</f>
        <v>#DIV/0!</v>
      </c>
      <c r="K1545" s="7" t="e">
        <f t="shared" ca="1" si="32"/>
        <v>#DIV/0!</v>
      </c>
      <c r="L1545" s="20" t="e">
        <f t="shared" ca="1" si="33"/>
        <v>#DIV/0!</v>
      </c>
      <c r="M1545" s="21" t="e">
        <f t="shared" ca="1" si="34"/>
        <v>#DIV/0!</v>
      </c>
      <c r="N1545" s="20" t="str">
        <f ca="1">IFERROR(__xludf.DUMMYFUNCTION("IF(COUNTIFS($C$2:C1545, C1545, $A$2:A1545, ""&lt;="" &amp; A1545) &lt; 30, STDEV.P(FILTER($G$2:G1545, $C$2:C1545 = C1545)), STDEV.P(FILTER($G$2:G1545, $C$2:C1545 = C1545, $A$2:A1545 &gt;= A1545 - 30)))
"),"#DIV/0!")</f>
        <v>#DIV/0!</v>
      </c>
    </row>
    <row r="1546" spans="1:14" x14ac:dyDescent="0.2">
      <c r="A1546" s="41"/>
      <c r="B1546" s="40"/>
      <c r="C1546" s="40"/>
      <c r="D1546" s="31"/>
      <c r="E1546" s="31"/>
      <c r="F1546" s="31"/>
      <c r="G1546" s="19" t="e">
        <f t="shared" si="30"/>
        <v>#DIV/0!</v>
      </c>
      <c r="H1546" s="20" t="str">
        <f ca="1">IFERROR(__xludf.DUMMYFUNCTION("IF(COUNTIFS($C$2:C1546, C1546, $A$2:A1546, ""&lt;="" &amp; A1546) &lt; 30, AVERAGEIF($C$2:C1546, C1546, $G$2:G1546), AVERAGE(FILTER($G$2:G1546, $C$2:C1546 = C1546, $A$2:A1546 &gt;= A1546 - 30)))
"),"#DIV/0!")</f>
        <v>#DIV/0!</v>
      </c>
      <c r="I1546" s="20" t="e">
        <f t="shared" ca="1" si="31"/>
        <v>#DIV/0!</v>
      </c>
      <c r="J1546" s="20" t="str">
        <f ca="1">IFERROR(__xludf.DUMMYFUNCTION("IF(OR($I1546=2, $I1546=3), 0, IFERROR(COUNTIFS($C$2:C1546, $C1546, $A$2:A1546, ""&gt;""&amp;IFERROR(MAX(FILTER($A$2:A1546, $C$2:C1546=$C1546, $I$2:I1546&lt;&gt;1)), 0), $I$2:I1546, 1),1))
"),"#DIV/0!")</f>
        <v>#DIV/0!</v>
      </c>
      <c r="K1546" s="7" t="e">
        <f t="shared" ca="1" si="32"/>
        <v>#DIV/0!</v>
      </c>
      <c r="L1546" s="20" t="e">
        <f t="shared" ca="1" si="33"/>
        <v>#DIV/0!</v>
      </c>
      <c r="M1546" s="21" t="e">
        <f t="shared" ca="1" si="34"/>
        <v>#DIV/0!</v>
      </c>
      <c r="N1546" s="20" t="str">
        <f ca="1">IFERROR(__xludf.DUMMYFUNCTION("IF(COUNTIFS($C$2:C1546, C1546, $A$2:A1546, ""&lt;="" &amp; A1546) &lt; 30, STDEV.P(FILTER($G$2:G1546, $C$2:C1546 = C1546)), STDEV.P(FILTER($G$2:G1546, $C$2:C1546 = C1546, $A$2:A1546 &gt;= A1546 - 30)))
"),"#DIV/0!")</f>
        <v>#DIV/0!</v>
      </c>
    </row>
    <row r="1547" spans="1:14" x14ac:dyDescent="0.2">
      <c r="A1547" s="41"/>
      <c r="B1547" s="40"/>
      <c r="C1547" s="40"/>
      <c r="D1547" s="31"/>
      <c r="E1547" s="31"/>
      <c r="F1547" s="31"/>
      <c r="G1547" s="19" t="e">
        <f t="shared" si="30"/>
        <v>#DIV/0!</v>
      </c>
      <c r="H1547" s="20" t="str">
        <f ca="1">IFERROR(__xludf.DUMMYFUNCTION("IF(COUNTIFS($C$2:C1547, C1547, $A$2:A1547, ""&lt;="" &amp; A1547) &lt; 30, AVERAGEIF($C$2:C1547, C1547, $G$2:G1547), AVERAGE(FILTER($G$2:G1547, $C$2:C1547 = C1547, $A$2:A1547 &gt;= A1547 - 30)))
"),"#DIV/0!")</f>
        <v>#DIV/0!</v>
      </c>
      <c r="I1547" s="20" t="e">
        <f t="shared" ca="1" si="31"/>
        <v>#DIV/0!</v>
      </c>
      <c r="J1547" s="20" t="str">
        <f ca="1">IFERROR(__xludf.DUMMYFUNCTION("IF(OR($I1547=2, $I1547=3), 0, IFERROR(COUNTIFS($C$2:C1547, $C1547, $A$2:A1547, ""&gt;""&amp;IFERROR(MAX(FILTER($A$2:A1547, $C$2:C1547=$C1547, $I$2:I1547&lt;&gt;1)), 0), $I$2:I1547, 1),1))
"),"#DIV/0!")</f>
        <v>#DIV/0!</v>
      </c>
      <c r="K1547" s="7" t="e">
        <f t="shared" ca="1" si="32"/>
        <v>#DIV/0!</v>
      </c>
      <c r="L1547" s="20" t="e">
        <f t="shared" ca="1" si="33"/>
        <v>#DIV/0!</v>
      </c>
      <c r="M1547" s="21" t="e">
        <f t="shared" ca="1" si="34"/>
        <v>#DIV/0!</v>
      </c>
      <c r="N1547" s="20" t="str">
        <f ca="1">IFERROR(__xludf.DUMMYFUNCTION("IF(COUNTIFS($C$2:C1547, C1547, $A$2:A1547, ""&lt;="" &amp; A1547) &lt; 30, STDEV.P(FILTER($G$2:G1547, $C$2:C1547 = C1547)), STDEV.P(FILTER($G$2:G1547, $C$2:C1547 = C1547, $A$2:A1547 &gt;= A1547 - 30)))
"),"#DIV/0!")</f>
        <v>#DIV/0!</v>
      </c>
    </row>
    <row r="1548" spans="1:14" x14ac:dyDescent="0.2">
      <c r="A1548" s="41"/>
      <c r="B1548" s="40"/>
      <c r="C1548" s="40"/>
      <c r="D1548" s="31"/>
      <c r="E1548" s="31"/>
      <c r="F1548" s="31"/>
      <c r="G1548" s="19" t="e">
        <f t="shared" si="30"/>
        <v>#DIV/0!</v>
      </c>
      <c r="H1548" s="20" t="str">
        <f ca="1">IFERROR(__xludf.DUMMYFUNCTION("IF(COUNTIFS($C$2:C1548, C1548, $A$2:A1548, ""&lt;="" &amp; A1548) &lt; 30, AVERAGEIF($C$2:C1548, C1548, $G$2:G1548), AVERAGE(FILTER($G$2:G1548, $C$2:C1548 = C1548, $A$2:A1548 &gt;= A1548 - 30)))
"),"#DIV/0!")</f>
        <v>#DIV/0!</v>
      </c>
      <c r="I1548" s="20" t="e">
        <f t="shared" ca="1" si="31"/>
        <v>#DIV/0!</v>
      </c>
      <c r="J1548" s="20" t="str">
        <f ca="1">IFERROR(__xludf.DUMMYFUNCTION("IF(OR($I1548=2, $I1548=3), 0, IFERROR(COUNTIFS($C$2:C1548, $C1548, $A$2:A1548, ""&gt;""&amp;IFERROR(MAX(FILTER($A$2:A1548, $C$2:C1548=$C1548, $I$2:I1548&lt;&gt;1)), 0), $I$2:I1548, 1),1))
"),"#DIV/0!")</f>
        <v>#DIV/0!</v>
      </c>
      <c r="K1548" s="7" t="e">
        <f t="shared" ca="1" si="32"/>
        <v>#DIV/0!</v>
      </c>
      <c r="L1548" s="20" t="e">
        <f t="shared" ca="1" si="33"/>
        <v>#DIV/0!</v>
      </c>
      <c r="M1548" s="21" t="e">
        <f t="shared" ca="1" si="34"/>
        <v>#DIV/0!</v>
      </c>
      <c r="N1548" s="20" t="str">
        <f ca="1">IFERROR(__xludf.DUMMYFUNCTION("IF(COUNTIFS($C$2:C1548, C1548, $A$2:A1548, ""&lt;="" &amp; A1548) &lt; 30, STDEV.P(FILTER($G$2:G1548, $C$2:C1548 = C1548)), STDEV.P(FILTER($G$2:G1548, $C$2:C1548 = C1548, $A$2:A1548 &gt;= A1548 - 30)))
"),"#DIV/0!")</f>
        <v>#DIV/0!</v>
      </c>
    </row>
    <row r="1549" spans="1:14" x14ac:dyDescent="0.2">
      <c r="A1549" s="41"/>
      <c r="B1549" s="40"/>
      <c r="C1549" s="40"/>
      <c r="D1549" s="31"/>
      <c r="E1549" s="31"/>
      <c r="F1549" s="31"/>
      <c r="G1549" s="19" t="e">
        <f t="shared" si="30"/>
        <v>#DIV/0!</v>
      </c>
      <c r="H1549" s="20" t="str">
        <f ca="1">IFERROR(__xludf.DUMMYFUNCTION("IF(COUNTIFS($C$2:C1549, C1549, $A$2:A1549, ""&lt;="" &amp; A1549) &lt; 30, AVERAGEIF($C$2:C1549, C1549, $G$2:G1549), AVERAGE(FILTER($G$2:G1549, $C$2:C1549 = C1549, $A$2:A1549 &gt;= A1549 - 30)))
"),"#DIV/0!")</f>
        <v>#DIV/0!</v>
      </c>
      <c r="I1549" s="20" t="e">
        <f t="shared" ca="1" si="31"/>
        <v>#DIV/0!</v>
      </c>
      <c r="J1549" s="20" t="str">
        <f ca="1">IFERROR(__xludf.DUMMYFUNCTION("IF(OR($I1549=2, $I1549=3), 0, IFERROR(COUNTIFS($C$2:C1549, $C1549, $A$2:A1549, ""&gt;""&amp;IFERROR(MAX(FILTER($A$2:A1549, $C$2:C1549=$C1549, $I$2:I1549&lt;&gt;1)), 0), $I$2:I1549, 1),1))
"),"#DIV/0!")</f>
        <v>#DIV/0!</v>
      </c>
      <c r="K1549" s="7" t="e">
        <f t="shared" ca="1" si="32"/>
        <v>#DIV/0!</v>
      </c>
      <c r="L1549" s="20" t="e">
        <f t="shared" ca="1" si="33"/>
        <v>#DIV/0!</v>
      </c>
      <c r="M1549" s="21" t="e">
        <f t="shared" ca="1" si="34"/>
        <v>#DIV/0!</v>
      </c>
      <c r="N1549" s="20" t="str">
        <f ca="1">IFERROR(__xludf.DUMMYFUNCTION("IF(COUNTIFS($C$2:C1549, C1549, $A$2:A1549, ""&lt;="" &amp; A1549) &lt; 30, STDEV.P(FILTER($G$2:G1549, $C$2:C1549 = C1549)), STDEV.P(FILTER($G$2:G1549, $C$2:C1549 = C1549, $A$2:A1549 &gt;= A1549 - 30)))
"),"#DIV/0!")</f>
        <v>#DIV/0!</v>
      </c>
    </row>
    <row r="1550" spans="1:14" x14ac:dyDescent="0.2">
      <c r="A1550" s="41"/>
      <c r="B1550" s="40"/>
      <c r="C1550" s="40"/>
      <c r="D1550" s="31"/>
      <c r="E1550" s="31"/>
      <c r="F1550" s="31"/>
      <c r="G1550" s="19" t="e">
        <f t="shared" si="30"/>
        <v>#DIV/0!</v>
      </c>
      <c r="H1550" s="20" t="str">
        <f ca="1">IFERROR(__xludf.DUMMYFUNCTION("IF(COUNTIFS($C$2:C1550, C1550, $A$2:A1550, ""&lt;="" &amp; A1550) &lt; 30, AVERAGEIF($C$2:C1550, C1550, $G$2:G1550), AVERAGE(FILTER($G$2:G1550, $C$2:C1550 = C1550, $A$2:A1550 &gt;= A1550 - 30)))
"),"#DIV/0!")</f>
        <v>#DIV/0!</v>
      </c>
      <c r="I1550" s="20" t="e">
        <f t="shared" ca="1" si="31"/>
        <v>#DIV/0!</v>
      </c>
      <c r="J1550" s="20" t="str">
        <f ca="1">IFERROR(__xludf.DUMMYFUNCTION("IF(OR($I1550=2, $I1550=3), 0, IFERROR(COUNTIFS($C$2:C1550, $C1550, $A$2:A1550, ""&gt;""&amp;IFERROR(MAX(FILTER($A$2:A1550, $C$2:C1550=$C1550, $I$2:I1550&lt;&gt;1)), 0), $I$2:I1550, 1),1))
"),"#DIV/0!")</f>
        <v>#DIV/0!</v>
      </c>
      <c r="K1550" s="7" t="e">
        <f t="shared" ca="1" si="32"/>
        <v>#DIV/0!</v>
      </c>
      <c r="L1550" s="20" t="e">
        <f t="shared" ca="1" si="33"/>
        <v>#DIV/0!</v>
      </c>
      <c r="M1550" s="21" t="e">
        <f t="shared" ca="1" si="34"/>
        <v>#DIV/0!</v>
      </c>
      <c r="N1550" s="20" t="str">
        <f ca="1">IFERROR(__xludf.DUMMYFUNCTION("IF(COUNTIFS($C$2:C1550, C1550, $A$2:A1550, ""&lt;="" &amp; A1550) &lt; 30, STDEV.P(FILTER($G$2:G1550, $C$2:C1550 = C1550)), STDEV.P(FILTER($G$2:G1550, $C$2:C1550 = C1550, $A$2:A1550 &gt;= A1550 - 30)))
"),"#DIV/0!")</f>
        <v>#DIV/0!</v>
      </c>
    </row>
    <row r="1551" spans="1:14" x14ac:dyDescent="0.2">
      <c r="A1551" s="41"/>
      <c r="B1551" s="40"/>
      <c r="C1551" s="40"/>
      <c r="D1551" s="31"/>
      <c r="E1551" s="31"/>
      <c r="F1551" s="31"/>
      <c r="G1551" s="19" t="e">
        <f t="shared" si="30"/>
        <v>#DIV/0!</v>
      </c>
      <c r="H1551" s="20" t="str">
        <f ca="1">IFERROR(__xludf.DUMMYFUNCTION("IF(COUNTIFS($C$2:C1551, C1551, $A$2:A1551, ""&lt;="" &amp; A1551) &lt; 30, AVERAGEIF($C$2:C1551, C1551, $G$2:G1551), AVERAGE(FILTER($G$2:G1551, $C$2:C1551 = C1551, $A$2:A1551 &gt;= A1551 - 30)))
"),"#DIV/0!")</f>
        <v>#DIV/0!</v>
      </c>
      <c r="I1551" s="20" t="e">
        <f t="shared" ca="1" si="31"/>
        <v>#DIV/0!</v>
      </c>
      <c r="J1551" s="20" t="str">
        <f ca="1">IFERROR(__xludf.DUMMYFUNCTION("IF(OR($I1551=2, $I1551=3), 0, IFERROR(COUNTIFS($C$2:C1551, $C1551, $A$2:A1551, ""&gt;""&amp;IFERROR(MAX(FILTER($A$2:A1551, $C$2:C1551=$C1551, $I$2:I1551&lt;&gt;1)), 0), $I$2:I1551, 1),1))
"),"#DIV/0!")</f>
        <v>#DIV/0!</v>
      </c>
      <c r="K1551" s="7" t="e">
        <f t="shared" ca="1" si="32"/>
        <v>#DIV/0!</v>
      </c>
      <c r="L1551" s="20" t="e">
        <f t="shared" ca="1" si="33"/>
        <v>#DIV/0!</v>
      </c>
      <c r="M1551" s="21" t="e">
        <f t="shared" ca="1" si="34"/>
        <v>#DIV/0!</v>
      </c>
      <c r="N1551" s="20" t="str">
        <f ca="1">IFERROR(__xludf.DUMMYFUNCTION("IF(COUNTIFS($C$2:C1551, C1551, $A$2:A1551, ""&lt;="" &amp; A1551) &lt; 30, STDEV.P(FILTER($G$2:G1551, $C$2:C1551 = C1551)), STDEV.P(FILTER($G$2:G1551, $C$2:C1551 = C1551, $A$2:A1551 &gt;= A1551 - 30)))
"),"#DIV/0!")</f>
        <v>#DIV/0!</v>
      </c>
    </row>
    <row r="1552" spans="1:14" x14ac:dyDescent="0.2">
      <c r="A1552" s="41"/>
      <c r="B1552" s="40"/>
      <c r="C1552" s="40"/>
      <c r="D1552" s="31"/>
      <c r="E1552" s="31"/>
      <c r="F1552" s="31"/>
      <c r="G1552" s="19" t="e">
        <f t="shared" si="30"/>
        <v>#DIV/0!</v>
      </c>
      <c r="H1552" s="20" t="str">
        <f ca="1">IFERROR(__xludf.DUMMYFUNCTION("IF(COUNTIFS($C$2:C1552, C1552, $A$2:A1552, ""&lt;="" &amp; A1552) &lt; 30, AVERAGEIF($C$2:C1552, C1552, $G$2:G1552), AVERAGE(FILTER($G$2:G1552, $C$2:C1552 = C1552, $A$2:A1552 &gt;= A1552 - 30)))
"),"#DIV/0!")</f>
        <v>#DIV/0!</v>
      </c>
      <c r="I1552" s="20" t="e">
        <f t="shared" ca="1" si="31"/>
        <v>#DIV/0!</v>
      </c>
      <c r="J1552" s="20" t="str">
        <f ca="1">IFERROR(__xludf.DUMMYFUNCTION("IF(OR($I1552=2, $I1552=3), 0, IFERROR(COUNTIFS($C$2:C1552, $C1552, $A$2:A1552, ""&gt;""&amp;IFERROR(MAX(FILTER($A$2:A1552, $C$2:C1552=$C1552, $I$2:I1552&lt;&gt;1)), 0), $I$2:I1552, 1),1))
"),"#DIV/0!")</f>
        <v>#DIV/0!</v>
      </c>
      <c r="K1552" s="7" t="e">
        <f t="shared" ca="1" si="32"/>
        <v>#DIV/0!</v>
      </c>
      <c r="L1552" s="20" t="e">
        <f t="shared" ca="1" si="33"/>
        <v>#DIV/0!</v>
      </c>
      <c r="M1552" s="21" t="e">
        <f t="shared" ca="1" si="34"/>
        <v>#DIV/0!</v>
      </c>
      <c r="N1552" s="20" t="str">
        <f ca="1">IFERROR(__xludf.DUMMYFUNCTION("IF(COUNTIFS($C$2:C1552, C1552, $A$2:A1552, ""&lt;="" &amp; A1552) &lt; 30, STDEV.P(FILTER($G$2:G1552, $C$2:C1552 = C1552)), STDEV.P(FILTER($G$2:G1552, $C$2:C1552 = C1552, $A$2:A1552 &gt;= A1552 - 30)))
"),"#DIV/0!")</f>
        <v>#DIV/0!</v>
      </c>
    </row>
    <row r="1553" spans="1:14" x14ac:dyDescent="0.2">
      <c r="A1553" s="41"/>
      <c r="B1553" s="40"/>
      <c r="C1553" s="40"/>
      <c r="D1553" s="31"/>
      <c r="E1553" s="31"/>
      <c r="F1553" s="31"/>
      <c r="G1553" s="19" t="e">
        <f t="shared" si="30"/>
        <v>#DIV/0!</v>
      </c>
      <c r="H1553" s="20" t="str">
        <f ca="1">IFERROR(__xludf.DUMMYFUNCTION("IF(COUNTIFS($C$2:C1553, C1553, $A$2:A1553, ""&lt;="" &amp; A1553) &lt; 30, AVERAGEIF($C$2:C1553, C1553, $G$2:G1553), AVERAGE(FILTER($G$2:G1553, $C$2:C1553 = C1553, $A$2:A1553 &gt;= A1553 - 30)))
"),"#DIV/0!")</f>
        <v>#DIV/0!</v>
      </c>
      <c r="I1553" s="20" t="e">
        <f t="shared" ca="1" si="31"/>
        <v>#DIV/0!</v>
      </c>
      <c r="J1553" s="20" t="str">
        <f ca="1">IFERROR(__xludf.DUMMYFUNCTION("IF(OR($I1553=2, $I1553=3), 0, IFERROR(COUNTIFS($C$2:C1553, $C1553, $A$2:A1553, ""&gt;""&amp;IFERROR(MAX(FILTER($A$2:A1553, $C$2:C1553=$C1553, $I$2:I1553&lt;&gt;1)), 0), $I$2:I1553, 1),1))
"),"#DIV/0!")</f>
        <v>#DIV/0!</v>
      </c>
      <c r="K1553" s="7" t="e">
        <f t="shared" ca="1" si="32"/>
        <v>#DIV/0!</v>
      </c>
      <c r="L1553" s="20" t="e">
        <f t="shared" ca="1" si="33"/>
        <v>#DIV/0!</v>
      </c>
      <c r="M1553" s="21" t="e">
        <f t="shared" ca="1" si="34"/>
        <v>#DIV/0!</v>
      </c>
      <c r="N1553" s="20" t="str">
        <f ca="1">IFERROR(__xludf.DUMMYFUNCTION("IF(COUNTIFS($C$2:C1553, C1553, $A$2:A1553, ""&lt;="" &amp; A1553) &lt; 30, STDEV.P(FILTER($G$2:G1553, $C$2:C1553 = C1553)), STDEV.P(FILTER($G$2:G1553, $C$2:C1553 = C1553, $A$2:A1553 &gt;= A1553 - 30)))
"),"#DIV/0!")</f>
        <v>#DIV/0!</v>
      </c>
    </row>
    <row r="1554" spans="1:14" x14ac:dyDescent="0.2">
      <c r="A1554" s="41"/>
      <c r="B1554" s="40"/>
      <c r="C1554" s="40"/>
      <c r="D1554" s="31"/>
      <c r="E1554" s="31"/>
      <c r="F1554" s="31"/>
      <c r="G1554" s="19" t="e">
        <f t="shared" si="30"/>
        <v>#DIV/0!</v>
      </c>
      <c r="H1554" s="20" t="str">
        <f ca="1">IFERROR(__xludf.DUMMYFUNCTION("IF(COUNTIFS($C$2:C1554, C1554, $A$2:A1554, ""&lt;="" &amp; A1554) &lt; 30, AVERAGEIF($C$2:C1554, C1554, $G$2:G1554), AVERAGE(FILTER($G$2:G1554, $C$2:C1554 = C1554, $A$2:A1554 &gt;= A1554 - 30)))
"),"#DIV/0!")</f>
        <v>#DIV/0!</v>
      </c>
      <c r="I1554" s="20" t="e">
        <f t="shared" ca="1" si="31"/>
        <v>#DIV/0!</v>
      </c>
      <c r="J1554" s="20" t="str">
        <f ca="1">IFERROR(__xludf.DUMMYFUNCTION("IF(OR($I1554=2, $I1554=3), 0, IFERROR(COUNTIFS($C$2:C1554, $C1554, $A$2:A1554, ""&gt;""&amp;IFERROR(MAX(FILTER($A$2:A1554, $C$2:C1554=$C1554, $I$2:I1554&lt;&gt;1)), 0), $I$2:I1554, 1),1))
"),"#DIV/0!")</f>
        <v>#DIV/0!</v>
      </c>
      <c r="K1554" s="7" t="e">
        <f t="shared" ca="1" si="32"/>
        <v>#DIV/0!</v>
      </c>
      <c r="L1554" s="20" t="e">
        <f t="shared" ca="1" si="33"/>
        <v>#DIV/0!</v>
      </c>
      <c r="M1554" s="21" t="e">
        <f t="shared" ca="1" si="34"/>
        <v>#DIV/0!</v>
      </c>
      <c r="N1554" s="20" t="str">
        <f ca="1">IFERROR(__xludf.DUMMYFUNCTION("IF(COUNTIFS($C$2:C1554, C1554, $A$2:A1554, ""&lt;="" &amp; A1554) &lt; 30, STDEV.P(FILTER($G$2:G1554, $C$2:C1554 = C1554)), STDEV.P(FILTER($G$2:G1554, $C$2:C1554 = C1554, $A$2:A1554 &gt;= A1554 - 30)))
"),"#DIV/0!")</f>
        <v>#DIV/0!</v>
      </c>
    </row>
    <row r="1555" spans="1:14" x14ac:dyDescent="0.2">
      <c r="A1555" s="41"/>
      <c r="B1555" s="40"/>
      <c r="C1555" s="40"/>
      <c r="D1555" s="31"/>
      <c r="E1555" s="31"/>
      <c r="F1555" s="31"/>
      <c r="G1555" s="19" t="e">
        <f t="shared" si="30"/>
        <v>#DIV/0!</v>
      </c>
      <c r="H1555" s="20" t="str">
        <f ca="1">IFERROR(__xludf.DUMMYFUNCTION("IF(COUNTIFS($C$2:C1555, C1555, $A$2:A1555, ""&lt;="" &amp; A1555) &lt; 30, AVERAGEIF($C$2:C1555, C1555, $G$2:G1555), AVERAGE(FILTER($G$2:G1555, $C$2:C1555 = C1555, $A$2:A1555 &gt;= A1555 - 30)))
"),"#DIV/0!")</f>
        <v>#DIV/0!</v>
      </c>
      <c r="I1555" s="20" t="e">
        <f t="shared" ca="1" si="31"/>
        <v>#DIV/0!</v>
      </c>
      <c r="J1555" s="20" t="str">
        <f ca="1">IFERROR(__xludf.DUMMYFUNCTION("IF(OR($I1555=2, $I1555=3), 0, IFERROR(COUNTIFS($C$2:C1555, $C1555, $A$2:A1555, ""&gt;""&amp;IFERROR(MAX(FILTER($A$2:A1555, $C$2:C1555=$C1555, $I$2:I1555&lt;&gt;1)), 0), $I$2:I1555, 1),1))
"),"#DIV/0!")</f>
        <v>#DIV/0!</v>
      </c>
      <c r="K1555" s="7" t="e">
        <f t="shared" ca="1" si="32"/>
        <v>#DIV/0!</v>
      </c>
      <c r="L1555" s="20" t="e">
        <f t="shared" ca="1" si="33"/>
        <v>#DIV/0!</v>
      </c>
      <c r="M1555" s="21" t="e">
        <f t="shared" ca="1" si="34"/>
        <v>#DIV/0!</v>
      </c>
      <c r="N1555" s="20" t="str">
        <f ca="1">IFERROR(__xludf.DUMMYFUNCTION("IF(COUNTIFS($C$2:C1555, C1555, $A$2:A1555, ""&lt;="" &amp; A1555) &lt; 30, STDEV.P(FILTER($G$2:G1555, $C$2:C1555 = C1555)), STDEV.P(FILTER($G$2:G1555, $C$2:C1555 = C1555, $A$2:A1555 &gt;= A1555 - 30)))
"),"#DIV/0!")</f>
        <v>#DIV/0!</v>
      </c>
    </row>
    <row r="1556" spans="1:14" x14ac:dyDescent="0.2">
      <c r="A1556" s="41"/>
      <c r="B1556" s="40"/>
      <c r="C1556" s="40"/>
      <c r="D1556" s="31"/>
      <c r="E1556" s="31"/>
      <c r="F1556" s="31"/>
      <c r="G1556" s="19" t="e">
        <f t="shared" si="30"/>
        <v>#DIV/0!</v>
      </c>
      <c r="H1556" s="20" t="str">
        <f ca="1">IFERROR(__xludf.DUMMYFUNCTION("IF(COUNTIFS($C$2:C1556, C1556, $A$2:A1556, ""&lt;="" &amp; A1556) &lt; 30, AVERAGEIF($C$2:C1556, C1556, $G$2:G1556), AVERAGE(FILTER($G$2:G1556, $C$2:C1556 = C1556, $A$2:A1556 &gt;= A1556 - 30)))
"),"#DIV/0!")</f>
        <v>#DIV/0!</v>
      </c>
      <c r="I1556" s="20" t="e">
        <f t="shared" ca="1" si="31"/>
        <v>#DIV/0!</v>
      </c>
      <c r="J1556" s="20" t="str">
        <f ca="1">IFERROR(__xludf.DUMMYFUNCTION("IF(OR($I1556=2, $I1556=3), 0, IFERROR(COUNTIFS($C$2:C1556, $C1556, $A$2:A1556, ""&gt;""&amp;IFERROR(MAX(FILTER($A$2:A1556, $C$2:C1556=$C1556, $I$2:I1556&lt;&gt;1)), 0), $I$2:I1556, 1),1))
"),"#DIV/0!")</f>
        <v>#DIV/0!</v>
      </c>
      <c r="K1556" s="7" t="e">
        <f t="shared" ca="1" si="32"/>
        <v>#DIV/0!</v>
      </c>
      <c r="L1556" s="20" t="e">
        <f t="shared" ca="1" si="33"/>
        <v>#DIV/0!</v>
      </c>
      <c r="M1556" s="21" t="e">
        <f t="shared" ca="1" si="34"/>
        <v>#DIV/0!</v>
      </c>
      <c r="N1556" s="20" t="str">
        <f ca="1">IFERROR(__xludf.DUMMYFUNCTION("IF(COUNTIFS($C$2:C1556, C1556, $A$2:A1556, ""&lt;="" &amp; A1556) &lt; 30, STDEV.P(FILTER($G$2:G1556, $C$2:C1556 = C1556)), STDEV.P(FILTER($G$2:G1556, $C$2:C1556 = C1556, $A$2:A1556 &gt;= A1556 - 30)))
"),"#DIV/0!")</f>
        <v>#DIV/0!</v>
      </c>
    </row>
    <row r="1557" spans="1:14" x14ac:dyDescent="0.2">
      <c r="A1557" s="41"/>
      <c r="B1557" s="40"/>
      <c r="C1557" s="40"/>
      <c r="D1557" s="31"/>
      <c r="E1557" s="31"/>
      <c r="F1557" s="31"/>
      <c r="G1557" s="19" t="e">
        <f t="shared" si="30"/>
        <v>#DIV/0!</v>
      </c>
      <c r="H1557" s="20" t="str">
        <f ca="1">IFERROR(__xludf.DUMMYFUNCTION("IF(COUNTIFS($C$2:C1557, C1557, $A$2:A1557, ""&lt;="" &amp; A1557) &lt; 30, AVERAGEIF($C$2:C1557, C1557, $G$2:G1557), AVERAGE(FILTER($G$2:G1557, $C$2:C1557 = C1557, $A$2:A1557 &gt;= A1557 - 30)))
"),"#DIV/0!")</f>
        <v>#DIV/0!</v>
      </c>
      <c r="I1557" s="20" t="e">
        <f t="shared" ca="1" si="31"/>
        <v>#DIV/0!</v>
      </c>
      <c r="J1557" s="20" t="str">
        <f ca="1">IFERROR(__xludf.DUMMYFUNCTION("IF(OR($I1557=2, $I1557=3), 0, IFERROR(COUNTIFS($C$2:C1557, $C1557, $A$2:A1557, ""&gt;""&amp;IFERROR(MAX(FILTER($A$2:A1557, $C$2:C1557=$C1557, $I$2:I1557&lt;&gt;1)), 0), $I$2:I1557, 1),1))
"),"#DIV/0!")</f>
        <v>#DIV/0!</v>
      </c>
      <c r="K1557" s="7" t="e">
        <f t="shared" ca="1" si="32"/>
        <v>#DIV/0!</v>
      </c>
      <c r="L1557" s="20" t="e">
        <f t="shared" ca="1" si="33"/>
        <v>#DIV/0!</v>
      </c>
      <c r="M1557" s="21" t="e">
        <f t="shared" ca="1" si="34"/>
        <v>#DIV/0!</v>
      </c>
      <c r="N1557" s="20" t="str">
        <f ca="1">IFERROR(__xludf.DUMMYFUNCTION("IF(COUNTIFS($C$2:C1557, C1557, $A$2:A1557, ""&lt;="" &amp; A1557) &lt; 30, STDEV.P(FILTER($G$2:G1557, $C$2:C1557 = C1557)), STDEV.P(FILTER($G$2:G1557, $C$2:C1557 = C1557, $A$2:A1557 &gt;= A1557 - 30)))
"),"#DIV/0!")</f>
        <v>#DIV/0!</v>
      </c>
    </row>
    <row r="1558" spans="1:14" x14ac:dyDescent="0.2">
      <c r="A1558" s="41"/>
      <c r="B1558" s="40"/>
      <c r="C1558" s="40"/>
      <c r="D1558" s="31"/>
      <c r="E1558" s="31"/>
      <c r="F1558" s="31"/>
      <c r="G1558" s="19" t="e">
        <f t="shared" si="30"/>
        <v>#DIV/0!</v>
      </c>
      <c r="H1558" s="20" t="str">
        <f ca="1">IFERROR(__xludf.DUMMYFUNCTION("IF(COUNTIFS($C$2:C1558, C1558, $A$2:A1558, ""&lt;="" &amp; A1558) &lt; 30, AVERAGEIF($C$2:C1558, C1558, $G$2:G1558), AVERAGE(FILTER($G$2:G1558, $C$2:C1558 = C1558, $A$2:A1558 &gt;= A1558 - 30)))
"),"#DIV/0!")</f>
        <v>#DIV/0!</v>
      </c>
      <c r="I1558" s="20" t="e">
        <f t="shared" ca="1" si="31"/>
        <v>#DIV/0!</v>
      </c>
      <c r="J1558" s="20" t="str">
        <f ca="1">IFERROR(__xludf.DUMMYFUNCTION("IF(OR($I1558=2, $I1558=3), 0, IFERROR(COUNTIFS($C$2:C1558, $C1558, $A$2:A1558, ""&gt;""&amp;IFERROR(MAX(FILTER($A$2:A1558, $C$2:C1558=$C1558, $I$2:I1558&lt;&gt;1)), 0), $I$2:I1558, 1),1))
"),"#DIV/0!")</f>
        <v>#DIV/0!</v>
      </c>
      <c r="K1558" s="7" t="e">
        <f t="shared" ca="1" si="32"/>
        <v>#DIV/0!</v>
      </c>
      <c r="L1558" s="20" t="e">
        <f t="shared" ca="1" si="33"/>
        <v>#DIV/0!</v>
      </c>
      <c r="M1558" s="21" t="e">
        <f t="shared" ca="1" si="34"/>
        <v>#DIV/0!</v>
      </c>
      <c r="N1558" s="20" t="str">
        <f ca="1">IFERROR(__xludf.DUMMYFUNCTION("IF(COUNTIFS($C$2:C1558, C1558, $A$2:A1558, ""&lt;="" &amp; A1558) &lt; 30, STDEV.P(FILTER($G$2:G1558, $C$2:C1558 = C1558)), STDEV.P(FILTER($G$2:G1558, $C$2:C1558 = C1558, $A$2:A1558 &gt;= A1558 - 30)))
"),"#DIV/0!")</f>
        <v>#DIV/0!</v>
      </c>
    </row>
    <row r="1559" spans="1:14" x14ac:dyDescent="0.2">
      <c r="A1559" s="41"/>
      <c r="B1559" s="40"/>
      <c r="C1559" s="40"/>
      <c r="D1559" s="31"/>
      <c r="E1559" s="31"/>
      <c r="F1559" s="31"/>
      <c r="G1559" s="19" t="e">
        <f t="shared" si="30"/>
        <v>#DIV/0!</v>
      </c>
      <c r="H1559" s="20" t="str">
        <f ca="1">IFERROR(__xludf.DUMMYFUNCTION("IF(COUNTIFS($C$2:C1559, C1559, $A$2:A1559, ""&lt;="" &amp; A1559) &lt; 30, AVERAGEIF($C$2:C1559, C1559, $G$2:G1559), AVERAGE(FILTER($G$2:G1559, $C$2:C1559 = C1559, $A$2:A1559 &gt;= A1559 - 30)))
"),"#DIV/0!")</f>
        <v>#DIV/0!</v>
      </c>
      <c r="I1559" s="20" t="e">
        <f t="shared" ca="1" si="31"/>
        <v>#DIV/0!</v>
      </c>
      <c r="J1559" s="20" t="str">
        <f ca="1">IFERROR(__xludf.DUMMYFUNCTION("IF(OR($I1559=2, $I1559=3), 0, IFERROR(COUNTIFS($C$2:C1559, $C1559, $A$2:A1559, ""&gt;""&amp;IFERROR(MAX(FILTER($A$2:A1559, $C$2:C1559=$C1559, $I$2:I1559&lt;&gt;1)), 0), $I$2:I1559, 1),1))
"),"#DIV/0!")</f>
        <v>#DIV/0!</v>
      </c>
      <c r="K1559" s="7" t="e">
        <f t="shared" ca="1" si="32"/>
        <v>#DIV/0!</v>
      </c>
      <c r="L1559" s="20" t="e">
        <f t="shared" ca="1" si="33"/>
        <v>#DIV/0!</v>
      </c>
      <c r="M1559" s="21" t="e">
        <f t="shared" ca="1" si="34"/>
        <v>#DIV/0!</v>
      </c>
      <c r="N1559" s="20" t="str">
        <f ca="1">IFERROR(__xludf.DUMMYFUNCTION("IF(COUNTIFS($C$2:C1559, C1559, $A$2:A1559, ""&lt;="" &amp; A1559) &lt; 30, STDEV.P(FILTER($G$2:G1559, $C$2:C1559 = C1559)), STDEV.P(FILTER($G$2:G1559, $C$2:C1559 = C1559, $A$2:A1559 &gt;= A1559 - 30)))
"),"#DIV/0!")</f>
        <v>#DIV/0!</v>
      </c>
    </row>
    <row r="1560" spans="1:14" x14ac:dyDescent="0.2">
      <c r="A1560" s="41"/>
      <c r="B1560" s="40"/>
      <c r="C1560" s="40"/>
      <c r="D1560" s="31"/>
      <c r="E1560" s="31"/>
      <c r="F1560" s="31"/>
      <c r="G1560" s="19" t="e">
        <f t="shared" si="30"/>
        <v>#DIV/0!</v>
      </c>
      <c r="H1560" s="20" t="str">
        <f ca="1">IFERROR(__xludf.DUMMYFUNCTION("IF(COUNTIFS($C$2:C1560, C1560, $A$2:A1560, ""&lt;="" &amp; A1560) &lt; 30, AVERAGEIF($C$2:C1560, C1560, $G$2:G1560), AVERAGE(FILTER($G$2:G1560, $C$2:C1560 = C1560, $A$2:A1560 &gt;= A1560 - 30)))
"),"#DIV/0!")</f>
        <v>#DIV/0!</v>
      </c>
      <c r="I1560" s="20" t="e">
        <f t="shared" ca="1" si="31"/>
        <v>#DIV/0!</v>
      </c>
      <c r="J1560" s="20" t="str">
        <f ca="1">IFERROR(__xludf.DUMMYFUNCTION("IF(OR($I1560=2, $I1560=3), 0, IFERROR(COUNTIFS($C$2:C1560, $C1560, $A$2:A1560, ""&gt;""&amp;IFERROR(MAX(FILTER($A$2:A1560, $C$2:C1560=$C1560, $I$2:I1560&lt;&gt;1)), 0), $I$2:I1560, 1),1))
"),"#DIV/0!")</f>
        <v>#DIV/0!</v>
      </c>
      <c r="K1560" s="7" t="e">
        <f t="shared" ca="1" si="32"/>
        <v>#DIV/0!</v>
      </c>
      <c r="L1560" s="20" t="e">
        <f t="shared" ca="1" si="33"/>
        <v>#DIV/0!</v>
      </c>
      <c r="M1560" s="21" t="e">
        <f t="shared" ca="1" si="34"/>
        <v>#DIV/0!</v>
      </c>
      <c r="N1560" s="20" t="str">
        <f ca="1">IFERROR(__xludf.DUMMYFUNCTION("IF(COUNTIFS($C$2:C1560, C1560, $A$2:A1560, ""&lt;="" &amp; A1560) &lt; 30, STDEV.P(FILTER($G$2:G1560, $C$2:C1560 = C1560)), STDEV.P(FILTER($G$2:G1560, $C$2:C1560 = C1560, $A$2:A1560 &gt;= A1560 - 30)))
"),"#DIV/0!")</f>
        <v>#DIV/0!</v>
      </c>
    </row>
    <row r="1561" spans="1:14" x14ac:dyDescent="0.2">
      <c r="A1561" s="41"/>
      <c r="B1561" s="40"/>
      <c r="C1561" s="40"/>
      <c r="D1561" s="31"/>
      <c r="E1561" s="31"/>
      <c r="F1561" s="31"/>
      <c r="G1561" s="19" t="e">
        <f t="shared" si="30"/>
        <v>#DIV/0!</v>
      </c>
      <c r="H1561" s="20" t="str">
        <f ca="1">IFERROR(__xludf.DUMMYFUNCTION("IF(COUNTIFS($C$2:C1561, C1561, $A$2:A1561, ""&lt;="" &amp; A1561) &lt; 30, AVERAGEIF($C$2:C1561, C1561, $G$2:G1561), AVERAGE(FILTER($G$2:G1561, $C$2:C1561 = C1561, $A$2:A1561 &gt;= A1561 - 30)))
"),"#DIV/0!")</f>
        <v>#DIV/0!</v>
      </c>
      <c r="I1561" s="20" t="e">
        <f t="shared" ca="1" si="31"/>
        <v>#DIV/0!</v>
      </c>
      <c r="J1561" s="20" t="str">
        <f ca="1">IFERROR(__xludf.DUMMYFUNCTION("IF(OR($I1561=2, $I1561=3), 0, IFERROR(COUNTIFS($C$2:C1561, $C1561, $A$2:A1561, ""&gt;""&amp;IFERROR(MAX(FILTER($A$2:A1561, $C$2:C1561=$C1561, $I$2:I1561&lt;&gt;1)), 0), $I$2:I1561, 1),1))
"),"#DIV/0!")</f>
        <v>#DIV/0!</v>
      </c>
      <c r="K1561" s="7" t="e">
        <f t="shared" ca="1" si="32"/>
        <v>#DIV/0!</v>
      </c>
      <c r="L1561" s="20" t="e">
        <f t="shared" ca="1" si="33"/>
        <v>#DIV/0!</v>
      </c>
      <c r="M1561" s="21" t="e">
        <f t="shared" ca="1" si="34"/>
        <v>#DIV/0!</v>
      </c>
      <c r="N1561" s="20" t="str">
        <f ca="1">IFERROR(__xludf.DUMMYFUNCTION("IF(COUNTIFS($C$2:C1561, C1561, $A$2:A1561, ""&lt;="" &amp; A1561) &lt; 30, STDEV.P(FILTER($G$2:G1561, $C$2:C1561 = C1561)), STDEV.P(FILTER($G$2:G1561, $C$2:C1561 = C1561, $A$2:A1561 &gt;= A1561 - 30)))
"),"#DIV/0!")</f>
        <v>#DIV/0!</v>
      </c>
    </row>
    <row r="1562" spans="1:14" x14ac:dyDescent="0.2">
      <c r="A1562" s="41"/>
      <c r="B1562" s="40"/>
      <c r="C1562" s="40"/>
      <c r="D1562" s="31"/>
      <c r="E1562" s="31"/>
      <c r="F1562" s="31"/>
      <c r="G1562" s="19" t="e">
        <f t="shared" si="30"/>
        <v>#DIV/0!</v>
      </c>
      <c r="H1562" s="20" t="str">
        <f ca="1">IFERROR(__xludf.DUMMYFUNCTION("IF(COUNTIFS($C$2:C1562, C1562, $A$2:A1562, ""&lt;="" &amp; A1562) &lt; 30, AVERAGEIF($C$2:C1562, C1562, $G$2:G1562), AVERAGE(FILTER($G$2:G1562, $C$2:C1562 = C1562, $A$2:A1562 &gt;= A1562 - 30)))
"),"#DIV/0!")</f>
        <v>#DIV/0!</v>
      </c>
      <c r="I1562" s="20" t="e">
        <f t="shared" ca="1" si="31"/>
        <v>#DIV/0!</v>
      </c>
      <c r="J1562" s="20" t="str">
        <f ca="1">IFERROR(__xludf.DUMMYFUNCTION("IF(OR($I1562=2, $I1562=3), 0, IFERROR(COUNTIFS($C$2:C1562, $C1562, $A$2:A1562, ""&gt;""&amp;IFERROR(MAX(FILTER($A$2:A1562, $C$2:C1562=$C1562, $I$2:I1562&lt;&gt;1)), 0), $I$2:I1562, 1),1))
"),"#DIV/0!")</f>
        <v>#DIV/0!</v>
      </c>
      <c r="K1562" s="7" t="e">
        <f t="shared" ca="1" si="32"/>
        <v>#DIV/0!</v>
      </c>
      <c r="L1562" s="20" t="e">
        <f t="shared" ca="1" si="33"/>
        <v>#DIV/0!</v>
      </c>
      <c r="M1562" s="21" t="e">
        <f t="shared" ca="1" si="34"/>
        <v>#DIV/0!</v>
      </c>
      <c r="N1562" s="20" t="str">
        <f ca="1">IFERROR(__xludf.DUMMYFUNCTION("IF(COUNTIFS($C$2:C1562, C1562, $A$2:A1562, ""&lt;="" &amp; A1562) &lt; 30, STDEV.P(FILTER($G$2:G1562, $C$2:C1562 = C1562)), STDEV.P(FILTER($G$2:G1562, $C$2:C1562 = C1562, $A$2:A1562 &gt;= A1562 - 30)))
"),"#DIV/0!")</f>
        <v>#DIV/0!</v>
      </c>
    </row>
    <row r="1563" spans="1:14" x14ac:dyDescent="0.2">
      <c r="A1563" s="41"/>
      <c r="B1563" s="40"/>
      <c r="C1563" s="40"/>
      <c r="D1563" s="31"/>
      <c r="E1563" s="31"/>
      <c r="F1563" s="31"/>
      <c r="G1563" s="19" t="e">
        <f t="shared" si="30"/>
        <v>#DIV/0!</v>
      </c>
      <c r="H1563" s="20" t="str">
        <f ca="1">IFERROR(__xludf.DUMMYFUNCTION("IF(COUNTIFS($C$2:C1563, C1563, $A$2:A1563, ""&lt;="" &amp; A1563) &lt; 30, AVERAGEIF($C$2:C1563, C1563, $G$2:G1563), AVERAGE(FILTER($G$2:G1563, $C$2:C1563 = C1563, $A$2:A1563 &gt;= A1563 - 30)))
"),"#DIV/0!")</f>
        <v>#DIV/0!</v>
      </c>
      <c r="I1563" s="20" t="e">
        <f t="shared" ca="1" si="31"/>
        <v>#DIV/0!</v>
      </c>
      <c r="J1563" s="20" t="str">
        <f ca="1">IFERROR(__xludf.DUMMYFUNCTION("IF(OR($I1563=2, $I1563=3), 0, IFERROR(COUNTIFS($C$2:C1563, $C1563, $A$2:A1563, ""&gt;""&amp;IFERROR(MAX(FILTER($A$2:A1563, $C$2:C1563=$C1563, $I$2:I1563&lt;&gt;1)), 0), $I$2:I1563, 1),1))
"),"#DIV/0!")</f>
        <v>#DIV/0!</v>
      </c>
      <c r="K1563" s="7" t="e">
        <f t="shared" ca="1" si="32"/>
        <v>#DIV/0!</v>
      </c>
      <c r="L1563" s="20" t="e">
        <f t="shared" ca="1" si="33"/>
        <v>#DIV/0!</v>
      </c>
      <c r="M1563" s="21" t="e">
        <f t="shared" ca="1" si="34"/>
        <v>#DIV/0!</v>
      </c>
      <c r="N1563" s="20" t="str">
        <f ca="1">IFERROR(__xludf.DUMMYFUNCTION("IF(COUNTIFS($C$2:C1563, C1563, $A$2:A1563, ""&lt;="" &amp; A1563) &lt; 30, STDEV.P(FILTER($G$2:G1563, $C$2:C1563 = C1563)), STDEV.P(FILTER($G$2:G1563, $C$2:C1563 = C1563, $A$2:A1563 &gt;= A1563 - 30)))
"),"#DIV/0!")</f>
        <v>#DIV/0!</v>
      </c>
    </row>
    <row r="1564" spans="1:14" x14ac:dyDescent="0.2">
      <c r="A1564" s="41"/>
      <c r="B1564" s="40"/>
      <c r="C1564" s="40"/>
      <c r="D1564" s="31"/>
      <c r="E1564" s="31"/>
      <c r="F1564" s="31"/>
      <c r="G1564" s="19" t="e">
        <f t="shared" si="30"/>
        <v>#DIV/0!</v>
      </c>
      <c r="H1564" s="20" t="str">
        <f ca="1">IFERROR(__xludf.DUMMYFUNCTION("IF(COUNTIFS($C$2:C1564, C1564, $A$2:A1564, ""&lt;="" &amp; A1564) &lt; 30, AVERAGEIF($C$2:C1564, C1564, $G$2:G1564), AVERAGE(FILTER($G$2:G1564, $C$2:C1564 = C1564, $A$2:A1564 &gt;= A1564 - 30)))
"),"#DIV/0!")</f>
        <v>#DIV/0!</v>
      </c>
      <c r="I1564" s="20" t="e">
        <f t="shared" ca="1" si="31"/>
        <v>#DIV/0!</v>
      </c>
      <c r="J1564" s="20" t="str">
        <f ca="1">IFERROR(__xludf.DUMMYFUNCTION("IF(OR($I1564=2, $I1564=3), 0, IFERROR(COUNTIFS($C$2:C1564, $C1564, $A$2:A1564, ""&gt;""&amp;IFERROR(MAX(FILTER($A$2:A1564, $C$2:C1564=$C1564, $I$2:I1564&lt;&gt;1)), 0), $I$2:I1564, 1),1))
"),"#DIV/0!")</f>
        <v>#DIV/0!</v>
      </c>
      <c r="K1564" s="7" t="e">
        <f t="shared" ca="1" si="32"/>
        <v>#DIV/0!</v>
      </c>
      <c r="L1564" s="20" t="e">
        <f t="shared" ca="1" si="33"/>
        <v>#DIV/0!</v>
      </c>
      <c r="M1564" s="21" t="e">
        <f t="shared" ca="1" si="34"/>
        <v>#DIV/0!</v>
      </c>
      <c r="N1564" s="20" t="str">
        <f ca="1">IFERROR(__xludf.DUMMYFUNCTION("IF(COUNTIFS($C$2:C1564, C1564, $A$2:A1564, ""&lt;="" &amp; A1564) &lt; 30, STDEV.P(FILTER($G$2:G1564, $C$2:C1564 = C1564)), STDEV.P(FILTER($G$2:G1564, $C$2:C1564 = C1564, $A$2:A1564 &gt;= A1564 - 30)))
"),"#DIV/0!")</f>
        <v>#DIV/0!</v>
      </c>
    </row>
    <row r="1565" spans="1:14" x14ac:dyDescent="0.2">
      <c r="A1565" s="41"/>
      <c r="B1565" s="40"/>
      <c r="C1565" s="40"/>
      <c r="D1565" s="31"/>
      <c r="E1565" s="31"/>
      <c r="F1565" s="31"/>
      <c r="G1565" s="19" t="e">
        <f t="shared" si="30"/>
        <v>#DIV/0!</v>
      </c>
      <c r="H1565" s="20" t="str">
        <f ca="1">IFERROR(__xludf.DUMMYFUNCTION("IF(COUNTIFS($C$2:C1565, C1565, $A$2:A1565, ""&lt;="" &amp; A1565) &lt; 30, AVERAGEIF($C$2:C1565, C1565, $G$2:G1565), AVERAGE(FILTER($G$2:G1565, $C$2:C1565 = C1565, $A$2:A1565 &gt;= A1565 - 30)))
"),"#DIV/0!")</f>
        <v>#DIV/0!</v>
      </c>
      <c r="I1565" s="20" t="e">
        <f t="shared" ca="1" si="31"/>
        <v>#DIV/0!</v>
      </c>
      <c r="J1565" s="20" t="str">
        <f ca="1">IFERROR(__xludf.DUMMYFUNCTION("IF(OR($I1565=2, $I1565=3), 0, IFERROR(COUNTIFS($C$2:C1565, $C1565, $A$2:A1565, ""&gt;""&amp;IFERROR(MAX(FILTER($A$2:A1565, $C$2:C1565=$C1565, $I$2:I1565&lt;&gt;1)), 0), $I$2:I1565, 1),1))
"),"#DIV/0!")</f>
        <v>#DIV/0!</v>
      </c>
      <c r="K1565" s="7" t="e">
        <f t="shared" ca="1" si="32"/>
        <v>#DIV/0!</v>
      </c>
      <c r="L1565" s="20" t="e">
        <f t="shared" ca="1" si="33"/>
        <v>#DIV/0!</v>
      </c>
      <c r="M1565" s="21" t="e">
        <f t="shared" ca="1" si="34"/>
        <v>#DIV/0!</v>
      </c>
      <c r="N1565" s="20" t="str">
        <f ca="1">IFERROR(__xludf.DUMMYFUNCTION("IF(COUNTIFS($C$2:C1565, C1565, $A$2:A1565, ""&lt;="" &amp; A1565) &lt; 30, STDEV.P(FILTER($G$2:G1565, $C$2:C1565 = C1565)), STDEV.P(FILTER($G$2:G1565, $C$2:C1565 = C1565, $A$2:A1565 &gt;= A1565 - 30)))
"),"#DIV/0!")</f>
        <v>#DIV/0!</v>
      </c>
    </row>
    <row r="1566" spans="1:14" x14ac:dyDescent="0.2">
      <c r="A1566" s="41"/>
      <c r="B1566" s="40"/>
      <c r="C1566" s="40"/>
      <c r="D1566" s="31"/>
      <c r="E1566" s="31"/>
      <c r="F1566" s="31"/>
      <c r="G1566" s="19" t="e">
        <f t="shared" si="30"/>
        <v>#DIV/0!</v>
      </c>
      <c r="H1566" s="20" t="str">
        <f ca="1">IFERROR(__xludf.DUMMYFUNCTION("IF(COUNTIFS($C$2:C1566, C1566, $A$2:A1566, ""&lt;="" &amp; A1566) &lt; 30, AVERAGEIF($C$2:C1566, C1566, $G$2:G1566), AVERAGE(FILTER($G$2:G1566, $C$2:C1566 = C1566, $A$2:A1566 &gt;= A1566 - 30)))
"),"#DIV/0!")</f>
        <v>#DIV/0!</v>
      </c>
      <c r="I1566" s="20" t="e">
        <f t="shared" ca="1" si="31"/>
        <v>#DIV/0!</v>
      </c>
      <c r="J1566" s="20" t="str">
        <f ca="1">IFERROR(__xludf.DUMMYFUNCTION("IF(OR($I1566=2, $I1566=3), 0, IFERROR(COUNTIFS($C$2:C1566, $C1566, $A$2:A1566, ""&gt;""&amp;IFERROR(MAX(FILTER($A$2:A1566, $C$2:C1566=$C1566, $I$2:I1566&lt;&gt;1)), 0), $I$2:I1566, 1),1))
"),"#DIV/0!")</f>
        <v>#DIV/0!</v>
      </c>
      <c r="K1566" s="7" t="e">
        <f t="shared" ca="1" si="32"/>
        <v>#DIV/0!</v>
      </c>
      <c r="L1566" s="20" t="e">
        <f t="shared" ca="1" si="33"/>
        <v>#DIV/0!</v>
      </c>
      <c r="M1566" s="21" t="e">
        <f t="shared" ca="1" si="34"/>
        <v>#DIV/0!</v>
      </c>
      <c r="N1566" s="20" t="str">
        <f ca="1">IFERROR(__xludf.DUMMYFUNCTION("IF(COUNTIFS($C$2:C1566, C1566, $A$2:A1566, ""&lt;="" &amp; A1566) &lt; 30, STDEV.P(FILTER($G$2:G1566, $C$2:C1566 = C1566)), STDEV.P(FILTER($G$2:G1566, $C$2:C1566 = C1566, $A$2:A1566 &gt;= A1566 - 30)))
"),"#DIV/0!")</f>
        <v>#DIV/0!</v>
      </c>
    </row>
    <row r="1567" spans="1:14" x14ac:dyDescent="0.2">
      <c r="A1567" s="41"/>
      <c r="B1567" s="40"/>
      <c r="C1567" s="40"/>
      <c r="D1567" s="31"/>
      <c r="E1567" s="31"/>
      <c r="F1567" s="31"/>
      <c r="G1567" s="19" t="e">
        <f t="shared" si="30"/>
        <v>#DIV/0!</v>
      </c>
      <c r="H1567" s="20" t="str">
        <f ca="1">IFERROR(__xludf.DUMMYFUNCTION("IF(COUNTIFS($C$2:C1567, C1567, $A$2:A1567, ""&lt;="" &amp; A1567) &lt; 30, AVERAGEIF($C$2:C1567, C1567, $G$2:G1567), AVERAGE(FILTER($G$2:G1567, $C$2:C1567 = C1567, $A$2:A1567 &gt;= A1567 - 30)))
"),"#DIV/0!")</f>
        <v>#DIV/0!</v>
      </c>
      <c r="I1567" s="20" t="e">
        <f t="shared" ca="1" si="31"/>
        <v>#DIV/0!</v>
      </c>
      <c r="J1567" s="20" t="str">
        <f ca="1">IFERROR(__xludf.DUMMYFUNCTION("IF(OR($I1567=2, $I1567=3), 0, IFERROR(COUNTIFS($C$2:C1567, $C1567, $A$2:A1567, ""&gt;""&amp;IFERROR(MAX(FILTER($A$2:A1567, $C$2:C1567=$C1567, $I$2:I1567&lt;&gt;1)), 0), $I$2:I1567, 1),1))
"),"#DIV/0!")</f>
        <v>#DIV/0!</v>
      </c>
      <c r="K1567" s="7" t="e">
        <f t="shared" ca="1" si="32"/>
        <v>#DIV/0!</v>
      </c>
      <c r="L1567" s="20" t="e">
        <f t="shared" ca="1" si="33"/>
        <v>#DIV/0!</v>
      </c>
      <c r="M1567" s="21" t="e">
        <f t="shared" ca="1" si="34"/>
        <v>#DIV/0!</v>
      </c>
      <c r="N1567" s="20" t="str">
        <f ca="1">IFERROR(__xludf.DUMMYFUNCTION("IF(COUNTIFS($C$2:C1567, C1567, $A$2:A1567, ""&lt;="" &amp; A1567) &lt; 30, STDEV.P(FILTER($G$2:G1567, $C$2:C1567 = C1567)), STDEV.P(FILTER($G$2:G1567, $C$2:C1567 = C1567, $A$2:A1567 &gt;= A1567 - 30)))
"),"#DIV/0!")</f>
        <v>#DIV/0!</v>
      </c>
    </row>
    <row r="1568" spans="1:14" x14ac:dyDescent="0.2">
      <c r="A1568" s="41"/>
      <c r="B1568" s="40"/>
      <c r="C1568" s="40"/>
      <c r="D1568" s="31"/>
      <c r="E1568" s="31"/>
      <c r="F1568" s="31"/>
      <c r="G1568" s="19" t="e">
        <f t="shared" si="30"/>
        <v>#DIV/0!</v>
      </c>
      <c r="H1568" s="20" t="str">
        <f ca="1">IFERROR(__xludf.DUMMYFUNCTION("IF(COUNTIFS($C$2:C1568, C1568, $A$2:A1568, ""&lt;="" &amp; A1568) &lt; 30, AVERAGEIF($C$2:C1568, C1568, $G$2:G1568), AVERAGE(FILTER($G$2:G1568, $C$2:C1568 = C1568, $A$2:A1568 &gt;= A1568 - 30)))
"),"#DIV/0!")</f>
        <v>#DIV/0!</v>
      </c>
      <c r="I1568" s="20" t="e">
        <f t="shared" ca="1" si="31"/>
        <v>#DIV/0!</v>
      </c>
      <c r="J1568" s="20" t="str">
        <f ca="1">IFERROR(__xludf.DUMMYFUNCTION("IF(OR($I1568=2, $I1568=3), 0, IFERROR(COUNTIFS($C$2:C1568, $C1568, $A$2:A1568, ""&gt;""&amp;IFERROR(MAX(FILTER($A$2:A1568, $C$2:C1568=$C1568, $I$2:I1568&lt;&gt;1)), 0), $I$2:I1568, 1),1))
"),"#DIV/0!")</f>
        <v>#DIV/0!</v>
      </c>
      <c r="K1568" s="7" t="e">
        <f t="shared" ca="1" si="32"/>
        <v>#DIV/0!</v>
      </c>
      <c r="L1568" s="20" t="e">
        <f t="shared" ca="1" si="33"/>
        <v>#DIV/0!</v>
      </c>
      <c r="M1568" s="21" t="e">
        <f t="shared" ca="1" si="34"/>
        <v>#DIV/0!</v>
      </c>
      <c r="N1568" s="20" t="str">
        <f ca="1">IFERROR(__xludf.DUMMYFUNCTION("IF(COUNTIFS($C$2:C1568, C1568, $A$2:A1568, ""&lt;="" &amp; A1568) &lt; 30, STDEV.P(FILTER($G$2:G1568, $C$2:C1568 = C1568)), STDEV.P(FILTER($G$2:G1568, $C$2:C1568 = C1568, $A$2:A1568 &gt;= A1568 - 30)))
"),"#DIV/0!")</f>
        <v>#DIV/0!</v>
      </c>
    </row>
    <row r="1569" spans="1:14" x14ac:dyDescent="0.2">
      <c r="A1569" s="41"/>
      <c r="B1569" s="40"/>
      <c r="C1569" s="40"/>
      <c r="D1569" s="31"/>
      <c r="E1569" s="31"/>
      <c r="F1569" s="31"/>
      <c r="G1569" s="19" t="e">
        <f t="shared" si="30"/>
        <v>#DIV/0!</v>
      </c>
      <c r="H1569" s="20" t="str">
        <f ca="1">IFERROR(__xludf.DUMMYFUNCTION("IF(COUNTIFS($C$2:C1569, C1569, $A$2:A1569, ""&lt;="" &amp; A1569) &lt; 30, AVERAGEIF($C$2:C1569, C1569, $G$2:G1569), AVERAGE(FILTER($G$2:G1569, $C$2:C1569 = C1569, $A$2:A1569 &gt;= A1569 - 30)))
"),"#DIV/0!")</f>
        <v>#DIV/0!</v>
      </c>
      <c r="I1569" s="20" t="e">
        <f t="shared" ca="1" si="31"/>
        <v>#DIV/0!</v>
      </c>
      <c r="J1569" s="20" t="str">
        <f ca="1">IFERROR(__xludf.DUMMYFUNCTION("IF(OR($I1569=2, $I1569=3), 0, IFERROR(COUNTIFS($C$2:C1569, $C1569, $A$2:A1569, ""&gt;""&amp;IFERROR(MAX(FILTER($A$2:A1569, $C$2:C1569=$C1569, $I$2:I1569&lt;&gt;1)), 0), $I$2:I1569, 1),1))
"),"#DIV/0!")</f>
        <v>#DIV/0!</v>
      </c>
      <c r="K1569" s="7" t="e">
        <f t="shared" ca="1" si="32"/>
        <v>#DIV/0!</v>
      </c>
      <c r="L1569" s="20" t="e">
        <f t="shared" ca="1" si="33"/>
        <v>#DIV/0!</v>
      </c>
      <c r="M1569" s="21" t="e">
        <f t="shared" ca="1" si="34"/>
        <v>#DIV/0!</v>
      </c>
      <c r="N1569" s="20" t="str">
        <f ca="1">IFERROR(__xludf.DUMMYFUNCTION("IF(COUNTIFS($C$2:C1569, C1569, $A$2:A1569, ""&lt;="" &amp; A1569) &lt; 30, STDEV.P(FILTER($G$2:G1569, $C$2:C1569 = C1569)), STDEV.P(FILTER($G$2:G1569, $C$2:C1569 = C1569, $A$2:A1569 &gt;= A1569 - 30)))
"),"#DIV/0!")</f>
        <v>#DIV/0!</v>
      </c>
    </row>
    <row r="1570" spans="1:14" x14ac:dyDescent="0.2">
      <c r="A1570" s="41"/>
      <c r="B1570" s="40"/>
      <c r="C1570" s="40"/>
      <c r="D1570" s="31"/>
      <c r="E1570" s="31"/>
      <c r="F1570" s="31"/>
      <c r="G1570" s="19" t="e">
        <f t="shared" si="30"/>
        <v>#DIV/0!</v>
      </c>
      <c r="H1570" s="20" t="str">
        <f ca="1">IFERROR(__xludf.DUMMYFUNCTION("IF(COUNTIFS($C$2:C1570, C1570, $A$2:A1570, ""&lt;="" &amp; A1570) &lt; 30, AVERAGEIF($C$2:C1570, C1570, $G$2:G1570), AVERAGE(FILTER($G$2:G1570, $C$2:C1570 = C1570, $A$2:A1570 &gt;= A1570 - 30)))
"),"#DIV/0!")</f>
        <v>#DIV/0!</v>
      </c>
      <c r="I1570" s="20" t="e">
        <f t="shared" ca="1" si="31"/>
        <v>#DIV/0!</v>
      </c>
      <c r="J1570" s="20" t="str">
        <f ca="1">IFERROR(__xludf.DUMMYFUNCTION("IF(OR($I1570=2, $I1570=3), 0, IFERROR(COUNTIFS($C$2:C1570, $C1570, $A$2:A1570, ""&gt;""&amp;IFERROR(MAX(FILTER($A$2:A1570, $C$2:C1570=$C1570, $I$2:I1570&lt;&gt;1)), 0), $I$2:I1570, 1),1))
"),"#DIV/0!")</f>
        <v>#DIV/0!</v>
      </c>
      <c r="K1570" s="7" t="e">
        <f t="shared" ca="1" si="32"/>
        <v>#DIV/0!</v>
      </c>
      <c r="L1570" s="20" t="e">
        <f t="shared" ca="1" si="33"/>
        <v>#DIV/0!</v>
      </c>
      <c r="M1570" s="21" t="e">
        <f t="shared" ca="1" si="34"/>
        <v>#DIV/0!</v>
      </c>
      <c r="N1570" s="20" t="str">
        <f ca="1">IFERROR(__xludf.DUMMYFUNCTION("IF(COUNTIFS($C$2:C1570, C1570, $A$2:A1570, ""&lt;="" &amp; A1570) &lt; 30, STDEV.P(FILTER($G$2:G1570, $C$2:C1570 = C1570)), STDEV.P(FILTER($G$2:G1570, $C$2:C1570 = C1570, $A$2:A1570 &gt;= A1570 - 30)))
"),"#DIV/0!")</f>
        <v>#DIV/0!</v>
      </c>
    </row>
    <row r="1571" spans="1:14" x14ac:dyDescent="0.2">
      <c r="A1571" s="41"/>
      <c r="B1571" s="40"/>
      <c r="C1571" s="40"/>
      <c r="D1571" s="31"/>
      <c r="E1571" s="31"/>
      <c r="F1571" s="31"/>
      <c r="G1571" s="19" t="e">
        <f t="shared" si="30"/>
        <v>#DIV/0!</v>
      </c>
      <c r="H1571" s="20" t="str">
        <f ca="1">IFERROR(__xludf.DUMMYFUNCTION("IF(COUNTIFS($C$2:C1571, C1571, $A$2:A1571, ""&lt;="" &amp; A1571) &lt; 30, AVERAGEIF($C$2:C1571, C1571, $G$2:G1571), AVERAGE(FILTER($G$2:G1571, $C$2:C1571 = C1571, $A$2:A1571 &gt;= A1571 - 30)))
"),"#DIV/0!")</f>
        <v>#DIV/0!</v>
      </c>
      <c r="I1571" s="20" t="e">
        <f t="shared" ca="1" si="31"/>
        <v>#DIV/0!</v>
      </c>
      <c r="J1571" s="20" t="str">
        <f ca="1">IFERROR(__xludf.DUMMYFUNCTION("IF(OR($I1571=2, $I1571=3), 0, IFERROR(COUNTIFS($C$2:C1571, $C1571, $A$2:A1571, ""&gt;""&amp;IFERROR(MAX(FILTER($A$2:A1571, $C$2:C1571=$C1571, $I$2:I1571&lt;&gt;1)), 0), $I$2:I1571, 1),1))
"),"#DIV/0!")</f>
        <v>#DIV/0!</v>
      </c>
      <c r="K1571" s="7" t="e">
        <f t="shared" ca="1" si="32"/>
        <v>#DIV/0!</v>
      </c>
      <c r="L1571" s="20" t="e">
        <f t="shared" ca="1" si="33"/>
        <v>#DIV/0!</v>
      </c>
      <c r="M1571" s="21" t="e">
        <f t="shared" ca="1" si="34"/>
        <v>#DIV/0!</v>
      </c>
      <c r="N1571" s="20" t="str">
        <f ca="1">IFERROR(__xludf.DUMMYFUNCTION("IF(COUNTIFS($C$2:C1571, C1571, $A$2:A1571, ""&lt;="" &amp; A1571) &lt; 30, STDEV.P(FILTER($G$2:G1571, $C$2:C1571 = C1571)), STDEV.P(FILTER($G$2:G1571, $C$2:C1571 = C1571, $A$2:A1571 &gt;= A1571 - 30)))
"),"#DIV/0!")</f>
        <v>#DIV/0!</v>
      </c>
    </row>
    <row r="1572" spans="1:14" x14ac:dyDescent="0.2">
      <c r="A1572" s="41"/>
      <c r="B1572" s="40"/>
      <c r="C1572" s="40"/>
      <c r="D1572" s="31"/>
      <c r="E1572" s="31"/>
      <c r="F1572" s="31"/>
      <c r="G1572" s="19" t="e">
        <f t="shared" si="30"/>
        <v>#DIV/0!</v>
      </c>
      <c r="H1572" s="20" t="str">
        <f ca="1">IFERROR(__xludf.DUMMYFUNCTION("IF(COUNTIFS($C$2:C1572, C1572, $A$2:A1572, ""&lt;="" &amp; A1572) &lt; 30, AVERAGEIF($C$2:C1572, C1572, $G$2:G1572), AVERAGE(FILTER($G$2:G1572, $C$2:C1572 = C1572, $A$2:A1572 &gt;= A1572 - 30)))
"),"#DIV/0!")</f>
        <v>#DIV/0!</v>
      </c>
      <c r="I1572" s="20" t="e">
        <f t="shared" ca="1" si="31"/>
        <v>#DIV/0!</v>
      </c>
      <c r="J1572" s="20" t="str">
        <f ca="1">IFERROR(__xludf.DUMMYFUNCTION("IF(OR($I1572=2, $I1572=3), 0, IFERROR(COUNTIFS($C$2:C1572, $C1572, $A$2:A1572, ""&gt;""&amp;IFERROR(MAX(FILTER($A$2:A1572, $C$2:C1572=$C1572, $I$2:I1572&lt;&gt;1)), 0), $I$2:I1572, 1),1))
"),"#DIV/0!")</f>
        <v>#DIV/0!</v>
      </c>
      <c r="K1572" s="7" t="e">
        <f t="shared" ca="1" si="32"/>
        <v>#DIV/0!</v>
      </c>
      <c r="L1572" s="20" t="e">
        <f t="shared" ca="1" si="33"/>
        <v>#DIV/0!</v>
      </c>
      <c r="M1572" s="21" t="e">
        <f t="shared" ca="1" si="34"/>
        <v>#DIV/0!</v>
      </c>
      <c r="N1572" s="20" t="str">
        <f ca="1">IFERROR(__xludf.DUMMYFUNCTION("IF(COUNTIFS($C$2:C1572, C1572, $A$2:A1572, ""&lt;="" &amp; A1572) &lt; 30, STDEV.P(FILTER($G$2:G1572, $C$2:C1572 = C1572)), STDEV.P(FILTER($G$2:G1572, $C$2:C1572 = C1572, $A$2:A1572 &gt;= A1572 - 30)))
"),"#DIV/0!")</f>
        <v>#DIV/0!</v>
      </c>
    </row>
    <row r="1573" spans="1:14" x14ac:dyDescent="0.2">
      <c r="A1573" s="41"/>
      <c r="B1573" s="40"/>
      <c r="C1573" s="40"/>
      <c r="D1573" s="31"/>
      <c r="E1573" s="31"/>
      <c r="F1573" s="31"/>
      <c r="G1573" s="19" t="e">
        <f t="shared" si="30"/>
        <v>#DIV/0!</v>
      </c>
      <c r="H1573" s="20" t="str">
        <f ca="1">IFERROR(__xludf.DUMMYFUNCTION("IF(COUNTIFS($C$2:C1573, C1573, $A$2:A1573, ""&lt;="" &amp; A1573) &lt; 30, AVERAGEIF($C$2:C1573, C1573, $G$2:G1573), AVERAGE(FILTER($G$2:G1573, $C$2:C1573 = C1573, $A$2:A1573 &gt;= A1573 - 30)))
"),"#DIV/0!")</f>
        <v>#DIV/0!</v>
      </c>
      <c r="I1573" s="20" t="e">
        <f t="shared" ca="1" si="31"/>
        <v>#DIV/0!</v>
      </c>
      <c r="J1573" s="20" t="str">
        <f ca="1">IFERROR(__xludf.DUMMYFUNCTION("IF(OR($I1573=2, $I1573=3), 0, IFERROR(COUNTIFS($C$2:C1573, $C1573, $A$2:A1573, ""&gt;""&amp;IFERROR(MAX(FILTER($A$2:A1573, $C$2:C1573=$C1573, $I$2:I1573&lt;&gt;1)), 0), $I$2:I1573, 1),1))
"),"#DIV/0!")</f>
        <v>#DIV/0!</v>
      </c>
      <c r="K1573" s="7" t="e">
        <f t="shared" ca="1" si="32"/>
        <v>#DIV/0!</v>
      </c>
      <c r="L1573" s="20" t="e">
        <f t="shared" ca="1" si="33"/>
        <v>#DIV/0!</v>
      </c>
      <c r="M1573" s="21" t="e">
        <f t="shared" ca="1" si="34"/>
        <v>#DIV/0!</v>
      </c>
      <c r="N1573" s="20" t="str">
        <f ca="1">IFERROR(__xludf.DUMMYFUNCTION("IF(COUNTIFS($C$2:C1573, C1573, $A$2:A1573, ""&lt;="" &amp; A1573) &lt; 30, STDEV.P(FILTER($G$2:G1573, $C$2:C1573 = C1573)), STDEV.P(FILTER($G$2:G1573, $C$2:C1573 = C1573, $A$2:A1573 &gt;= A1573 - 30)))
"),"#DIV/0!")</f>
        <v>#DIV/0!</v>
      </c>
    </row>
    <row r="1574" spans="1:14" x14ac:dyDescent="0.2">
      <c r="A1574" s="41"/>
      <c r="B1574" s="40"/>
      <c r="C1574" s="40"/>
      <c r="D1574" s="31"/>
      <c r="E1574" s="31"/>
      <c r="F1574" s="31"/>
      <c r="G1574" s="19" t="e">
        <f t="shared" si="30"/>
        <v>#DIV/0!</v>
      </c>
      <c r="H1574" s="20" t="str">
        <f ca="1">IFERROR(__xludf.DUMMYFUNCTION("IF(COUNTIFS($C$2:C1574, C1574, $A$2:A1574, ""&lt;="" &amp; A1574) &lt; 30, AVERAGEIF($C$2:C1574, C1574, $G$2:G1574), AVERAGE(FILTER($G$2:G1574, $C$2:C1574 = C1574, $A$2:A1574 &gt;= A1574 - 30)))
"),"#DIV/0!")</f>
        <v>#DIV/0!</v>
      </c>
      <c r="I1574" s="20" t="e">
        <f t="shared" ca="1" si="31"/>
        <v>#DIV/0!</v>
      </c>
      <c r="J1574" s="20" t="str">
        <f ca="1">IFERROR(__xludf.DUMMYFUNCTION("IF(OR($I1574=2, $I1574=3), 0, IFERROR(COUNTIFS($C$2:C1574, $C1574, $A$2:A1574, ""&gt;""&amp;IFERROR(MAX(FILTER($A$2:A1574, $C$2:C1574=$C1574, $I$2:I1574&lt;&gt;1)), 0), $I$2:I1574, 1),1))
"),"#DIV/0!")</f>
        <v>#DIV/0!</v>
      </c>
      <c r="K1574" s="7" t="e">
        <f t="shared" ca="1" si="32"/>
        <v>#DIV/0!</v>
      </c>
      <c r="L1574" s="20" t="e">
        <f t="shared" ca="1" si="33"/>
        <v>#DIV/0!</v>
      </c>
      <c r="M1574" s="21" t="e">
        <f t="shared" ca="1" si="34"/>
        <v>#DIV/0!</v>
      </c>
      <c r="N1574" s="20" t="str">
        <f ca="1">IFERROR(__xludf.DUMMYFUNCTION("IF(COUNTIFS($C$2:C1574, C1574, $A$2:A1574, ""&lt;="" &amp; A1574) &lt; 30, STDEV.P(FILTER($G$2:G1574, $C$2:C1574 = C1574)), STDEV.P(FILTER($G$2:G1574, $C$2:C1574 = C1574, $A$2:A1574 &gt;= A1574 - 30)))
"),"#DIV/0!")</f>
        <v>#DIV/0!</v>
      </c>
    </row>
    <row r="1575" spans="1:14" x14ac:dyDescent="0.2">
      <c r="A1575" s="41"/>
      <c r="B1575" s="40"/>
      <c r="C1575" s="40"/>
      <c r="D1575" s="31"/>
      <c r="E1575" s="31"/>
      <c r="F1575" s="31"/>
      <c r="G1575" s="19" t="e">
        <f t="shared" si="30"/>
        <v>#DIV/0!</v>
      </c>
      <c r="H1575" s="20" t="str">
        <f ca="1">IFERROR(__xludf.DUMMYFUNCTION("IF(COUNTIFS($C$2:C1575, C1575, $A$2:A1575, ""&lt;="" &amp; A1575) &lt; 30, AVERAGEIF($C$2:C1575, C1575, $G$2:G1575), AVERAGE(FILTER($G$2:G1575, $C$2:C1575 = C1575, $A$2:A1575 &gt;= A1575 - 30)))
"),"#DIV/0!")</f>
        <v>#DIV/0!</v>
      </c>
      <c r="I1575" s="20" t="e">
        <f t="shared" ca="1" si="31"/>
        <v>#DIV/0!</v>
      </c>
      <c r="J1575" s="20" t="str">
        <f ca="1">IFERROR(__xludf.DUMMYFUNCTION("IF(OR($I1575=2, $I1575=3), 0, IFERROR(COUNTIFS($C$2:C1575, $C1575, $A$2:A1575, ""&gt;""&amp;IFERROR(MAX(FILTER($A$2:A1575, $C$2:C1575=$C1575, $I$2:I1575&lt;&gt;1)), 0), $I$2:I1575, 1),1))
"),"#DIV/0!")</f>
        <v>#DIV/0!</v>
      </c>
      <c r="K1575" s="7" t="e">
        <f t="shared" ca="1" si="32"/>
        <v>#DIV/0!</v>
      </c>
      <c r="L1575" s="20" t="e">
        <f t="shared" ca="1" si="33"/>
        <v>#DIV/0!</v>
      </c>
      <c r="M1575" s="21" t="e">
        <f t="shared" ca="1" si="34"/>
        <v>#DIV/0!</v>
      </c>
      <c r="N1575" s="20" t="str">
        <f ca="1">IFERROR(__xludf.DUMMYFUNCTION("IF(COUNTIFS($C$2:C1575, C1575, $A$2:A1575, ""&lt;="" &amp; A1575) &lt; 30, STDEV.P(FILTER($G$2:G1575, $C$2:C1575 = C1575)), STDEV.P(FILTER($G$2:G1575, $C$2:C1575 = C1575, $A$2:A1575 &gt;= A1575 - 30)))
"),"#DIV/0!")</f>
        <v>#DIV/0!</v>
      </c>
    </row>
    <row r="1576" spans="1:14" x14ac:dyDescent="0.2">
      <c r="A1576" s="41"/>
      <c r="B1576" s="40"/>
      <c r="C1576" s="40"/>
      <c r="D1576" s="31"/>
      <c r="E1576" s="31"/>
      <c r="F1576" s="31"/>
      <c r="G1576" s="19" t="e">
        <f t="shared" si="30"/>
        <v>#DIV/0!</v>
      </c>
      <c r="H1576" s="20" t="str">
        <f ca="1">IFERROR(__xludf.DUMMYFUNCTION("IF(COUNTIFS($C$2:C1576, C1576, $A$2:A1576, ""&lt;="" &amp; A1576) &lt; 30, AVERAGEIF($C$2:C1576, C1576, $G$2:G1576), AVERAGE(FILTER($G$2:G1576, $C$2:C1576 = C1576, $A$2:A1576 &gt;= A1576 - 30)))
"),"#DIV/0!")</f>
        <v>#DIV/0!</v>
      </c>
      <c r="I1576" s="20" t="e">
        <f t="shared" ca="1" si="31"/>
        <v>#DIV/0!</v>
      </c>
      <c r="J1576" s="20" t="str">
        <f ca="1">IFERROR(__xludf.DUMMYFUNCTION("IF(OR($I1576=2, $I1576=3), 0, IFERROR(COUNTIFS($C$2:C1576, $C1576, $A$2:A1576, ""&gt;""&amp;IFERROR(MAX(FILTER($A$2:A1576, $C$2:C1576=$C1576, $I$2:I1576&lt;&gt;1)), 0), $I$2:I1576, 1),1))
"),"#DIV/0!")</f>
        <v>#DIV/0!</v>
      </c>
      <c r="K1576" s="7" t="e">
        <f t="shared" ca="1" si="32"/>
        <v>#DIV/0!</v>
      </c>
      <c r="L1576" s="20" t="e">
        <f t="shared" ca="1" si="33"/>
        <v>#DIV/0!</v>
      </c>
      <c r="M1576" s="21" t="e">
        <f t="shared" ca="1" si="34"/>
        <v>#DIV/0!</v>
      </c>
      <c r="N1576" s="20" t="str">
        <f ca="1">IFERROR(__xludf.DUMMYFUNCTION("IF(COUNTIFS($C$2:C1576, C1576, $A$2:A1576, ""&lt;="" &amp; A1576) &lt; 30, STDEV.P(FILTER($G$2:G1576, $C$2:C1576 = C1576)), STDEV.P(FILTER($G$2:G1576, $C$2:C1576 = C1576, $A$2:A1576 &gt;= A1576 - 30)))
"),"#DIV/0!")</f>
        <v>#DIV/0!</v>
      </c>
    </row>
    <row r="1577" spans="1:14" x14ac:dyDescent="0.2">
      <c r="A1577" s="41"/>
      <c r="B1577" s="40"/>
      <c r="C1577" s="40"/>
      <c r="D1577" s="31"/>
      <c r="E1577" s="31"/>
      <c r="F1577" s="31"/>
      <c r="G1577" s="19" t="e">
        <f t="shared" si="30"/>
        <v>#DIV/0!</v>
      </c>
      <c r="H1577" s="20" t="str">
        <f ca="1">IFERROR(__xludf.DUMMYFUNCTION("IF(COUNTIFS($C$2:C1577, C1577, $A$2:A1577, ""&lt;="" &amp; A1577) &lt; 30, AVERAGEIF($C$2:C1577, C1577, $G$2:G1577), AVERAGE(FILTER($G$2:G1577, $C$2:C1577 = C1577, $A$2:A1577 &gt;= A1577 - 30)))
"),"#DIV/0!")</f>
        <v>#DIV/0!</v>
      </c>
      <c r="I1577" s="20" t="e">
        <f t="shared" ca="1" si="31"/>
        <v>#DIV/0!</v>
      </c>
      <c r="J1577" s="20" t="str">
        <f ca="1">IFERROR(__xludf.DUMMYFUNCTION("IF(OR($I1577=2, $I1577=3), 0, IFERROR(COUNTIFS($C$2:C1577, $C1577, $A$2:A1577, ""&gt;""&amp;IFERROR(MAX(FILTER($A$2:A1577, $C$2:C1577=$C1577, $I$2:I1577&lt;&gt;1)), 0), $I$2:I1577, 1),1))
"),"#DIV/0!")</f>
        <v>#DIV/0!</v>
      </c>
      <c r="K1577" s="7" t="e">
        <f t="shared" ca="1" si="32"/>
        <v>#DIV/0!</v>
      </c>
      <c r="L1577" s="20" t="e">
        <f t="shared" ca="1" si="33"/>
        <v>#DIV/0!</v>
      </c>
      <c r="M1577" s="21" t="e">
        <f t="shared" ca="1" si="34"/>
        <v>#DIV/0!</v>
      </c>
      <c r="N1577" s="20" t="str">
        <f ca="1">IFERROR(__xludf.DUMMYFUNCTION("IF(COUNTIFS($C$2:C1577, C1577, $A$2:A1577, ""&lt;="" &amp; A1577) &lt; 30, STDEV.P(FILTER($G$2:G1577, $C$2:C1577 = C1577)), STDEV.P(FILTER($G$2:G1577, $C$2:C1577 = C1577, $A$2:A1577 &gt;= A1577 - 30)))
"),"#DIV/0!")</f>
        <v>#DIV/0!</v>
      </c>
    </row>
    <row r="1578" spans="1:14" x14ac:dyDescent="0.2">
      <c r="A1578" s="41"/>
      <c r="B1578" s="40"/>
      <c r="C1578" s="40"/>
      <c r="D1578" s="31"/>
      <c r="E1578" s="31"/>
      <c r="F1578" s="31"/>
      <c r="G1578" s="19" t="e">
        <f t="shared" si="30"/>
        <v>#DIV/0!</v>
      </c>
      <c r="H1578" s="20" t="str">
        <f ca="1">IFERROR(__xludf.DUMMYFUNCTION("IF(COUNTIFS($C$2:C1578, C1578, $A$2:A1578, ""&lt;="" &amp; A1578) &lt; 30, AVERAGEIF($C$2:C1578, C1578, $G$2:G1578), AVERAGE(FILTER($G$2:G1578, $C$2:C1578 = C1578, $A$2:A1578 &gt;= A1578 - 30)))
"),"#DIV/0!")</f>
        <v>#DIV/0!</v>
      </c>
      <c r="I1578" s="20" t="e">
        <f t="shared" ca="1" si="31"/>
        <v>#DIV/0!</v>
      </c>
      <c r="J1578" s="20" t="str">
        <f ca="1">IFERROR(__xludf.DUMMYFUNCTION("IF(OR($I1578=2, $I1578=3), 0, IFERROR(COUNTIFS($C$2:C1578, $C1578, $A$2:A1578, ""&gt;""&amp;IFERROR(MAX(FILTER($A$2:A1578, $C$2:C1578=$C1578, $I$2:I1578&lt;&gt;1)), 0), $I$2:I1578, 1),1))
"),"#DIV/0!")</f>
        <v>#DIV/0!</v>
      </c>
      <c r="K1578" s="7" t="e">
        <f t="shared" ca="1" si="32"/>
        <v>#DIV/0!</v>
      </c>
      <c r="L1578" s="20" t="e">
        <f t="shared" ca="1" si="33"/>
        <v>#DIV/0!</v>
      </c>
      <c r="M1578" s="21" t="e">
        <f t="shared" ca="1" si="34"/>
        <v>#DIV/0!</v>
      </c>
      <c r="N1578" s="20" t="str">
        <f ca="1">IFERROR(__xludf.DUMMYFUNCTION("IF(COUNTIFS($C$2:C1578, C1578, $A$2:A1578, ""&lt;="" &amp; A1578) &lt; 30, STDEV.P(FILTER($G$2:G1578, $C$2:C1578 = C1578)), STDEV.P(FILTER($G$2:G1578, $C$2:C1578 = C1578, $A$2:A1578 &gt;= A1578 - 30)))
"),"#DIV/0!")</f>
        <v>#DIV/0!</v>
      </c>
    </row>
    <row r="1579" spans="1:14" x14ac:dyDescent="0.2">
      <c r="A1579" s="41"/>
      <c r="B1579" s="40"/>
      <c r="C1579" s="40"/>
      <c r="D1579" s="31"/>
      <c r="E1579" s="31"/>
      <c r="F1579" s="31"/>
      <c r="G1579" s="19" t="e">
        <f t="shared" si="30"/>
        <v>#DIV/0!</v>
      </c>
      <c r="H1579" s="20" t="str">
        <f ca="1">IFERROR(__xludf.DUMMYFUNCTION("IF(COUNTIFS($C$2:C1579, C1579, $A$2:A1579, ""&lt;="" &amp; A1579) &lt; 30, AVERAGEIF($C$2:C1579, C1579, $G$2:G1579), AVERAGE(FILTER($G$2:G1579, $C$2:C1579 = C1579, $A$2:A1579 &gt;= A1579 - 30)))
"),"#DIV/0!")</f>
        <v>#DIV/0!</v>
      </c>
      <c r="I1579" s="20" t="e">
        <f t="shared" ca="1" si="31"/>
        <v>#DIV/0!</v>
      </c>
      <c r="J1579" s="20" t="str">
        <f ca="1">IFERROR(__xludf.DUMMYFUNCTION("IF(OR($I1579=2, $I1579=3), 0, IFERROR(COUNTIFS($C$2:C1579, $C1579, $A$2:A1579, ""&gt;""&amp;IFERROR(MAX(FILTER($A$2:A1579, $C$2:C1579=$C1579, $I$2:I1579&lt;&gt;1)), 0), $I$2:I1579, 1),1))
"),"#DIV/0!")</f>
        <v>#DIV/0!</v>
      </c>
      <c r="K1579" s="7" t="e">
        <f t="shared" ca="1" si="32"/>
        <v>#DIV/0!</v>
      </c>
      <c r="L1579" s="20" t="e">
        <f t="shared" ca="1" si="33"/>
        <v>#DIV/0!</v>
      </c>
      <c r="M1579" s="21" t="e">
        <f t="shared" ca="1" si="34"/>
        <v>#DIV/0!</v>
      </c>
      <c r="N1579" s="20" t="str">
        <f ca="1">IFERROR(__xludf.DUMMYFUNCTION("IF(COUNTIFS($C$2:C1579, C1579, $A$2:A1579, ""&lt;="" &amp; A1579) &lt; 30, STDEV.P(FILTER($G$2:G1579, $C$2:C1579 = C1579)), STDEV.P(FILTER($G$2:G1579, $C$2:C1579 = C1579, $A$2:A1579 &gt;= A1579 - 30)))
"),"#DIV/0!")</f>
        <v>#DIV/0!</v>
      </c>
    </row>
    <row r="1580" spans="1:14" x14ac:dyDescent="0.2">
      <c r="A1580" s="41"/>
      <c r="B1580" s="40"/>
      <c r="C1580" s="40"/>
      <c r="D1580" s="31"/>
      <c r="E1580" s="31"/>
      <c r="F1580" s="31"/>
      <c r="G1580" s="19" t="e">
        <f t="shared" si="30"/>
        <v>#DIV/0!</v>
      </c>
      <c r="H1580" s="20" t="str">
        <f ca="1">IFERROR(__xludf.DUMMYFUNCTION("IF(COUNTIFS($C$2:C1580, C1580, $A$2:A1580, ""&lt;="" &amp; A1580) &lt; 30, AVERAGEIF($C$2:C1580, C1580, $G$2:G1580), AVERAGE(FILTER($G$2:G1580, $C$2:C1580 = C1580, $A$2:A1580 &gt;= A1580 - 30)))
"),"#DIV/0!")</f>
        <v>#DIV/0!</v>
      </c>
      <c r="I1580" s="20" t="e">
        <f t="shared" ca="1" si="31"/>
        <v>#DIV/0!</v>
      </c>
      <c r="J1580" s="20" t="str">
        <f ca="1">IFERROR(__xludf.DUMMYFUNCTION("IF(OR($I1580=2, $I1580=3), 0, IFERROR(COUNTIFS($C$2:C1580, $C1580, $A$2:A1580, ""&gt;""&amp;IFERROR(MAX(FILTER($A$2:A1580, $C$2:C1580=$C1580, $I$2:I1580&lt;&gt;1)), 0), $I$2:I1580, 1),1))
"),"#DIV/0!")</f>
        <v>#DIV/0!</v>
      </c>
      <c r="K1580" s="7" t="e">
        <f t="shared" ca="1" si="32"/>
        <v>#DIV/0!</v>
      </c>
      <c r="L1580" s="20" t="e">
        <f t="shared" ca="1" si="33"/>
        <v>#DIV/0!</v>
      </c>
      <c r="M1580" s="21" t="e">
        <f t="shared" ca="1" si="34"/>
        <v>#DIV/0!</v>
      </c>
      <c r="N1580" s="20" t="str">
        <f ca="1">IFERROR(__xludf.DUMMYFUNCTION("IF(COUNTIFS($C$2:C1580, C1580, $A$2:A1580, ""&lt;="" &amp; A1580) &lt; 30, STDEV.P(FILTER($G$2:G1580, $C$2:C1580 = C1580)), STDEV.P(FILTER($G$2:G1580, $C$2:C1580 = C1580, $A$2:A1580 &gt;= A1580 - 30)))
"),"#DIV/0!")</f>
        <v>#DIV/0!</v>
      </c>
    </row>
    <row r="1581" spans="1:14" x14ac:dyDescent="0.2">
      <c r="A1581" s="41"/>
      <c r="B1581" s="40"/>
      <c r="C1581" s="40"/>
      <c r="D1581" s="31"/>
      <c r="E1581" s="31"/>
      <c r="F1581" s="31"/>
      <c r="G1581" s="19" t="e">
        <f t="shared" si="30"/>
        <v>#DIV/0!</v>
      </c>
      <c r="H1581" s="20" t="str">
        <f ca="1">IFERROR(__xludf.DUMMYFUNCTION("IF(COUNTIFS($C$2:C1581, C1581, $A$2:A1581, ""&lt;="" &amp; A1581) &lt; 30, AVERAGEIF($C$2:C1581, C1581, $G$2:G1581), AVERAGE(FILTER($G$2:G1581, $C$2:C1581 = C1581, $A$2:A1581 &gt;= A1581 - 30)))
"),"#DIV/0!")</f>
        <v>#DIV/0!</v>
      </c>
      <c r="I1581" s="20" t="e">
        <f t="shared" ca="1" si="31"/>
        <v>#DIV/0!</v>
      </c>
      <c r="J1581" s="20" t="str">
        <f ca="1">IFERROR(__xludf.DUMMYFUNCTION("IF(OR($I1581=2, $I1581=3), 0, IFERROR(COUNTIFS($C$2:C1581, $C1581, $A$2:A1581, ""&gt;""&amp;IFERROR(MAX(FILTER($A$2:A1581, $C$2:C1581=$C1581, $I$2:I1581&lt;&gt;1)), 0), $I$2:I1581, 1),1))
"),"#DIV/0!")</f>
        <v>#DIV/0!</v>
      </c>
      <c r="K1581" s="7" t="e">
        <f t="shared" ca="1" si="32"/>
        <v>#DIV/0!</v>
      </c>
      <c r="L1581" s="20" t="e">
        <f t="shared" ca="1" si="33"/>
        <v>#DIV/0!</v>
      </c>
      <c r="M1581" s="21" t="e">
        <f t="shared" ca="1" si="34"/>
        <v>#DIV/0!</v>
      </c>
      <c r="N1581" s="20" t="str">
        <f ca="1">IFERROR(__xludf.DUMMYFUNCTION("IF(COUNTIFS($C$2:C1581, C1581, $A$2:A1581, ""&lt;="" &amp; A1581) &lt; 30, STDEV.P(FILTER($G$2:G1581, $C$2:C1581 = C1581)), STDEV.P(FILTER($G$2:G1581, $C$2:C1581 = C1581, $A$2:A1581 &gt;= A1581 - 30)))
"),"#DIV/0!")</f>
        <v>#DIV/0!</v>
      </c>
    </row>
    <row r="1582" spans="1:14" x14ac:dyDescent="0.2">
      <c r="A1582" s="41"/>
      <c r="B1582" s="40"/>
      <c r="C1582" s="40"/>
      <c r="D1582" s="31"/>
      <c r="E1582" s="31"/>
      <c r="F1582" s="31"/>
      <c r="G1582" s="19" t="e">
        <f t="shared" si="30"/>
        <v>#DIV/0!</v>
      </c>
      <c r="H1582" s="20" t="str">
        <f ca="1">IFERROR(__xludf.DUMMYFUNCTION("IF(COUNTIFS($C$2:C1582, C1582, $A$2:A1582, ""&lt;="" &amp; A1582) &lt; 30, AVERAGEIF($C$2:C1582, C1582, $G$2:G1582), AVERAGE(FILTER($G$2:G1582, $C$2:C1582 = C1582, $A$2:A1582 &gt;= A1582 - 30)))
"),"#DIV/0!")</f>
        <v>#DIV/0!</v>
      </c>
      <c r="I1582" s="20" t="e">
        <f t="shared" ca="1" si="31"/>
        <v>#DIV/0!</v>
      </c>
      <c r="J1582" s="20" t="str">
        <f ca="1">IFERROR(__xludf.DUMMYFUNCTION("IF(OR($I1582=2, $I1582=3), 0, IFERROR(COUNTIFS($C$2:C1582, $C1582, $A$2:A1582, ""&gt;""&amp;IFERROR(MAX(FILTER($A$2:A1582, $C$2:C1582=$C1582, $I$2:I1582&lt;&gt;1)), 0), $I$2:I1582, 1),1))
"),"#DIV/0!")</f>
        <v>#DIV/0!</v>
      </c>
      <c r="K1582" s="7" t="e">
        <f t="shared" ca="1" si="32"/>
        <v>#DIV/0!</v>
      </c>
      <c r="L1582" s="20" t="e">
        <f t="shared" ca="1" si="33"/>
        <v>#DIV/0!</v>
      </c>
      <c r="M1582" s="21" t="e">
        <f t="shared" ca="1" si="34"/>
        <v>#DIV/0!</v>
      </c>
      <c r="N1582" s="20" t="str">
        <f ca="1">IFERROR(__xludf.DUMMYFUNCTION("IF(COUNTIFS($C$2:C1582, C1582, $A$2:A1582, ""&lt;="" &amp; A1582) &lt; 30, STDEV.P(FILTER($G$2:G1582, $C$2:C1582 = C1582)), STDEV.P(FILTER($G$2:G1582, $C$2:C1582 = C1582, $A$2:A1582 &gt;= A1582 - 30)))
"),"#DIV/0!")</f>
        <v>#DIV/0!</v>
      </c>
    </row>
    <row r="1583" spans="1:14" x14ac:dyDescent="0.2">
      <c r="A1583" s="41"/>
      <c r="B1583" s="40"/>
      <c r="C1583" s="40"/>
      <c r="D1583" s="31"/>
      <c r="E1583" s="31"/>
      <c r="F1583" s="31"/>
      <c r="G1583" s="19" t="e">
        <f t="shared" si="30"/>
        <v>#DIV/0!</v>
      </c>
      <c r="H1583" s="20" t="str">
        <f ca="1">IFERROR(__xludf.DUMMYFUNCTION("IF(COUNTIFS($C$2:C1583, C1583, $A$2:A1583, ""&lt;="" &amp; A1583) &lt; 30, AVERAGEIF($C$2:C1583, C1583, $G$2:G1583), AVERAGE(FILTER($G$2:G1583, $C$2:C1583 = C1583, $A$2:A1583 &gt;= A1583 - 30)))
"),"#DIV/0!")</f>
        <v>#DIV/0!</v>
      </c>
      <c r="I1583" s="20" t="e">
        <f t="shared" ca="1" si="31"/>
        <v>#DIV/0!</v>
      </c>
      <c r="J1583" s="20" t="str">
        <f ca="1">IFERROR(__xludf.DUMMYFUNCTION("IF(OR($I1583=2, $I1583=3), 0, IFERROR(COUNTIFS($C$2:C1583, $C1583, $A$2:A1583, ""&gt;""&amp;IFERROR(MAX(FILTER($A$2:A1583, $C$2:C1583=$C1583, $I$2:I1583&lt;&gt;1)), 0), $I$2:I1583, 1),1))
"),"#DIV/0!")</f>
        <v>#DIV/0!</v>
      </c>
      <c r="K1583" s="7" t="e">
        <f t="shared" ca="1" si="32"/>
        <v>#DIV/0!</v>
      </c>
      <c r="L1583" s="20" t="e">
        <f t="shared" ca="1" si="33"/>
        <v>#DIV/0!</v>
      </c>
      <c r="M1583" s="21" t="e">
        <f t="shared" ca="1" si="34"/>
        <v>#DIV/0!</v>
      </c>
      <c r="N1583" s="20" t="str">
        <f ca="1">IFERROR(__xludf.DUMMYFUNCTION("IF(COUNTIFS($C$2:C1583, C1583, $A$2:A1583, ""&lt;="" &amp; A1583) &lt; 30, STDEV.P(FILTER($G$2:G1583, $C$2:C1583 = C1583)), STDEV.P(FILTER($G$2:G1583, $C$2:C1583 = C1583, $A$2:A1583 &gt;= A1583 - 30)))
"),"#DIV/0!")</f>
        <v>#DIV/0!</v>
      </c>
    </row>
    <row r="1584" spans="1:14" x14ac:dyDescent="0.2">
      <c r="A1584" s="41"/>
      <c r="B1584" s="40"/>
      <c r="C1584" s="40"/>
      <c r="D1584" s="31"/>
      <c r="E1584" s="31"/>
      <c r="F1584" s="31"/>
      <c r="G1584" s="19" t="e">
        <f t="shared" si="30"/>
        <v>#DIV/0!</v>
      </c>
      <c r="H1584" s="20" t="str">
        <f ca="1">IFERROR(__xludf.DUMMYFUNCTION("IF(COUNTIFS($C$2:C1584, C1584, $A$2:A1584, ""&lt;="" &amp; A1584) &lt; 30, AVERAGEIF($C$2:C1584, C1584, $G$2:G1584), AVERAGE(FILTER($G$2:G1584, $C$2:C1584 = C1584, $A$2:A1584 &gt;= A1584 - 30)))
"),"#DIV/0!")</f>
        <v>#DIV/0!</v>
      </c>
      <c r="I1584" s="20" t="e">
        <f t="shared" ca="1" si="31"/>
        <v>#DIV/0!</v>
      </c>
      <c r="J1584" s="20" t="str">
        <f ca="1">IFERROR(__xludf.DUMMYFUNCTION("IF(OR($I1584=2, $I1584=3), 0, IFERROR(COUNTIFS($C$2:C1584, $C1584, $A$2:A1584, ""&gt;""&amp;IFERROR(MAX(FILTER($A$2:A1584, $C$2:C1584=$C1584, $I$2:I1584&lt;&gt;1)), 0), $I$2:I1584, 1),1))
"),"#DIV/0!")</f>
        <v>#DIV/0!</v>
      </c>
      <c r="K1584" s="7" t="e">
        <f t="shared" ca="1" si="32"/>
        <v>#DIV/0!</v>
      </c>
      <c r="L1584" s="20" t="e">
        <f t="shared" ca="1" si="33"/>
        <v>#DIV/0!</v>
      </c>
      <c r="M1584" s="21" t="e">
        <f t="shared" ca="1" si="34"/>
        <v>#DIV/0!</v>
      </c>
      <c r="N1584" s="20" t="str">
        <f ca="1">IFERROR(__xludf.DUMMYFUNCTION("IF(COUNTIFS($C$2:C1584, C1584, $A$2:A1584, ""&lt;="" &amp; A1584) &lt; 30, STDEV.P(FILTER($G$2:G1584, $C$2:C1584 = C1584)), STDEV.P(FILTER($G$2:G1584, $C$2:C1584 = C1584, $A$2:A1584 &gt;= A1584 - 30)))
"),"#DIV/0!")</f>
        <v>#DIV/0!</v>
      </c>
    </row>
    <row r="1585" spans="1:14" x14ac:dyDescent="0.2">
      <c r="A1585" s="41"/>
      <c r="B1585" s="40"/>
      <c r="C1585" s="40"/>
      <c r="D1585" s="31"/>
      <c r="E1585" s="31"/>
      <c r="F1585" s="31"/>
      <c r="G1585" s="19" t="e">
        <f t="shared" si="30"/>
        <v>#DIV/0!</v>
      </c>
      <c r="H1585" s="20" t="str">
        <f ca="1">IFERROR(__xludf.DUMMYFUNCTION("IF(COUNTIFS($C$2:C1585, C1585, $A$2:A1585, ""&lt;="" &amp; A1585) &lt; 30, AVERAGEIF($C$2:C1585, C1585, $G$2:G1585), AVERAGE(FILTER($G$2:G1585, $C$2:C1585 = C1585, $A$2:A1585 &gt;= A1585 - 30)))
"),"#DIV/0!")</f>
        <v>#DIV/0!</v>
      </c>
      <c r="I1585" s="20" t="e">
        <f t="shared" ca="1" si="31"/>
        <v>#DIV/0!</v>
      </c>
      <c r="J1585" s="20" t="str">
        <f ca="1">IFERROR(__xludf.DUMMYFUNCTION("IF(OR($I1585=2, $I1585=3), 0, IFERROR(COUNTIFS($C$2:C1585, $C1585, $A$2:A1585, ""&gt;""&amp;IFERROR(MAX(FILTER($A$2:A1585, $C$2:C1585=$C1585, $I$2:I1585&lt;&gt;1)), 0), $I$2:I1585, 1),1))
"),"#DIV/0!")</f>
        <v>#DIV/0!</v>
      </c>
      <c r="K1585" s="7" t="e">
        <f t="shared" ca="1" si="32"/>
        <v>#DIV/0!</v>
      </c>
      <c r="L1585" s="20" t="e">
        <f t="shared" ca="1" si="33"/>
        <v>#DIV/0!</v>
      </c>
      <c r="M1585" s="21" t="e">
        <f t="shared" ca="1" si="34"/>
        <v>#DIV/0!</v>
      </c>
      <c r="N1585" s="20" t="str">
        <f ca="1">IFERROR(__xludf.DUMMYFUNCTION("IF(COUNTIFS($C$2:C1585, C1585, $A$2:A1585, ""&lt;="" &amp; A1585) &lt; 30, STDEV.P(FILTER($G$2:G1585, $C$2:C1585 = C1585)), STDEV.P(FILTER($G$2:G1585, $C$2:C1585 = C1585, $A$2:A1585 &gt;= A1585 - 30)))
"),"#DIV/0!")</f>
        <v>#DIV/0!</v>
      </c>
    </row>
    <row r="1586" spans="1:14" x14ac:dyDescent="0.2">
      <c r="A1586" s="41"/>
      <c r="B1586" s="40"/>
      <c r="C1586" s="40"/>
      <c r="D1586" s="31"/>
      <c r="E1586" s="31"/>
      <c r="F1586" s="31"/>
      <c r="G1586" s="19" t="e">
        <f t="shared" si="30"/>
        <v>#DIV/0!</v>
      </c>
      <c r="H1586" s="20" t="str">
        <f ca="1">IFERROR(__xludf.DUMMYFUNCTION("IF(COUNTIFS($C$2:C1586, C1586, $A$2:A1586, ""&lt;="" &amp; A1586) &lt; 30, AVERAGEIF($C$2:C1586, C1586, $G$2:G1586), AVERAGE(FILTER($G$2:G1586, $C$2:C1586 = C1586, $A$2:A1586 &gt;= A1586 - 30)))
"),"#DIV/0!")</f>
        <v>#DIV/0!</v>
      </c>
      <c r="I1586" s="20" t="e">
        <f t="shared" ca="1" si="31"/>
        <v>#DIV/0!</v>
      </c>
      <c r="J1586" s="20" t="str">
        <f ca="1">IFERROR(__xludf.DUMMYFUNCTION("IF(OR($I1586=2, $I1586=3), 0, IFERROR(COUNTIFS($C$2:C1586, $C1586, $A$2:A1586, ""&gt;""&amp;IFERROR(MAX(FILTER($A$2:A1586, $C$2:C1586=$C1586, $I$2:I1586&lt;&gt;1)), 0), $I$2:I1586, 1),1))
"),"#DIV/0!")</f>
        <v>#DIV/0!</v>
      </c>
      <c r="K1586" s="7" t="e">
        <f t="shared" ca="1" si="32"/>
        <v>#DIV/0!</v>
      </c>
      <c r="L1586" s="20" t="e">
        <f t="shared" ca="1" si="33"/>
        <v>#DIV/0!</v>
      </c>
      <c r="M1586" s="21" t="e">
        <f t="shared" ca="1" si="34"/>
        <v>#DIV/0!</v>
      </c>
      <c r="N1586" s="20" t="str">
        <f ca="1">IFERROR(__xludf.DUMMYFUNCTION("IF(COUNTIFS($C$2:C1586, C1586, $A$2:A1586, ""&lt;="" &amp; A1586) &lt; 30, STDEV.P(FILTER($G$2:G1586, $C$2:C1586 = C1586)), STDEV.P(FILTER($G$2:G1586, $C$2:C1586 = C1586, $A$2:A1586 &gt;= A1586 - 30)))
"),"#DIV/0!")</f>
        <v>#DIV/0!</v>
      </c>
    </row>
    <row r="1587" spans="1:14" x14ac:dyDescent="0.2">
      <c r="A1587" s="41"/>
      <c r="B1587" s="40"/>
      <c r="C1587" s="40"/>
      <c r="D1587" s="31"/>
      <c r="E1587" s="31"/>
      <c r="F1587" s="31"/>
      <c r="G1587" s="19" t="e">
        <f t="shared" si="30"/>
        <v>#DIV/0!</v>
      </c>
      <c r="H1587" s="20" t="str">
        <f ca="1">IFERROR(__xludf.DUMMYFUNCTION("IF(COUNTIFS($C$2:C1587, C1587, $A$2:A1587, ""&lt;="" &amp; A1587) &lt; 30, AVERAGEIF($C$2:C1587, C1587, $G$2:G1587), AVERAGE(FILTER($G$2:G1587, $C$2:C1587 = C1587, $A$2:A1587 &gt;= A1587 - 30)))
"),"#DIV/0!")</f>
        <v>#DIV/0!</v>
      </c>
      <c r="I1587" s="20" t="e">
        <f t="shared" ca="1" si="31"/>
        <v>#DIV/0!</v>
      </c>
      <c r="J1587" s="20" t="str">
        <f ca="1">IFERROR(__xludf.DUMMYFUNCTION("IF(OR($I1587=2, $I1587=3), 0, IFERROR(COUNTIFS($C$2:C1587, $C1587, $A$2:A1587, ""&gt;""&amp;IFERROR(MAX(FILTER($A$2:A1587, $C$2:C1587=$C1587, $I$2:I1587&lt;&gt;1)), 0), $I$2:I1587, 1),1))
"),"#DIV/0!")</f>
        <v>#DIV/0!</v>
      </c>
      <c r="K1587" s="7" t="e">
        <f t="shared" ca="1" si="32"/>
        <v>#DIV/0!</v>
      </c>
      <c r="L1587" s="20" t="e">
        <f t="shared" ca="1" si="33"/>
        <v>#DIV/0!</v>
      </c>
      <c r="M1587" s="21" t="e">
        <f t="shared" ca="1" si="34"/>
        <v>#DIV/0!</v>
      </c>
      <c r="N1587" s="20" t="str">
        <f ca="1">IFERROR(__xludf.DUMMYFUNCTION("IF(COUNTIFS($C$2:C1587, C1587, $A$2:A1587, ""&lt;="" &amp; A1587) &lt; 30, STDEV.P(FILTER($G$2:G1587, $C$2:C1587 = C1587)), STDEV.P(FILTER($G$2:G1587, $C$2:C1587 = C1587, $A$2:A1587 &gt;= A1587 - 30)))
"),"#DIV/0!")</f>
        <v>#DIV/0!</v>
      </c>
    </row>
    <row r="1588" spans="1:14" x14ac:dyDescent="0.2">
      <c r="A1588" s="41"/>
      <c r="B1588" s="40"/>
      <c r="C1588" s="40"/>
      <c r="D1588" s="31"/>
      <c r="E1588" s="31"/>
      <c r="F1588" s="31"/>
      <c r="G1588" s="19" t="e">
        <f t="shared" si="30"/>
        <v>#DIV/0!</v>
      </c>
      <c r="H1588" s="20" t="str">
        <f ca="1">IFERROR(__xludf.DUMMYFUNCTION("IF(COUNTIFS($C$2:C1588, C1588, $A$2:A1588, ""&lt;="" &amp; A1588) &lt; 30, AVERAGEIF($C$2:C1588, C1588, $G$2:G1588), AVERAGE(FILTER($G$2:G1588, $C$2:C1588 = C1588, $A$2:A1588 &gt;= A1588 - 30)))
"),"#DIV/0!")</f>
        <v>#DIV/0!</v>
      </c>
      <c r="I1588" s="20" t="e">
        <f t="shared" ca="1" si="31"/>
        <v>#DIV/0!</v>
      </c>
      <c r="J1588" s="20" t="str">
        <f ca="1">IFERROR(__xludf.DUMMYFUNCTION("IF(OR($I1588=2, $I1588=3), 0, IFERROR(COUNTIFS($C$2:C1588, $C1588, $A$2:A1588, ""&gt;""&amp;IFERROR(MAX(FILTER($A$2:A1588, $C$2:C1588=$C1588, $I$2:I1588&lt;&gt;1)), 0), $I$2:I1588, 1),1))
"),"#DIV/0!")</f>
        <v>#DIV/0!</v>
      </c>
      <c r="K1588" s="7" t="e">
        <f t="shared" ca="1" si="32"/>
        <v>#DIV/0!</v>
      </c>
      <c r="L1588" s="20" t="e">
        <f t="shared" ca="1" si="33"/>
        <v>#DIV/0!</v>
      </c>
      <c r="M1588" s="21" t="e">
        <f t="shared" ca="1" si="34"/>
        <v>#DIV/0!</v>
      </c>
      <c r="N1588" s="20" t="str">
        <f ca="1">IFERROR(__xludf.DUMMYFUNCTION("IF(COUNTIFS($C$2:C1588, C1588, $A$2:A1588, ""&lt;="" &amp; A1588) &lt; 30, STDEV.P(FILTER($G$2:G1588, $C$2:C1588 = C1588)), STDEV.P(FILTER($G$2:G1588, $C$2:C1588 = C1588, $A$2:A1588 &gt;= A1588 - 30)))
"),"#DIV/0!")</f>
        <v>#DIV/0!</v>
      </c>
    </row>
    <row r="1589" spans="1:14" x14ac:dyDescent="0.2">
      <c r="A1589" s="41"/>
      <c r="B1589" s="40"/>
      <c r="C1589" s="40"/>
      <c r="D1589" s="31"/>
      <c r="E1589" s="31"/>
      <c r="F1589" s="31"/>
      <c r="G1589" s="19" t="e">
        <f t="shared" si="30"/>
        <v>#DIV/0!</v>
      </c>
      <c r="H1589" s="20" t="str">
        <f ca="1">IFERROR(__xludf.DUMMYFUNCTION("IF(COUNTIFS($C$2:C1589, C1589, $A$2:A1589, ""&lt;="" &amp; A1589) &lt; 30, AVERAGEIF($C$2:C1589, C1589, $G$2:G1589), AVERAGE(FILTER($G$2:G1589, $C$2:C1589 = C1589, $A$2:A1589 &gt;= A1589 - 30)))
"),"#DIV/0!")</f>
        <v>#DIV/0!</v>
      </c>
      <c r="I1589" s="20" t="e">
        <f t="shared" ca="1" si="31"/>
        <v>#DIV/0!</v>
      </c>
      <c r="J1589" s="20" t="str">
        <f ca="1">IFERROR(__xludf.DUMMYFUNCTION("IF(OR($I1589=2, $I1589=3), 0, IFERROR(COUNTIFS($C$2:C1589, $C1589, $A$2:A1589, ""&gt;""&amp;IFERROR(MAX(FILTER($A$2:A1589, $C$2:C1589=$C1589, $I$2:I1589&lt;&gt;1)), 0), $I$2:I1589, 1),1))
"),"#DIV/0!")</f>
        <v>#DIV/0!</v>
      </c>
      <c r="K1589" s="7" t="e">
        <f t="shared" ca="1" si="32"/>
        <v>#DIV/0!</v>
      </c>
      <c r="L1589" s="20" t="e">
        <f t="shared" ca="1" si="33"/>
        <v>#DIV/0!</v>
      </c>
      <c r="M1589" s="21" t="e">
        <f t="shared" ca="1" si="34"/>
        <v>#DIV/0!</v>
      </c>
      <c r="N1589" s="20" t="str">
        <f ca="1">IFERROR(__xludf.DUMMYFUNCTION("IF(COUNTIFS($C$2:C1589, C1589, $A$2:A1589, ""&lt;="" &amp; A1589) &lt; 30, STDEV.P(FILTER($G$2:G1589, $C$2:C1589 = C1589)), STDEV.P(FILTER($G$2:G1589, $C$2:C1589 = C1589, $A$2:A1589 &gt;= A1589 - 30)))
"),"#DIV/0!")</f>
        <v>#DIV/0!</v>
      </c>
    </row>
    <row r="1590" spans="1:14" x14ac:dyDescent="0.2">
      <c r="A1590" s="41"/>
      <c r="B1590" s="40"/>
      <c r="C1590" s="40"/>
      <c r="D1590" s="31"/>
      <c r="E1590" s="31"/>
      <c r="F1590" s="31"/>
      <c r="G1590" s="19" t="e">
        <f t="shared" si="30"/>
        <v>#DIV/0!</v>
      </c>
      <c r="H1590" s="20" t="str">
        <f ca="1">IFERROR(__xludf.DUMMYFUNCTION("IF(COUNTIFS($C$2:C1590, C1590, $A$2:A1590, ""&lt;="" &amp; A1590) &lt; 30, AVERAGEIF($C$2:C1590, C1590, $G$2:G1590), AVERAGE(FILTER($G$2:G1590, $C$2:C1590 = C1590, $A$2:A1590 &gt;= A1590 - 30)))
"),"#DIV/0!")</f>
        <v>#DIV/0!</v>
      </c>
      <c r="I1590" s="20" t="e">
        <f t="shared" ca="1" si="31"/>
        <v>#DIV/0!</v>
      </c>
      <c r="J1590" s="20" t="str">
        <f ca="1">IFERROR(__xludf.DUMMYFUNCTION("IF(OR($I1590=2, $I1590=3), 0, IFERROR(COUNTIFS($C$2:C1590, $C1590, $A$2:A1590, ""&gt;""&amp;IFERROR(MAX(FILTER($A$2:A1590, $C$2:C1590=$C1590, $I$2:I1590&lt;&gt;1)), 0), $I$2:I1590, 1),1))
"),"#DIV/0!")</f>
        <v>#DIV/0!</v>
      </c>
      <c r="K1590" s="7" t="e">
        <f t="shared" ca="1" si="32"/>
        <v>#DIV/0!</v>
      </c>
      <c r="L1590" s="20" t="e">
        <f t="shared" ca="1" si="33"/>
        <v>#DIV/0!</v>
      </c>
      <c r="M1590" s="21" t="e">
        <f t="shared" ca="1" si="34"/>
        <v>#DIV/0!</v>
      </c>
      <c r="N1590" s="20" t="str">
        <f ca="1">IFERROR(__xludf.DUMMYFUNCTION("IF(COUNTIFS($C$2:C1590, C1590, $A$2:A1590, ""&lt;="" &amp; A1590) &lt; 30, STDEV.P(FILTER($G$2:G1590, $C$2:C1590 = C1590)), STDEV.P(FILTER($G$2:G1590, $C$2:C1590 = C1590, $A$2:A1590 &gt;= A1590 - 30)))
"),"#DIV/0!")</f>
        <v>#DIV/0!</v>
      </c>
    </row>
    <row r="1591" spans="1:14" x14ac:dyDescent="0.2">
      <c r="A1591" s="41"/>
      <c r="B1591" s="40"/>
      <c r="C1591" s="40"/>
      <c r="D1591" s="31"/>
      <c r="E1591" s="31"/>
      <c r="F1591" s="31"/>
      <c r="G1591" s="19" t="e">
        <f t="shared" si="30"/>
        <v>#DIV/0!</v>
      </c>
      <c r="H1591" s="20" t="str">
        <f ca="1">IFERROR(__xludf.DUMMYFUNCTION("IF(COUNTIFS($C$2:C1591, C1591, $A$2:A1591, ""&lt;="" &amp; A1591) &lt; 30, AVERAGEIF($C$2:C1591, C1591, $G$2:G1591), AVERAGE(FILTER($G$2:G1591, $C$2:C1591 = C1591, $A$2:A1591 &gt;= A1591 - 30)))
"),"#DIV/0!")</f>
        <v>#DIV/0!</v>
      </c>
      <c r="I1591" s="20" t="e">
        <f t="shared" ca="1" si="31"/>
        <v>#DIV/0!</v>
      </c>
      <c r="J1591" s="20" t="str">
        <f ca="1">IFERROR(__xludf.DUMMYFUNCTION("IF(OR($I1591=2, $I1591=3), 0, IFERROR(COUNTIFS($C$2:C1591, $C1591, $A$2:A1591, ""&gt;""&amp;IFERROR(MAX(FILTER($A$2:A1591, $C$2:C1591=$C1591, $I$2:I1591&lt;&gt;1)), 0), $I$2:I1591, 1),1))
"),"#DIV/0!")</f>
        <v>#DIV/0!</v>
      </c>
      <c r="K1591" s="7" t="e">
        <f t="shared" ca="1" si="32"/>
        <v>#DIV/0!</v>
      </c>
      <c r="L1591" s="20" t="e">
        <f t="shared" ca="1" si="33"/>
        <v>#DIV/0!</v>
      </c>
      <c r="M1591" s="21" t="e">
        <f t="shared" ca="1" si="34"/>
        <v>#DIV/0!</v>
      </c>
      <c r="N1591" s="20" t="str">
        <f ca="1">IFERROR(__xludf.DUMMYFUNCTION("IF(COUNTIFS($C$2:C1591, C1591, $A$2:A1591, ""&lt;="" &amp; A1591) &lt; 30, STDEV.P(FILTER($G$2:G1591, $C$2:C1591 = C1591)), STDEV.P(FILTER($G$2:G1591, $C$2:C1591 = C1591, $A$2:A1591 &gt;= A1591 - 30)))
"),"#DIV/0!")</f>
        <v>#DIV/0!</v>
      </c>
    </row>
    <row r="1592" spans="1:14" x14ac:dyDescent="0.2">
      <c r="A1592" s="41"/>
      <c r="B1592" s="40"/>
      <c r="C1592" s="40"/>
      <c r="D1592" s="31"/>
      <c r="E1592" s="31"/>
      <c r="F1592" s="31"/>
      <c r="G1592" s="19" t="e">
        <f t="shared" si="30"/>
        <v>#DIV/0!</v>
      </c>
      <c r="H1592" s="20" t="str">
        <f ca="1">IFERROR(__xludf.DUMMYFUNCTION("IF(COUNTIFS($C$2:C1592, C1592, $A$2:A1592, ""&lt;="" &amp; A1592) &lt; 30, AVERAGEIF($C$2:C1592, C1592, $G$2:G1592), AVERAGE(FILTER($G$2:G1592, $C$2:C1592 = C1592, $A$2:A1592 &gt;= A1592 - 30)))
"),"#DIV/0!")</f>
        <v>#DIV/0!</v>
      </c>
      <c r="I1592" s="20" t="e">
        <f t="shared" ca="1" si="31"/>
        <v>#DIV/0!</v>
      </c>
      <c r="J1592" s="20" t="str">
        <f ca="1">IFERROR(__xludf.DUMMYFUNCTION("IF(OR($I1592=2, $I1592=3), 0, IFERROR(COUNTIFS($C$2:C1592, $C1592, $A$2:A1592, ""&gt;""&amp;IFERROR(MAX(FILTER($A$2:A1592, $C$2:C1592=$C1592, $I$2:I1592&lt;&gt;1)), 0), $I$2:I1592, 1),1))
"),"#DIV/0!")</f>
        <v>#DIV/0!</v>
      </c>
      <c r="K1592" s="7" t="e">
        <f t="shared" ca="1" si="32"/>
        <v>#DIV/0!</v>
      </c>
      <c r="L1592" s="20" t="e">
        <f t="shared" ca="1" si="33"/>
        <v>#DIV/0!</v>
      </c>
      <c r="M1592" s="21" t="e">
        <f t="shared" ca="1" si="34"/>
        <v>#DIV/0!</v>
      </c>
      <c r="N1592" s="20" t="str">
        <f ca="1">IFERROR(__xludf.DUMMYFUNCTION("IF(COUNTIFS($C$2:C1592, C1592, $A$2:A1592, ""&lt;="" &amp; A1592) &lt; 30, STDEV.P(FILTER($G$2:G1592, $C$2:C1592 = C1592)), STDEV.P(FILTER($G$2:G1592, $C$2:C1592 = C1592, $A$2:A1592 &gt;= A1592 - 30)))
"),"#DIV/0!")</f>
        <v>#DIV/0!</v>
      </c>
    </row>
    <row r="1593" spans="1:14" x14ac:dyDescent="0.2">
      <c r="A1593" s="41"/>
      <c r="B1593" s="40"/>
      <c r="C1593" s="40"/>
      <c r="D1593" s="31"/>
      <c r="E1593" s="31"/>
      <c r="F1593" s="31"/>
      <c r="G1593" s="19" t="e">
        <f t="shared" si="30"/>
        <v>#DIV/0!</v>
      </c>
      <c r="H1593" s="20" t="str">
        <f ca="1">IFERROR(__xludf.DUMMYFUNCTION("IF(COUNTIFS($C$2:C1593, C1593, $A$2:A1593, ""&lt;="" &amp; A1593) &lt; 30, AVERAGEIF($C$2:C1593, C1593, $G$2:G1593), AVERAGE(FILTER($G$2:G1593, $C$2:C1593 = C1593, $A$2:A1593 &gt;= A1593 - 30)))
"),"#DIV/0!")</f>
        <v>#DIV/0!</v>
      </c>
      <c r="I1593" s="20" t="e">
        <f t="shared" ca="1" si="31"/>
        <v>#DIV/0!</v>
      </c>
      <c r="J1593" s="20" t="str">
        <f ca="1">IFERROR(__xludf.DUMMYFUNCTION("IF(OR($I1593=2, $I1593=3), 0, IFERROR(COUNTIFS($C$2:C1593, $C1593, $A$2:A1593, ""&gt;""&amp;IFERROR(MAX(FILTER($A$2:A1593, $C$2:C1593=$C1593, $I$2:I1593&lt;&gt;1)), 0), $I$2:I1593, 1),1))
"),"#DIV/0!")</f>
        <v>#DIV/0!</v>
      </c>
      <c r="K1593" s="7" t="e">
        <f t="shared" ca="1" si="32"/>
        <v>#DIV/0!</v>
      </c>
      <c r="L1593" s="20" t="e">
        <f t="shared" ca="1" si="33"/>
        <v>#DIV/0!</v>
      </c>
      <c r="M1593" s="21" t="e">
        <f t="shared" ca="1" si="34"/>
        <v>#DIV/0!</v>
      </c>
      <c r="N1593" s="20" t="str">
        <f ca="1">IFERROR(__xludf.DUMMYFUNCTION("IF(COUNTIFS($C$2:C1593, C1593, $A$2:A1593, ""&lt;="" &amp; A1593) &lt; 30, STDEV.P(FILTER($G$2:G1593, $C$2:C1593 = C1593)), STDEV.P(FILTER($G$2:G1593, $C$2:C1593 = C1593, $A$2:A1593 &gt;= A1593 - 30)))
"),"#DIV/0!")</f>
        <v>#DIV/0!</v>
      </c>
    </row>
    <row r="1594" spans="1:14" x14ac:dyDescent="0.2">
      <c r="A1594" s="41"/>
      <c r="B1594" s="40"/>
      <c r="C1594" s="40"/>
      <c r="D1594" s="31"/>
      <c r="E1594" s="31"/>
      <c r="F1594" s="31"/>
      <c r="G1594" s="19" t="e">
        <f t="shared" si="30"/>
        <v>#DIV/0!</v>
      </c>
      <c r="H1594" s="20" t="str">
        <f ca="1">IFERROR(__xludf.DUMMYFUNCTION("IF(COUNTIFS($C$2:C1594, C1594, $A$2:A1594, ""&lt;="" &amp; A1594) &lt; 30, AVERAGEIF($C$2:C1594, C1594, $G$2:G1594), AVERAGE(FILTER($G$2:G1594, $C$2:C1594 = C1594, $A$2:A1594 &gt;= A1594 - 30)))
"),"#DIV/0!")</f>
        <v>#DIV/0!</v>
      </c>
      <c r="I1594" s="20" t="e">
        <f t="shared" ca="1" si="31"/>
        <v>#DIV/0!</v>
      </c>
      <c r="J1594" s="20" t="str">
        <f ca="1">IFERROR(__xludf.DUMMYFUNCTION("IF(OR($I1594=2, $I1594=3), 0, IFERROR(COUNTIFS($C$2:C1594, $C1594, $A$2:A1594, ""&gt;""&amp;IFERROR(MAX(FILTER($A$2:A1594, $C$2:C1594=$C1594, $I$2:I1594&lt;&gt;1)), 0), $I$2:I1594, 1),1))
"),"#DIV/0!")</f>
        <v>#DIV/0!</v>
      </c>
      <c r="K1594" s="7" t="e">
        <f t="shared" ca="1" si="32"/>
        <v>#DIV/0!</v>
      </c>
      <c r="L1594" s="20" t="e">
        <f t="shared" ca="1" si="33"/>
        <v>#DIV/0!</v>
      </c>
      <c r="M1594" s="21" t="e">
        <f t="shared" ca="1" si="34"/>
        <v>#DIV/0!</v>
      </c>
      <c r="N1594" s="20" t="str">
        <f ca="1">IFERROR(__xludf.DUMMYFUNCTION("IF(COUNTIFS($C$2:C1594, C1594, $A$2:A1594, ""&lt;="" &amp; A1594) &lt; 30, STDEV.P(FILTER($G$2:G1594, $C$2:C1594 = C1594)), STDEV.P(FILTER($G$2:G1594, $C$2:C1594 = C1594, $A$2:A1594 &gt;= A1594 - 30)))
"),"#DIV/0!")</f>
        <v>#DIV/0!</v>
      </c>
    </row>
    <row r="1595" spans="1:14" x14ac:dyDescent="0.2">
      <c r="A1595" s="41"/>
      <c r="B1595" s="40"/>
      <c r="C1595" s="40"/>
      <c r="D1595" s="31"/>
      <c r="E1595" s="31"/>
      <c r="F1595" s="31"/>
      <c r="G1595" s="19" t="e">
        <f t="shared" si="30"/>
        <v>#DIV/0!</v>
      </c>
      <c r="H1595" s="20" t="str">
        <f ca="1">IFERROR(__xludf.DUMMYFUNCTION("IF(COUNTIFS($C$2:C1595, C1595, $A$2:A1595, ""&lt;="" &amp; A1595) &lt; 30, AVERAGEIF($C$2:C1595, C1595, $G$2:G1595), AVERAGE(FILTER($G$2:G1595, $C$2:C1595 = C1595, $A$2:A1595 &gt;= A1595 - 30)))
"),"#DIV/0!")</f>
        <v>#DIV/0!</v>
      </c>
      <c r="I1595" s="20" t="e">
        <f t="shared" ca="1" si="31"/>
        <v>#DIV/0!</v>
      </c>
      <c r="J1595" s="20" t="str">
        <f ca="1">IFERROR(__xludf.DUMMYFUNCTION("IF(OR($I1595=2, $I1595=3), 0, IFERROR(COUNTIFS($C$2:C1595, $C1595, $A$2:A1595, ""&gt;""&amp;IFERROR(MAX(FILTER($A$2:A1595, $C$2:C1595=$C1595, $I$2:I1595&lt;&gt;1)), 0), $I$2:I1595, 1),1))
"),"#DIV/0!")</f>
        <v>#DIV/0!</v>
      </c>
      <c r="K1595" s="7" t="e">
        <f t="shared" ca="1" si="32"/>
        <v>#DIV/0!</v>
      </c>
      <c r="L1595" s="20" t="e">
        <f t="shared" ca="1" si="33"/>
        <v>#DIV/0!</v>
      </c>
      <c r="M1595" s="21" t="e">
        <f t="shared" ca="1" si="34"/>
        <v>#DIV/0!</v>
      </c>
      <c r="N1595" s="20" t="str">
        <f ca="1">IFERROR(__xludf.DUMMYFUNCTION("IF(COUNTIFS($C$2:C1595, C1595, $A$2:A1595, ""&lt;="" &amp; A1595) &lt; 30, STDEV.P(FILTER($G$2:G1595, $C$2:C1595 = C1595)), STDEV.P(FILTER($G$2:G1595, $C$2:C1595 = C1595, $A$2:A1595 &gt;= A1595 - 30)))
"),"#DIV/0!")</f>
        <v>#DIV/0!</v>
      </c>
    </row>
    <row r="1596" spans="1:14" x14ac:dyDescent="0.2">
      <c r="A1596" s="41"/>
      <c r="B1596" s="40"/>
      <c r="C1596" s="40"/>
      <c r="D1596" s="31"/>
      <c r="E1596" s="31"/>
      <c r="F1596" s="31"/>
      <c r="G1596" s="19" t="e">
        <f t="shared" si="30"/>
        <v>#DIV/0!</v>
      </c>
      <c r="H1596" s="20" t="str">
        <f ca="1">IFERROR(__xludf.DUMMYFUNCTION("IF(COUNTIFS($C$2:C1596, C1596, $A$2:A1596, ""&lt;="" &amp; A1596) &lt; 30, AVERAGEIF($C$2:C1596, C1596, $G$2:G1596), AVERAGE(FILTER($G$2:G1596, $C$2:C1596 = C1596, $A$2:A1596 &gt;= A1596 - 30)))
"),"#DIV/0!")</f>
        <v>#DIV/0!</v>
      </c>
      <c r="I1596" s="20" t="e">
        <f t="shared" ca="1" si="31"/>
        <v>#DIV/0!</v>
      </c>
      <c r="J1596" s="20" t="str">
        <f ca="1">IFERROR(__xludf.DUMMYFUNCTION("IF(OR($I1596=2, $I1596=3), 0, IFERROR(COUNTIFS($C$2:C1596, $C1596, $A$2:A1596, ""&gt;""&amp;IFERROR(MAX(FILTER($A$2:A1596, $C$2:C1596=$C1596, $I$2:I1596&lt;&gt;1)), 0), $I$2:I1596, 1),1))
"),"#DIV/0!")</f>
        <v>#DIV/0!</v>
      </c>
      <c r="K1596" s="7" t="e">
        <f t="shared" ca="1" si="32"/>
        <v>#DIV/0!</v>
      </c>
      <c r="L1596" s="20" t="e">
        <f t="shared" ca="1" si="33"/>
        <v>#DIV/0!</v>
      </c>
      <c r="M1596" s="21" t="e">
        <f t="shared" ca="1" si="34"/>
        <v>#DIV/0!</v>
      </c>
      <c r="N1596" s="20" t="str">
        <f ca="1">IFERROR(__xludf.DUMMYFUNCTION("IF(COUNTIFS($C$2:C1596, C1596, $A$2:A1596, ""&lt;="" &amp; A1596) &lt; 30, STDEV.P(FILTER($G$2:G1596, $C$2:C1596 = C1596)), STDEV.P(FILTER($G$2:G1596, $C$2:C1596 = C1596, $A$2:A1596 &gt;= A1596 - 30)))
"),"#DIV/0!")</f>
        <v>#DIV/0!</v>
      </c>
    </row>
    <row r="1597" spans="1:14" x14ac:dyDescent="0.2">
      <c r="A1597" s="41"/>
      <c r="B1597" s="40"/>
      <c r="C1597" s="40"/>
      <c r="D1597" s="31"/>
      <c r="E1597" s="31"/>
      <c r="F1597" s="31"/>
      <c r="G1597" s="19" t="e">
        <f t="shared" si="30"/>
        <v>#DIV/0!</v>
      </c>
      <c r="H1597" s="20" t="str">
        <f ca="1">IFERROR(__xludf.DUMMYFUNCTION("IF(COUNTIFS($C$2:C1597, C1597, $A$2:A1597, ""&lt;="" &amp; A1597) &lt; 30, AVERAGEIF($C$2:C1597, C1597, $G$2:G1597), AVERAGE(FILTER($G$2:G1597, $C$2:C1597 = C1597, $A$2:A1597 &gt;= A1597 - 30)))
"),"#DIV/0!")</f>
        <v>#DIV/0!</v>
      </c>
      <c r="I1597" s="20" t="e">
        <f t="shared" ca="1" si="31"/>
        <v>#DIV/0!</v>
      </c>
      <c r="J1597" s="20" t="str">
        <f ca="1">IFERROR(__xludf.DUMMYFUNCTION("IF(OR($I1597=2, $I1597=3), 0, IFERROR(COUNTIFS($C$2:C1597, $C1597, $A$2:A1597, ""&gt;""&amp;IFERROR(MAX(FILTER($A$2:A1597, $C$2:C1597=$C1597, $I$2:I1597&lt;&gt;1)), 0), $I$2:I1597, 1),1))
"),"#DIV/0!")</f>
        <v>#DIV/0!</v>
      </c>
      <c r="K1597" s="7" t="e">
        <f t="shared" ca="1" si="32"/>
        <v>#DIV/0!</v>
      </c>
      <c r="L1597" s="20" t="e">
        <f t="shared" ca="1" si="33"/>
        <v>#DIV/0!</v>
      </c>
      <c r="M1597" s="21" t="e">
        <f t="shared" ca="1" si="34"/>
        <v>#DIV/0!</v>
      </c>
      <c r="N1597" s="20" t="str">
        <f ca="1">IFERROR(__xludf.DUMMYFUNCTION("IF(COUNTIFS($C$2:C1597, C1597, $A$2:A1597, ""&lt;="" &amp; A1597) &lt; 30, STDEV.P(FILTER($G$2:G1597, $C$2:C1597 = C1597)), STDEV.P(FILTER($G$2:G1597, $C$2:C1597 = C1597, $A$2:A1597 &gt;= A1597 - 30)))
"),"#DIV/0!")</f>
        <v>#DIV/0!</v>
      </c>
    </row>
    <row r="1598" spans="1:14" x14ac:dyDescent="0.2">
      <c r="A1598" s="41"/>
      <c r="B1598" s="40"/>
      <c r="C1598" s="40"/>
      <c r="D1598" s="31"/>
      <c r="E1598" s="31"/>
      <c r="F1598" s="31"/>
      <c r="G1598" s="19" t="e">
        <f t="shared" si="30"/>
        <v>#DIV/0!</v>
      </c>
      <c r="H1598" s="20" t="str">
        <f ca="1">IFERROR(__xludf.DUMMYFUNCTION("IF(COUNTIFS($C$2:C1598, C1598, $A$2:A1598, ""&lt;="" &amp; A1598) &lt; 30, AVERAGEIF($C$2:C1598, C1598, $G$2:G1598), AVERAGE(FILTER($G$2:G1598, $C$2:C1598 = C1598, $A$2:A1598 &gt;= A1598 - 30)))
"),"#DIV/0!")</f>
        <v>#DIV/0!</v>
      </c>
      <c r="I1598" s="20" t="e">
        <f t="shared" ca="1" si="31"/>
        <v>#DIV/0!</v>
      </c>
      <c r="J1598" s="20" t="str">
        <f ca="1">IFERROR(__xludf.DUMMYFUNCTION("IF(OR($I1598=2, $I1598=3), 0, IFERROR(COUNTIFS($C$2:C1598, $C1598, $A$2:A1598, ""&gt;""&amp;IFERROR(MAX(FILTER($A$2:A1598, $C$2:C1598=$C1598, $I$2:I1598&lt;&gt;1)), 0), $I$2:I1598, 1),1))
"),"#DIV/0!")</f>
        <v>#DIV/0!</v>
      </c>
      <c r="K1598" s="7" t="e">
        <f t="shared" ca="1" si="32"/>
        <v>#DIV/0!</v>
      </c>
      <c r="L1598" s="20" t="e">
        <f t="shared" ca="1" si="33"/>
        <v>#DIV/0!</v>
      </c>
      <c r="M1598" s="21" t="e">
        <f t="shared" ca="1" si="34"/>
        <v>#DIV/0!</v>
      </c>
      <c r="N1598" s="20" t="str">
        <f ca="1">IFERROR(__xludf.DUMMYFUNCTION("IF(COUNTIFS($C$2:C1598, C1598, $A$2:A1598, ""&lt;="" &amp; A1598) &lt; 30, STDEV.P(FILTER($G$2:G1598, $C$2:C1598 = C1598)), STDEV.P(FILTER($G$2:G1598, $C$2:C1598 = C1598, $A$2:A1598 &gt;= A1598 - 30)))
"),"#DIV/0!")</f>
        <v>#DIV/0!</v>
      </c>
    </row>
    <row r="1599" spans="1:14" x14ac:dyDescent="0.2">
      <c r="A1599" s="41"/>
      <c r="B1599" s="40"/>
      <c r="C1599" s="40"/>
      <c r="D1599" s="31"/>
      <c r="E1599" s="31"/>
      <c r="F1599" s="31"/>
      <c r="G1599" s="19" t="e">
        <f t="shared" si="30"/>
        <v>#DIV/0!</v>
      </c>
      <c r="H1599" s="20" t="str">
        <f ca="1">IFERROR(__xludf.DUMMYFUNCTION("IF(COUNTIFS($C$2:C1599, C1599, $A$2:A1599, ""&lt;="" &amp; A1599) &lt; 30, AVERAGEIF($C$2:C1599, C1599, $G$2:G1599), AVERAGE(FILTER($G$2:G1599, $C$2:C1599 = C1599, $A$2:A1599 &gt;= A1599 - 30)))
"),"#DIV/0!")</f>
        <v>#DIV/0!</v>
      </c>
      <c r="I1599" s="20" t="e">
        <f t="shared" ca="1" si="31"/>
        <v>#DIV/0!</v>
      </c>
      <c r="J1599" s="20" t="str">
        <f ca="1">IFERROR(__xludf.DUMMYFUNCTION("IF(OR($I1599=2, $I1599=3), 0, IFERROR(COUNTIFS($C$2:C1599, $C1599, $A$2:A1599, ""&gt;""&amp;IFERROR(MAX(FILTER($A$2:A1599, $C$2:C1599=$C1599, $I$2:I1599&lt;&gt;1)), 0), $I$2:I1599, 1),1))
"),"#DIV/0!")</f>
        <v>#DIV/0!</v>
      </c>
      <c r="K1599" s="7" t="e">
        <f t="shared" ca="1" si="32"/>
        <v>#DIV/0!</v>
      </c>
      <c r="L1599" s="20" t="e">
        <f t="shared" ca="1" si="33"/>
        <v>#DIV/0!</v>
      </c>
      <c r="M1599" s="21" t="e">
        <f t="shared" ca="1" si="34"/>
        <v>#DIV/0!</v>
      </c>
      <c r="N1599" s="20" t="str">
        <f ca="1">IFERROR(__xludf.DUMMYFUNCTION("IF(COUNTIFS($C$2:C1599, C1599, $A$2:A1599, ""&lt;="" &amp; A1599) &lt; 30, STDEV.P(FILTER($G$2:G1599, $C$2:C1599 = C1599)), STDEV.P(FILTER($G$2:G1599, $C$2:C1599 = C1599, $A$2:A1599 &gt;= A1599 - 30)))
"),"#DIV/0!")</f>
        <v>#DIV/0!</v>
      </c>
    </row>
    <row r="1600" spans="1:14" x14ac:dyDescent="0.2">
      <c r="A1600" s="41"/>
      <c r="B1600" s="40"/>
      <c r="C1600" s="40"/>
      <c r="D1600" s="31"/>
      <c r="E1600" s="31"/>
      <c r="F1600" s="31"/>
      <c r="G1600" s="19" t="e">
        <f t="shared" si="30"/>
        <v>#DIV/0!</v>
      </c>
      <c r="H1600" s="20" t="str">
        <f ca="1">IFERROR(__xludf.DUMMYFUNCTION("IF(COUNTIFS($C$2:C1600, C1600, $A$2:A1600, ""&lt;="" &amp; A1600) &lt; 30, AVERAGEIF($C$2:C1600, C1600, $G$2:G1600), AVERAGE(FILTER($G$2:G1600, $C$2:C1600 = C1600, $A$2:A1600 &gt;= A1600 - 30)))
"),"#DIV/0!")</f>
        <v>#DIV/0!</v>
      </c>
      <c r="I1600" s="20" t="e">
        <f t="shared" ca="1" si="31"/>
        <v>#DIV/0!</v>
      </c>
      <c r="J1600" s="20" t="str">
        <f ca="1">IFERROR(__xludf.DUMMYFUNCTION("IF(OR($I1600=2, $I1600=3), 0, IFERROR(COUNTIFS($C$2:C1600, $C1600, $A$2:A1600, ""&gt;""&amp;IFERROR(MAX(FILTER($A$2:A1600, $C$2:C1600=$C1600, $I$2:I1600&lt;&gt;1)), 0), $I$2:I1600, 1),1))
"),"#DIV/0!")</f>
        <v>#DIV/0!</v>
      </c>
      <c r="K1600" s="7" t="e">
        <f t="shared" ca="1" si="32"/>
        <v>#DIV/0!</v>
      </c>
      <c r="L1600" s="20" t="e">
        <f t="shared" ca="1" si="33"/>
        <v>#DIV/0!</v>
      </c>
      <c r="M1600" s="21" t="e">
        <f t="shared" ca="1" si="34"/>
        <v>#DIV/0!</v>
      </c>
      <c r="N1600" s="20" t="str">
        <f ca="1">IFERROR(__xludf.DUMMYFUNCTION("IF(COUNTIFS($C$2:C1600, C1600, $A$2:A1600, ""&lt;="" &amp; A1600) &lt; 30, STDEV.P(FILTER($G$2:G1600, $C$2:C1600 = C1600)), STDEV.P(FILTER($G$2:G1600, $C$2:C1600 = C1600, $A$2:A1600 &gt;= A1600 - 30)))
"),"#DIV/0!")</f>
        <v>#DIV/0!</v>
      </c>
    </row>
    <row r="1601" spans="1:14" x14ac:dyDescent="0.2">
      <c r="A1601" s="41"/>
      <c r="B1601" s="40"/>
      <c r="C1601" s="40"/>
      <c r="D1601" s="31"/>
      <c r="E1601" s="31"/>
      <c r="F1601" s="31"/>
      <c r="G1601" s="19" t="e">
        <f t="shared" si="30"/>
        <v>#DIV/0!</v>
      </c>
      <c r="H1601" s="20" t="str">
        <f ca="1">IFERROR(__xludf.DUMMYFUNCTION("IF(COUNTIFS($C$2:C1601, C1601, $A$2:A1601, ""&lt;="" &amp; A1601) &lt; 30, AVERAGEIF($C$2:C1601, C1601, $G$2:G1601), AVERAGE(FILTER($G$2:G1601, $C$2:C1601 = C1601, $A$2:A1601 &gt;= A1601 - 30)))
"),"#DIV/0!")</f>
        <v>#DIV/0!</v>
      </c>
      <c r="I1601" s="20" t="e">
        <f t="shared" ca="1" si="31"/>
        <v>#DIV/0!</v>
      </c>
      <c r="J1601" s="20" t="str">
        <f ca="1">IFERROR(__xludf.DUMMYFUNCTION("IF(OR($I1601=2, $I1601=3), 0, IFERROR(COUNTIFS($C$2:C1601, $C1601, $A$2:A1601, ""&gt;""&amp;IFERROR(MAX(FILTER($A$2:A1601, $C$2:C1601=$C1601, $I$2:I1601&lt;&gt;1)), 0), $I$2:I1601, 1),1))
"),"#DIV/0!")</f>
        <v>#DIV/0!</v>
      </c>
      <c r="K1601" s="7" t="e">
        <f t="shared" ca="1" si="32"/>
        <v>#DIV/0!</v>
      </c>
      <c r="L1601" s="20" t="e">
        <f t="shared" ca="1" si="33"/>
        <v>#DIV/0!</v>
      </c>
      <c r="M1601" s="21" t="e">
        <f t="shared" ca="1" si="34"/>
        <v>#DIV/0!</v>
      </c>
      <c r="N1601" s="20" t="str">
        <f ca="1">IFERROR(__xludf.DUMMYFUNCTION("IF(COUNTIFS($C$2:C1601, C1601, $A$2:A1601, ""&lt;="" &amp; A1601) &lt; 30, STDEV.P(FILTER($G$2:G1601, $C$2:C1601 = C1601)), STDEV.P(FILTER($G$2:G1601, $C$2:C1601 = C1601, $A$2:A1601 &gt;= A1601 - 30)))
"),"#DIV/0!")</f>
        <v>#DIV/0!</v>
      </c>
    </row>
    <row r="1602" spans="1:14" x14ac:dyDescent="0.2">
      <c r="A1602" s="41"/>
      <c r="B1602" s="40"/>
      <c r="C1602" s="40"/>
      <c r="D1602" s="31"/>
      <c r="E1602" s="31"/>
      <c r="F1602" s="31"/>
      <c r="G1602" s="19" t="e">
        <f t="shared" si="30"/>
        <v>#DIV/0!</v>
      </c>
      <c r="H1602" s="20" t="str">
        <f ca="1">IFERROR(__xludf.DUMMYFUNCTION("IF(COUNTIFS($C$2:C1602, C1602, $A$2:A1602, ""&lt;="" &amp; A1602) &lt; 30, AVERAGEIF($C$2:C1602, C1602, $G$2:G1602), AVERAGE(FILTER($G$2:G1602, $C$2:C1602 = C1602, $A$2:A1602 &gt;= A1602 - 30)))
"),"#DIV/0!")</f>
        <v>#DIV/0!</v>
      </c>
      <c r="I1602" s="20" t="e">
        <f t="shared" ca="1" si="31"/>
        <v>#DIV/0!</v>
      </c>
      <c r="J1602" s="20" t="str">
        <f ca="1">IFERROR(__xludf.DUMMYFUNCTION("IF(OR($I1602=2, $I1602=3), 0, IFERROR(COUNTIFS($C$2:C1602, $C1602, $A$2:A1602, ""&gt;""&amp;IFERROR(MAX(FILTER($A$2:A1602, $C$2:C1602=$C1602, $I$2:I1602&lt;&gt;1)), 0), $I$2:I1602, 1),1))
"),"#DIV/0!")</f>
        <v>#DIV/0!</v>
      </c>
      <c r="K1602" s="7" t="e">
        <f t="shared" ca="1" si="32"/>
        <v>#DIV/0!</v>
      </c>
      <c r="L1602" s="20" t="e">
        <f t="shared" ca="1" si="33"/>
        <v>#DIV/0!</v>
      </c>
      <c r="M1602" s="21" t="e">
        <f t="shared" ca="1" si="34"/>
        <v>#DIV/0!</v>
      </c>
      <c r="N1602" s="20" t="str">
        <f ca="1">IFERROR(__xludf.DUMMYFUNCTION("IF(COUNTIFS($C$2:C1602, C1602, $A$2:A1602, ""&lt;="" &amp; A1602) &lt; 30, STDEV.P(FILTER($G$2:G1602, $C$2:C1602 = C1602)), STDEV.P(FILTER($G$2:G1602, $C$2:C1602 = C1602, $A$2:A1602 &gt;= A1602 - 30)))
"),"#DIV/0!")</f>
        <v>#DIV/0!</v>
      </c>
    </row>
    <row r="1603" spans="1:14" x14ac:dyDescent="0.2">
      <c r="A1603" s="41"/>
      <c r="B1603" s="40"/>
      <c r="C1603" s="40"/>
      <c r="D1603" s="31"/>
      <c r="E1603" s="31"/>
      <c r="F1603" s="31"/>
      <c r="G1603" s="19" t="e">
        <f t="shared" si="30"/>
        <v>#DIV/0!</v>
      </c>
      <c r="H1603" s="20" t="str">
        <f ca="1">IFERROR(__xludf.DUMMYFUNCTION("IF(COUNTIFS($C$2:C1603, C1603, $A$2:A1603, ""&lt;="" &amp; A1603) &lt; 30, AVERAGEIF($C$2:C1603, C1603, $G$2:G1603), AVERAGE(FILTER($G$2:G1603, $C$2:C1603 = C1603, $A$2:A1603 &gt;= A1603 - 30)))
"),"#DIV/0!")</f>
        <v>#DIV/0!</v>
      </c>
      <c r="I1603" s="20" t="e">
        <f t="shared" ca="1" si="31"/>
        <v>#DIV/0!</v>
      </c>
      <c r="J1603" s="20" t="str">
        <f ca="1">IFERROR(__xludf.DUMMYFUNCTION("IF(OR($I1603=2, $I1603=3), 0, IFERROR(COUNTIFS($C$2:C1603, $C1603, $A$2:A1603, ""&gt;""&amp;IFERROR(MAX(FILTER($A$2:A1603, $C$2:C1603=$C1603, $I$2:I1603&lt;&gt;1)), 0), $I$2:I1603, 1),1))
"),"#DIV/0!")</f>
        <v>#DIV/0!</v>
      </c>
      <c r="K1603" s="7" t="e">
        <f t="shared" ca="1" si="32"/>
        <v>#DIV/0!</v>
      </c>
      <c r="L1603" s="20" t="e">
        <f t="shared" ca="1" si="33"/>
        <v>#DIV/0!</v>
      </c>
      <c r="M1603" s="21" t="e">
        <f t="shared" ca="1" si="34"/>
        <v>#DIV/0!</v>
      </c>
      <c r="N1603" s="20" t="str">
        <f ca="1">IFERROR(__xludf.DUMMYFUNCTION("IF(COUNTIFS($C$2:C1603, C1603, $A$2:A1603, ""&lt;="" &amp; A1603) &lt; 30, STDEV.P(FILTER($G$2:G1603, $C$2:C1603 = C1603)), STDEV.P(FILTER($G$2:G1603, $C$2:C1603 = C1603, $A$2:A1603 &gt;= A1603 - 30)))
"),"#DIV/0!")</f>
        <v>#DIV/0!</v>
      </c>
    </row>
    <row r="1604" spans="1:14" x14ac:dyDescent="0.2">
      <c r="A1604" s="41"/>
      <c r="B1604" s="40"/>
      <c r="C1604" s="40"/>
      <c r="D1604" s="31"/>
      <c r="E1604" s="31"/>
      <c r="F1604" s="31"/>
      <c r="G1604" s="19" t="e">
        <f t="shared" si="30"/>
        <v>#DIV/0!</v>
      </c>
      <c r="H1604" s="20" t="str">
        <f ca="1">IFERROR(__xludf.DUMMYFUNCTION("IF(COUNTIFS($C$2:C1604, C1604, $A$2:A1604, ""&lt;="" &amp; A1604) &lt; 30, AVERAGEIF($C$2:C1604, C1604, $G$2:G1604), AVERAGE(FILTER($G$2:G1604, $C$2:C1604 = C1604, $A$2:A1604 &gt;= A1604 - 30)))
"),"#DIV/0!")</f>
        <v>#DIV/0!</v>
      </c>
      <c r="I1604" s="20" t="e">
        <f t="shared" ca="1" si="31"/>
        <v>#DIV/0!</v>
      </c>
      <c r="J1604" s="20" t="str">
        <f ca="1">IFERROR(__xludf.DUMMYFUNCTION("IF(OR($I1604=2, $I1604=3), 0, IFERROR(COUNTIFS($C$2:C1604, $C1604, $A$2:A1604, ""&gt;""&amp;IFERROR(MAX(FILTER($A$2:A1604, $C$2:C1604=$C1604, $I$2:I1604&lt;&gt;1)), 0), $I$2:I1604, 1),1))
"),"#DIV/0!")</f>
        <v>#DIV/0!</v>
      </c>
      <c r="K1604" s="7" t="e">
        <f t="shared" ca="1" si="32"/>
        <v>#DIV/0!</v>
      </c>
      <c r="L1604" s="20" t="e">
        <f t="shared" ca="1" si="33"/>
        <v>#DIV/0!</v>
      </c>
      <c r="M1604" s="21" t="e">
        <f t="shared" ca="1" si="34"/>
        <v>#DIV/0!</v>
      </c>
      <c r="N1604" s="20" t="str">
        <f ca="1">IFERROR(__xludf.DUMMYFUNCTION("IF(COUNTIFS($C$2:C1604, C1604, $A$2:A1604, ""&lt;="" &amp; A1604) &lt; 30, STDEV.P(FILTER($G$2:G1604, $C$2:C1604 = C1604)), STDEV.P(FILTER($G$2:G1604, $C$2:C1604 = C1604, $A$2:A1604 &gt;= A1604 - 30)))
"),"#DIV/0!")</f>
        <v>#DIV/0!</v>
      </c>
    </row>
    <row r="1605" spans="1:14" x14ac:dyDescent="0.2">
      <c r="A1605" s="41"/>
      <c r="B1605" s="40"/>
      <c r="C1605" s="40"/>
      <c r="D1605" s="31"/>
      <c r="E1605" s="31"/>
      <c r="F1605" s="31"/>
      <c r="G1605" s="19" t="e">
        <f t="shared" si="30"/>
        <v>#DIV/0!</v>
      </c>
      <c r="H1605" s="20" t="str">
        <f ca="1">IFERROR(__xludf.DUMMYFUNCTION("IF(COUNTIFS($C$2:C1605, C1605, $A$2:A1605, ""&lt;="" &amp; A1605) &lt; 30, AVERAGEIF($C$2:C1605, C1605, $G$2:G1605), AVERAGE(FILTER($G$2:G1605, $C$2:C1605 = C1605, $A$2:A1605 &gt;= A1605 - 30)))
"),"#DIV/0!")</f>
        <v>#DIV/0!</v>
      </c>
      <c r="I1605" s="20" t="e">
        <f t="shared" ca="1" si="31"/>
        <v>#DIV/0!</v>
      </c>
      <c r="J1605" s="20" t="str">
        <f ca="1">IFERROR(__xludf.DUMMYFUNCTION("IF(OR($I1605=2, $I1605=3), 0, IFERROR(COUNTIFS($C$2:C1605, $C1605, $A$2:A1605, ""&gt;""&amp;IFERROR(MAX(FILTER($A$2:A1605, $C$2:C1605=$C1605, $I$2:I1605&lt;&gt;1)), 0), $I$2:I1605, 1),1))
"),"#DIV/0!")</f>
        <v>#DIV/0!</v>
      </c>
      <c r="K1605" s="7" t="e">
        <f t="shared" ca="1" si="32"/>
        <v>#DIV/0!</v>
      </c>
      <c r="L1605" s="20" t="e">
        <f t="shared" ca="1" si="33"/>
        <v>#DIV/0!</v>
      </c>
      <c r="M1605" s="21" t="e">
        <f t="shared" ca="1" si="34"/>
        <v>#DIV/0!</v>
      </c>
      <c r="N1605" s="20" t="str">
        <f ca="1">IFERROR(__xludf.DUMMYFUNCTION("IF(COUNTIFS($C$2:C1605, C1605, $A$2:A1605, ""&lt;="" &amp; A1605) &lt; 30, STDEV.P(FILTER($G$2:G1605, $C$2:C1605 = C1605)), STDEV.P(FILTER($G$2:G1605, $C$2:C1605 = C1605, $A$2:A1605 &gt;= A1605 - 30)))
"),"#DIV/0!")</f>
        <v>#DIV/0!</v>
      </c>
    </row>
    <row r="1606" spans="1:14" x14ac:dyDescent="0.2">
      <c r="A1606" s="41"/>
      <c r="B1606" s="40"/>
      <c r="C1606" s="40"/>
      <c r="D1606" s="31"/>
      <c r="E1606" s="31"/>
      <c r="F1606" s="31"/>
      <c r="G1606" s="19" t="e">
        <f t="shared" si="30"/>
        <v>#DIV/0!</v>
      </c>
      <c r="H1606" s="20" t="str">
        <f ca="1">IFERROR(__xludf.DUMMYFUNCTION("IF(COUNTIFS($C$2:C1606, C1606, $A$2:A1606, ""&lt;="" &amp; A1606) &lt; 30, AVERAGEIF($C$2:C1606, C1606, $G$2:G1606), AVERAGE(FILTER($G$2:G1606, $C$2:C1606 = C1606, $A$2:A1606 &gt;= A1606 - 30)))
"),"#DIV/0!")</f>
        <v>#DIV/0!</v>
      </c>
      <c r="I1606" s="20" t="e">
        <f t="shared" ca="1" si="31"/>
        <v>#DIV/0!</v>
      </c>
      <c r="J1606" s="20" t="str">
        <f ca="1">IFERROR(__xludf.DUMMYFUNCTION("IF(OR($I1606=2, $I1606=3), 0, IFERROR(COUNTIFS($C$2:C1606, $C1606, $A$2:A1606, ""&gt;""&amp;IFERROR(MAX(FILTER($A$2:A1606, $C$2:C1606=$C1606, $I$2:I1606&lt;&gt;1)), 0), $I$2:I1606, 1),1))
"),"#DIV/0!")</f>
        <v>#DIV/0!</v>
      </c>
      <c r="K1606" s="7" t="e">
        <f t="shared" ca="1" si="32"/>
        <v>#DIV/0!</v>
      </c>
      <c r="L1606" s="20" t="e">
        <f t="shared" ca="1" si="33"/>
        <v>#DIV/0!</v>
      </c>
      <c r="M1606" s="21" t="e">
        <f t="shared" ca="1" si="34"/>
        <v>#DIV/0!</v>
      </c>
      <c r="N1606" s="20" t="str">
        <f ca="1">IFERROR(__xludf.DUMMYFUNCTION("IF(COUNTIFS($C$2:C1606, C1606, $A$2:A1606, ""&lt;="" &amp; A1606) &lt; 30, STDEV.P(FILTER($G$2:G1606, $C$2:C1606 = C1606)), STDEV.P(FILTER($G$2:G1606, $C$2:C1606 = C1606, $A$2:A1606 &gt;= A1606 - 30)))
"),"#DIV/0!")</f>
        <v>#DIV/0!</v>
      </c>
    </row>
    <row r="1607" spans="1:14" x14ac:dyDescent="0.2">
      <c r="A1607" s="41"/>
      <c r="B1607" s="40"/>
      <c r="C1607" s="40"/>
      <c r="D1607" s="31"/>
      <c r="E1607" s="31"/>
      <c r="F1607" s="31"/>
      <c r="G1607" s="19" t="e">
        <f t="shared" si="30"/>
        <v>#DIV/0!</v>
      </c>
      <c r="H1607" s="20" t="str">
        <f ca="1">IFERROR(__xludf.DUMMYFUNCTION("IF(COUNTIFS($C$2:C1607, C1607, $A$2:A1607, ""&lt;="" &amp; A1607) &lt; 30, AVERAGEIF($C$2:C1607, C1607, $G$2:G1607), AVERAGE(FILTER($G$2:G1607, $C$2:C1607 = C1607, $A$2:A1607 &gt;= A1607 - 30)))
"),"#DIV/0!")</f>
        <v>#DIV/0!</v>
      </c>
      <c r="I1607" s="20" t="e">
        <f t="shared" ca="1" si="31"/>
        <v>#DIV/0!</v>
      </c>
      <c r="J1607" s="20" t="str">
        <f ca="1">IFERROR(__xludf.DUMMYFUNCTION("IF(OR($I1607=2, $I1607=3), 0, IFERROR(COUNTIFS($C$2:C1607, $C1607, $A$2:A1607, ""&gt;""&amp;IFERROR(MAX(FILTER($A$2:A1607, $C$2:C1607=$C1607, $I$2:I1607&lt;&gt;1)), 0), $I$2:I1607, 1),1))
"),"#DIV/0!")</f>
        <v>#DIV/0!</v>
      </c>
      <c r="K1607" s="7" t="e">
        <f t="shared" ca="1" si="32"/>
        <v>#DIV/0!</v>
      </c>
      <c r="L1607" s="20" t="e">
        <f t="shared" ca="1" si="33"/>
        <v>#DIV/0!</v>
      </c>
      <c r="M1607" s="21" t="e">
        <f t="shared" ca="1" si="34"/>
        <v>#DIV/0!</v>
      </c>
      <c r="N1607" s="20" t="str">
        <f ca="1">IFERROR(__xludf.DUMMYFUNCTION("IF(COUNTIFS($C$2:C1607, C1607, $A$2:A1607, ""&lt;="" &amp; A1607) &lt; 30, STDEV.P(FILTER($G$2:G1607, $C$2:C1607 = C1607)), STDEV.P(FILTER($G$2:G1607, $C$2:C1607 = C1607, $A$2:A1607 &gt;= A1607 - 30)))
"),"#DIV/0!")</f>
        <v>#DIV/0!</v>
      </c>
    </row>
    <row r="1608" spans="1:14" x14ac:dyDescent="0.2">
      <c r="A1608" s="41"/>
      <c r="B1608" s="40"/>
      <c r="C1608" s="40"/>
      <c r="D1608" s="31"/>
      <c r="E1608" s="31"/>
      <c r="F1608" s="31"/>
      <c r="G1608" s="19" t="e">
        <f t="shared" si="30"/>
        <v>#DIV/0!</v>
      </c>
      <c r="H1608" s="20" t="str">
        <f ca="1">IFERROR(__xludf.DUMMYFUNCTION("IF(COUNTIFS($C$2:C1608, C1608, $A$2:A1608, ""&lt;="" &amp; A1608) &lt; 30, AVERAGEIF($C$2:C1608, C1608, $G$2:G1608), AVERAGE(FILTER($G$2:G1608, $C$2:C1608 = C1608, $A$2:A1608 &gt;= A1608 - 30)))
"),"#DIV/0!")</f>
        <v>#DIV/0!</v>
      </c>
      <c r="I1608" s="20" t="e">
        <f t="shared" ca="1" si="31"/>
        <v>#DIV/0!</v>
      </c>
      <c r="J1608" s="20" t="str">
        <f ca="1">IFERROR(__xludf.DUMMYFUNCTION("IF(OR($I1608=2, $I1608=3), 0, IFERROR(COUNTIFS($C$2:C1608, $C1608, $A$2:A1608, ""&gt;""&amp;IFERROR(MAX(FILTER($A$2:A1608, $C$2:C1608=$C1608, $I$2:I1608&lt;&gt;1)), 0), $I$2:I1608, 1),1))
"),"#DIV/0!")</f>
        <v>#DIV/0!</v>
      </c>
      <c r="K1608" s="7" t="e">
        <f t="shared" ca="1" si="32"/>
        <v>#DIV/0!</v>
      </c>
      <c r="L1608" s="20" t="e">
        <f t="shared" ca="1" si="33"/>
        <v>#DIV/0!</v>
      </c>
      <c r="M1608" s="21" t="e">
        <f t="shared" ca="1" si="34"/>
        <v>#DIV/0!</v>
      </c>
      <c r="N1608" s="20" t="str">
        <f ca="1">IFERROR(__xludf.DUMMYFUNCTION("IF(COUNTIFS($C$2:C1608, C1608, $A$2:A1608, ""&lt;="" &amp; A1608) &lt; 30, STDEV.P(FILTER($G$2:G1608, $C$2:C1608 = C1608)), STDEV.P(FILTER($G$2:G1608, $C$2:C1608 = C1608, $A$2:A1608 &gt;= A1608 - 30)))
"),"#DIV/0!")</f>
        <v>#DIV/0!</v>
      </c>
    </row>
    <row r="1609" spans="1:14" x14ac:dyDescent="0.2">
      <c r="A1609" s="41"/>
      <c r="B1609" s="40"/>
      <c r="C1609" s="40"/>
      <c r="D1609" s="31"/>
      <c r="E1609" s="31"/>
      <c r="F1609" s="31"/>
      <c r="G1609" s="19" t="e">
        <f t="shared" si="30"/>
        <v>#DIV/0!</v>
      </c>
      <c r="H1609" s="20" t="str">
        <f ca="1">IFERROR(__xludf.DUMMYFUNCTION("IF(COUNTIFS($C$2:C1609, C1609, $A$2:A1609, ""&lt;="" &amp; A1609) &lt; 30, AVERAGEIF($C$2:C1609, C1609, $G$2:G1609), AVERAGE(FILTER($G$2:G1609, $C$2:C1609 = C1609, $A$2:A1609 &gt;= A1609 - 30)))
"),"#DIV/0!")</f>
        <v>#DIV/0!</v>
      </c>
      <c r="I1609" s="20" t="e">
        <f t="shared" ca="1" si="31"/>
        <v>#DIV/0!</v>
      </c>
      <c r="J1609" s="20" t="str">
        <f ca="1">IFERROR(__xludf.DUMMYFUNCTION("IF(OR($I1609=2, $I1609=3), 0, IFERROR(COUNTIFS($C$2:C1609, $C1609, $A$2:A1609, ""&gt;""&amp;IFERROR(MAX(FILTER($A$2:A1609, $C$2:C1609=$C1609, $I$2:I1609&lt;&gt;1)), 0), $I$2:I1609, 1),1))
"),"#DIV/0!")</f>
        <v>#DIV/0!</v>
      </c>
      <c r="K1609" s="7" t="e">
        <f t="shared" ca="1" si="32"/>
        <v>#DIV/0!</v>
      </c>
      <c r="L1609" s="20" t="e">
        <f t="shared" ca="1" si="33"/>
        <v>#DIV/0!</v>
      </c>
      <c r="M1609" s="21" t="e">
        <f t="shared" ca="1" si="34"/>
        <v>#DIV/0!</v>
      </c>
      <c r="N1609" s="20" t="str">
        <f ca="1">IFERROR(__xludf.DUMMYFUNCTION("IF(COUNTIFS($C$2:C1609, C1609, $A$2:A1609, ""&lt;="" &amp; A1609) &lt; 30, STDEV.P(FILTER($G$2:G1609, $C$2:C1609 = C1609)), STDEV.P(FILTER($G$2:G1609, $C$2:C1609 = C1609, $A$2:A1609 &gt;= A1609 - 30)))
"),"#DIV/0!")</f>
        <v>#DIV/0!</v>
      </c>
    </row>
    <row r="1610" spans="1:14" x14ac:dyDescent="0.2">
      <c r="A1610" s="41"/>
      <c r="B1610" s="40"/>
      <c r="C1610" s="40"/>
      <c r="D1610" s="31"/>
      <c r="E1610" s="31"/>
      <c r="F1610" s="31"/>
      <c r="G1610" s="19" t="e">
        <f t="shared" si="30"/>
        <v>#DIV/0!</v>
      </c>
      <c r="H1610" s="20" t="str">
        <f ca="1">IFERROR(__xludf.DUMMYFUNCTION("IF(COUNTIFS($C$2:C1610, C1610, $A$2:A1610, ""&lt;="" &amp; A1610) &lt; 30, AVERAGEIF($C$2:C1610, C1610, $G$2:G1610), AVERAGE(FILTER($G$2:G1610, $C$2:C1610 = C1610, $A$2:A1610 &gt;= A1610 - 30)))
"),"#DIV/0!")</f>
        <v>#DIV/0!</v>
      </c>
      <c r="I1610" s="20" t="e">
        <f t="shared" ca="1" si="31"/>
        <v>#DIV/0!</v>
      </c>
      <c r="J1610" s="20" t="str">
        <f ca="1">IFERROR(__xludf.DUMMYFUNCTION("IF(OR($I1610=2, $I1610=3), 0, IFERROR(COUNTIFS($C$2:C1610, $C1610, $A$2:A1610, ""&gt;""&amp;IFERROR(MAX(FILTER($A$2:A1610, $C$2:C1610=$C1610, $I$2:I1610&lt;&gt;1)), 0), $I$2:I1610, 1),1))
"),"#DIV/0!")</f>
        <v>#DIV/0!</v>
      </c>
      <c r="K1610" s="7" t="e">
        <f t="shared" ca="1" si="32"/>
        <v>#DIV/0!</v>
      </c>
      <c r="L1610" s="20" t="e">
        <f t="shared" ca="1" si="33"/>
        <v>#DIV/0!</v>
      </c>
      <c r="M1610" s="21" t="e">
        <f t="shared" ca="1" si="34"/>
        <v>#DIV/0!</v>
      </c>
      <c r="N1610" s="20" t="str">
        <f ca="1">IFERROR(__xludf.DUMMYFUNCTION("IF(COUNTIFS($C$2:C1610, C1610, $A$2:A1610, ""&lt;="" &amp; A1610) &lt; 30, STDEV.P(FILTER($G$2:G1610, $C$2:C1610 = C1610)), STDEV.P(FILTER($G$2:G1610, $C$2:C1610 = C1610, $A$2:A1610 &gt;= A1610 - 30)))
"),"#DIV/0!")</f>
        <v>#DIV/0!</v>
      </c>
    </row>
    <row r="1611" spans="1:14" x14ac:dyDescent="0.2">
      <c r="A1611" s="41"/>
      <c r="B1611" s="40"/>
      <c r="C1611" s="40"/>
      <c r="D1611" s="31"/>
      <c r="E1611" s="31"/>
      <c r="F1611" s="31"/>
      <c r="G1611" s="19" t="e">
        <f t="shared" si="30"/>
        <v>#DIV/0!</v>
      </c>
      <c r="H1611" s="20" t="str">
        <f ca="1">IFERROR(__xludf.DUMMYFUNCTION("IF(COUNTIFS($C$2:C1611, C1611, $A$2:A1611, ""&lt;="" &amp; A1611) &lt; 30, AVERAGEIF($C$2:C1611, C1611, $G$2:G1611), AVERAGE(FILTER($G$2:G1611, $C$2:C1611 = C1611, $A$2:A1611 &gt;= A1611 - 30)))
"),"#DIV/0!")</f>
        <v>#DIV/0!</v>
      </c>
      <c r="I1611" s="20" t="e">
        <f t="shared" ca="1" si="31"/>
        <v>#DIV/0!</v>
      </c>
      <c r="J1611" s="20" t="str">
        <f ca="1">IFERROR(__xludf.DUMMYFUNCTION("IF(OR($I1611=2, $I1611=3), 0, IFERROR(COUNTIFS($C$2:C1611, $C1611, $A$2:A1611, ""&gt;""&amp;IFERROR(MAX(FILTER($A$2:A1611, $C$2:C1611=$C1611, $I$2:I1611&lt;&gt;1)), 0), $I$2:I1611, 1),1))
"),"#DIV/0!")</f>
        <v>#DIV/0!</v>
      </c>
      <c r="K1611" s="7" t="e">
        <f t="shared" ca="1" si="32"/>
        <v>#DIV/0!</v>
      </c>
      <c r="L1611" s="20" t="e">
        <f t="shared" ca="1" si="33"/>
        <v>#DIV/0!</v>
      </c>
      <c r="M1611" s="21" t="e">
        <f t="shared" ca="1" si="34"/>
        <v>#DIV/0!</v>
      </c>
      <c r="N1611" s="20" t="str">
        <f ca="1">IFERROR(__xludf.DUMMYFUNCTION("IF(COUNTIFS($C$2:C1611, C1611, $A$2:A1611, ""&lt;="" &amp; A1611) &lt; 30, STDEV.P(FILTER($G$2:G1611, $C$2:C1611 = C1611)), STDEV.P(FILTER($G$2:G1611, $C$2:C1611 = C1611, $A$2:A1611 &gt;= A1611 - 30)))
"),"#DIV/0!")</f>
        <v>#DIV/0!</v>
      </c>
    </row>
    <row r="1612" spans="1:14" x14ac:dyDescent="0.2">
      <c r="A1612" s="41"/>
      <c r="B1612" s="40"/>
      <c r="C1612" s="40"/>
      <c r="D1612" s="31"/>
      <c r="E1612" s="31"/>
      <c r="F1612" s="31"/>
      <c r="G1612" s="19" t="e">
        <f t="shared" si="30"/>
        <v>#DIV/0!</v>
      </c>
      <c r="H1612" s="20" t="str">
        <f ca="1">IFERROR(__xludf.DUMMYFUNCTION("IF(COUNTIFS($C$2:C1612, C1612, $A$2:A1612, ""&lt;="" &amp; A1612) &lt; 30, AVERAGEIF($C$2:C1612, C1612, $G$2:G1612), AVERAGE(FILTER($G$2:G1612, $C$2:C1612 = C1612, $A$2:A1612 &gt;= A1612 - 30)))
"),"#DIV/0!")</f>
        <v>#DIV/0!</v>
      </c>
      <c r="I1612" s="20" t="e">
        <f t="shared" ca="1" si="31"/>
        <v>#DIV/0!</v>
      </c>
      <c r="J1612" s="20" t="str">
        <f ca="1">IFERROR(__xludf.DUMMYFUNCTION("IF(OR($I1612=2, $I1612=3), 0, IFERROR(COUNTIFS($C$2:C1612, $C1612, $A$2:A1612, ""&gt;""&amp;IFERROR(MAX(FILTER($A$2:A1612, $C$2:C1612=$C1612, $I$2:I1612&lt;&gt;1)), 0), $I$2:I1612, 1),1))
"),"#DIV/0!")</f>
        <v>#DIV/0!</v>
      </c>
      <c r="K1612" s="7" t="e">
        <f t="shared" ca="1" si="32"/>
        <v>#DIV/0!</v>
      </c>
      <c r="L1612" s="20" t="e">
        <f t="shared" ca="1" si="33"/>
        <v>#DIV/0!</v>
      </c>
      <c r="M1612" s="21" t="e">
        <f t="shared" ca="1" si="34"/>
        <v>#DIV/0!</v>
      </c>
      <c r="N1612" s="20" t="str">
        <f ca="1">IFERROR(__xludf.DUMMYFUNCTION("IF(COUNTIFS($C$2:C1612, C1612, $A$2:A1612, ""&lt;="" &amp; A1612) &lt; 30, STDEV.P(FILTER($G$2:G1612, $C$2:C1612 = C1612)), STDEV.P(FILTER($G$2:G1612, $C$2:C1612 = C1612, $A$2:A1612 &gt;= A1612 - 30)))
"),"#DIV/0!")</f>
        <v>#DIV/0!</v>
      </c>
    </row>
    <row r="1613" spans="1:14" x14ac:dyDescent="0.2">
      <c r="A1613" s="41"/>
      <c r="B1613" s="40"/>
      <c r="C1613" s="40"/>
      <c r="D1613" s="31"/>
      <c r="E1613" s="31"/>
      <c r="F1613" s="31"/>
      <c r="G1613" s="19" t="e">
        <f t="shared" si="30"/>
        <v>#DIV/0!</v>
      </c>
      <c r="H1613" s="20" t="str">
        <f ca="1">IFERROR(__xludf.DUMMYFUNCTION("IF(COUNTIFS($C$2:C1613, C1613, $A$2:A1613, ""&lt;="" &amp; A1613) &lt; 30, AVERAGEIF($C$2:C1613, C1613, $G$2:G1613), AVERAGE(FILTER($G$2:G1613, $C$2:C1613 = C1613, $A$2:A1613 &gt;= A1613 - 30)))
"),"#DIV/0!")</f>
        <v>#DIV/0!</v>
      </c>
      <c r="I1613" s="20" t="e">
        <f t="shared" ca="1" si="31"/>
        <v>#DIV/0!</v>
      </c>
      <c r="J1613" s="20" t="str">
        <f ca="1">IFERROR(__xludf.DUMMYFUNCTION("IF(OR($I1613=2, $I1613=3), 0, IFERROR(COUNTIFS($C$2:C1613, $C1613, $A$2:A1613, ""&gt;""&amp;IFERROR(MAX(FILTER($A$2:A1613, $C$2:C1613=$C1613, $I$2:I1613&lt;&gt;1)), 0), $I$2:I1613, 1),1))
"),"#DIV/0!")</f>
        <v>#DIV/0!</v>
      </c>
      <c r="K1613" s="7" t="e">
        <f t="shared" ca="1" si="32"/>
        <v>#DIV/0!</v>
      </c>
      <c r="L1613" s="20" t="e">
        <f t="shared" ca="1" si="33"/>
        <v>#DIV/0!</v>
      </c>
      <c r="M1613" s="21" t="e">
        <f t="shared" ca="1" si="34"/>
        <v>#DIV/0!</v>
      </c>
      <c r="N1613" s="20" t="str">
        <f ca="1">IFERROR(__xludf.DUMMYFUNCTION("IF(COUNTIFS($C$2:C1613, C1613, $A$2:A1613, ""&lt;="" &amp; A1613) &lt; 30, STDEV.P(FILTER($G$2:G1613, $C$2:C1613 = C1613)), STDEV.P(FILTER($G$2:G1613, $C$2:C1613 = C1613, $A$2:A1613 &gt;= A1613 - 30)))
"),"#DIV/0!")</f>
        <v>#DIV/0!</v>
      </c>
    </row>
    <row r="1614" spans="1:14" x14ac:dyDescent="0.2">
      <c r="A1614" s="41"/>
      <c r="B1614" s="40"/>
      <c r="C1614" s="40"/>
      <c r="D1614" s="31"/>
      <c r="E1614" s="31"/>
      <c r="F1614" s="31"/>
      <c r="G1614" s="19" t="e">
        <f t="shared" si="30"/>
        <v>#DIV/0!</v>
      </c>
      <c r="H1614" s="20" t="str">
        <f ca="1">IFERROR(__xludf.DUMMYFUNCTION("IF(COUNTIFS($C$2:C1614, C1614, $A$2:A1614, ""&lt;="" &amp; A1614) &lt; 30, AVERAGEIF($C$2:C1614, C1614, $G$2:G1614), AVERAGE(FILTER($G$2:G1614, $C$2:C1614 = C1614, $A$2:A1614 &gt;= A1614 - 30)))
"),"#DIV/0!")</f>
        <v>#DIV/0!</v>
      </c>
      <c r="I1614" s="20" t="e">
        <f t="shared" ca="1" si="31"/>
        <v>#DIV/0!</v>
      </c>
      <c r="J1614" s="20" t="str">
        <f ca="1">IFERROR(__xludf.DUMMYFUNCTION("IF(OR($I1614=2, $I1614=3), 0, IFERROR(COUNTIFS($C$2:C1614, $C1614, $A$2:A1614, ""&gt;""&amp;IFERROR(MAX(FILTER($A$2:A1614, $C$2:C1614=$C1614, $I$2:I1614&lt;&gt;1)), 0), $I$2:I1614, 1),1))
"),"#DIV/0!")</f>
        <v>#DIV/0!</v>
      </c>
      <c r="K1614" s="7" t="e">
        <f t="shared" ca="1" si="32"/>
        <v>#DIV/0!</v>
      </c>
      <c r="L1614" s="20" t="e">
        <f t="shared" ca="1" si="33"/>
        <v>#DIV/0!</v>
      </c>
      <c r="M1614" s="21" t="e">
        <f t="shared" ca="1" si="34"/>
        <v>#DIV/0!</v>
      </c>
      <c r="N1614" s="20" t="str">
        <f ca="1">IFERROR(__xludf.DUMMYFUNCTION("IF(COUNTIFS($C$2:C1614, C1614, $A$2:A1614, ""&lt;="" &amp; A1614) &lt; 30, STDEV.P(FILTER($G$2:G1614, $C$2:C1614 = C1614)), STDEV.P(FILTER($G$2:G1614, $C$2:C1614 = C1614, $A$2:A1614 &gt;= A1614 - 30)))
"),"#DIV/0!")</f>
        <v>#DIV/0!</v>
      </c>
    </row>
    <row r="1615" spans="1:14" x14ac:dyDescent="0.2">
      <c r="A1615" s="41"/>
      <c r="B1615" s="40"/>
      <c r="C1615" s="40"/>
      <c r="D1615" s="31"/>
      <c r="E1615" s="31"/>
      <c r="F1615" s="31"/>
      <c r="G1615" s="19" t="e">
        <f t="shared" si="30"/>
        <v>#DIV/0!</v>
      </c>
      <c r="H1615" s="20" t="str">
        <f ca="1">IFERROR(__xludf.DUMMYFUNCTION("IF(COUNTIFS($C$2:C1615, C1615, $A$2:A1615, ""&lt;="" &amp; A1615) &lt; 30, AVERAGEIF($C$2:C1615, C1615, $G$2:G1615), AVERAGE(FILTER($G$2:G1615, $C$2:C1615 = C1615, $A$2:A1615 &gt;= A1615 - 30)))
"),"#DIV/0!")</f>
        <v>#DIV/0!</v>
      </c>
      <c r="I1615" s="20" t="e">
        <f t="shared" ca="1" si="31"/>
        <v>#DIV/0!</v>
      </c>
      <c r="J1615" s="20" t="str">
        <f ca="1">IFERROR(__xludf.DUMMYFUNCTION("IF(OR($I1615=2, $I1615=3), 0, IFERROR(COUNTIFS($C$2:C1615, $C1615, $A$2:A1615, ""&gt;""&amp;IFERROR(MAX(FILTER($A$2:A1615, $C$2:C1615=$C1615, $I$2:I1615&lt;&gt;1)), 0), $I$2:I1615, 1),1))
"),"#DIV/0!")</f>
        <v>#DIV/0!</v>
      </c>
      <c r="K1615" s="7" t="e">
        <f t="shared" ca="1" si="32"/>
        <v>#DIV/0!</v>
      </c>
      <c r="L1615" s="20" t="e">
        <f t="shared" ca="1" si="33"/>
        <v>#DIV/0!</v>
      </c>
      <c r="M1615" s="21" t="e">
        <f t="shared" ca="1" si="34"/>
        <v>#DIV/0!</v>
      </c>
      <c r="N1615" s="20" t="str">
        <f ca="1">IFERROR(__xludf.DUMMYFUNCTION("IF(COUNTIFS($C$2:C1615, C1615, $A$2:A1615, ""&lt;="" &amp; A1615) &lt; 30, STDEV.P(FILTER($G$2:G1615, $C$2:C1615 = C1615)), STDEV.P(FILTER($G$2:G1615, $C$2:C1615 = C1615, $A$2:A1615 &gt;= A1615 - 30)))
"),"#DIV/0!")</f>
        <v>#DIV/0!</v>
      </c>
    </row>
    <row r="1616" spans="1:14" x14ac:dyDescent="0.2">
      <c r="A1616" s="41"/>
      <c r="B1616" s="40"/>
      <c r="C1616" s="40"/>
      <c r="D1616" s="31"/>
      <c r="E1616" s="31"/>
      <c r="F1616" s="31"/>
      <c r="G1616" s="19" t="e">
        <f t="shared" si="30"/>
        <v>#DIV/0!</v>
      </c>
      <c r="H1616" s="20" t="str">
        <f ca="1">IFERROR(__xludf.DUMMYFUNCTION("IF(COUNTIFS($C$2:C1616, C1616, $A$2:A1616, ""&lt;="" &amp; A1616) &lt; 30, AVERAGEIF($C$2:C1616, C1616, $G$2:G1616), AVERAGE(FILTER($G$2:G1616, $C$2:C1616 = C1616, $A$2:A1616 &gt;= A1616 - 30)))
"),"#DIV/0!")</f>
        <v>#DIV/0!</v>
      </c>
      <c r="I1616" s="20" t="e">
        <f t="shared" ca="1" si="31"/>
        <v>#DIV/0!</v>
      </c>
      <c r="J1616" s="20" t="str">
        <f ca="1">IFERROR(__xludf.DUMMYFUNCTION("IF(OR($I1616=2, $I1616=3), 0, IFERROR(COUNTIFS($C$2:C1616, $C1616, $A$2:A1616, ""&gt;""&amp;IFERROR(MAX(FILTER($A$2:A1616, $C$2:C1616=$C1616, $I$2:I1616&lt;&gt;1)), 0), $I$2:I1616, 1),1))
"),"#DIV/0!")</f>
        <v>#DIV/0!</v>
      </c>
      <c r="K1616" s="7" t="e">
        <f t="shared" ca="1" si="32"/>
        <v>#DIV/0!</v>
      </c>
      <c r="L1616" s="20" t="e">
        <f t="shared" ca="1" si="33"/>
        <v>#DIV/0!</v>
      </c>
      <c r="M1616" s="21" t="e">
        <f t="shared" ca="1" si="34"/>
        <v>#DIV/0!</v>
      </c>
      <c r="N1616" s="20" t="str">
        <f ca="1">IFERROR(__xludf.DUMMYFUNCTION("IF(COUNTIFS($C$2:C1616, C1616, $A$2:A1616, ""&lt;="" &amp; A1616) &lt; 30, STDEV.P(FILTER($G$2:G1616, $C$2:C1616 = C1616)), STDEV.P(FILTER($G$2:G1616, $C$2:C1616 = C1616, $A$2:A1616 &gt;= A1616 - 30)))
"),"#DIV/0!")</f>
        <v>#DIV/0!</v>
      </c>
    </row>
    <row r="1617" spans="1:14" x14ac:dyDescent="0.2">
      <c r="A1617" s="41"/>
      <c r="B1617" s="40"/>
      <c r="C1617" s="40"/>
      <c r="D1617" s="31"/>
      <c r="E1617" s="31"/>
      <c r="F1617" s="31"/>
      <c r="G1617" s="19" t="e">
        <f t="shared" si="30"/>
        <v>#DIV/0!</v>
      </c>
      <c r="H1617" s="20" t="str">
        <f ca="1">IFERROR(__xludf.DUMMYFUNCTION("IF(COUNTIFS($C$2:C1617, C1617, $A$2:A1617, ""&lt;="" &amp; A1617) &lt; 30, AVERAGEIF($C$2:C1617, C1617, $G$2:G1617), AVERAGE(FILTER($G$2:G1617, $C$2:C1617 = C1617, $A$2:A1617 &gt;= A1617 - 30)))
"),"#DIV/0!")</f>
        <v>#DIV/0!</v>
      </c>
      <c r="I1617" s="20" t="e">
        <f t="shared" ca="1" si="31"/>
        <v>#DIV/0!</v>
      </c>
      <c r="J1617" s="20" t="str">
        <f ca="1">IFERROR(__xludf.DUMMYFUNCTION("IF(OR($I1617=2, $I1617=3), 0, IFERROR(COUNTIFS($C$2:C1617, $C1617, $A$2:A1617, ""&gt;""&amp;IFERROR(MAX(FILTER($A$2:A1617, $C$2:C1617=$C1617, $I$2:I1617&lt;&gt;1)), 0), $I$2:I1617, 1),1))
"),"#DIV/0!")</f>
        <v>#DIV/0!</v>
      </c>
      <c r="K1617" s="7" t="e">
        <f t="shared" ca="1" si="32"/>
        <v>#DIV/0!</v>
      </c>
      <c r="L1617" s="20" t="e">
        <f t="shared" ca="1" si="33"/>
        <v>#DIV/0!</v>
      </c>
      <c r="M1617" s="21" t="e">
        <f t="shared" ca="1" si="34"/>
        <v>#DIV/0!</v>
      </c>
      <c r="N1617" s="20" t="str">
        <f ca="1">IFERROR(__xludf.DUMMYFUNCTION("IF(COUNTIFS($C$2:C1617, C1617, $A$2:A1617, ""&lt;="" &amp; A1617) &lt; 30, STDEV.P(FILTER($G$2:G1617, $C$2:C1617 = C1617)), STDEV.P(FILTER($G$2:G1617, $C$2:C1617 = C1617, $A$2:A1617 &gt;= A1617 - 30)))
"),"#DIV/0!")</f>
        <v>#DIV/0!</v>
      </c>
    </row>
    <row r="1618" spans="1:14" x14ac:dyDescent="0.2">
      <c r="A1618" s="41"/>
      <c r="B1618" s="40"/>
      <c r="C1618" s="40"/>
      <c r="D1618" s="31"/>
      <c r="E1618" s="31"/>
      <c r="F1618" s="31"/>
      <c r="G1618" s="19" t="e">
        <f t="shared" si="30"/>
        <v>#DIV/0!</v>
      </c>
      <c r="H1618" s="20" t="str">
        <f ca="1">IFERROR(__xludf.DUMMYFUNCTION("IF(COUNTIFS($C$2:C1618, C1618, $A$2:A1618, ""&lt;="" &amp; A1618) &lt; 30, AVERAGEIF($C$2:C1618, C1618, $G$2:G1618), AVERAGE(FILTER($G$2:G1618, $C$2:C1618 = C1618, $A$2:A1618 &gt;= A1618 - 30)))
"),"#DIV/0!")</f>
        <v>#DIV/0!</v>
      </c>
      <c r="I1618" s="20" t="e">
        <f t="shared" ca="1" si="31"/>
        <v>#DIV/0!</v>
      </c>
      <c r="J1618" s="20" t="str">
        <f ca="1">IFERROR(__xludf.DUMMYFUNCTION("IF(OR($I1618=2, $I1618=3), 0, IFERROR(COUNTIFS($C$2:C1618, $C1618, $A$2:A1618, ""&gt;""&amp;IFERROR(MAX(FILTER($A$2:A1618, $C$2:C1618=$C1618, $I$2:I1618&lt;&gt;1)), 0), $I$2:I1618, 1),1))
"),"#DIV/0!")</f>
        <v>#DIV/0!</v>
      </c>
      <c r="K1618" s="7" t="e">
        <f t="shared" ca="1" si="32"/>
        <v>#DIV/0!</v>
      </c>
      <c r="L1618" s="20" t="e">
        <f t="shared" ca="1" si="33"/>
        <v>#DIV/0!</v>
      </c>
      <c r="M1618" s="21" t="e">
        <f t="shared" ca="1" si="34"/>
        <v>#DIV/0!</v>
      </c>
      <c r="N1618" s="20" t="str">
        <f ca="1">IFERROR(__xludf.DUMMYFUNCTION("IF(COUNTIFS($C$2:C1618, C1618, $A$2:A1618, ""&lt;="" &amp; A1618) &lt; 30, STDEV.P(FILTER($G$2:G1618, $C$2:C1618 = C1618)), STDEV.P(FILTER($G$2:G1618, $C$2:C1618 = C1618, $A$2:A1618 &gt;= A1618 - 30)))
"),"#DIV/0!")</f>
        <v>#DIV/0!</v>
      </c>
    </row>
    <row r="1619" spans="1:14" x14ac:dyDescent="0.2">
      <c r="A1619" s="41"/>
      <c r="B1619" s="40"/>
      <c r="C1619" s="40"/>
      <c r="D1619" s="31"/>
      <c r="E1619" s="31"/>
      <c r="F1619" s="31"/>
      <c r="G1619" s="19" t="e">
        <f t="shared" si="30"/>
        <v>#DIV/0!</v>
      </c>
      <c r="H1619" s="20" t="str">
        <f ca="1">IFERROR(__xludf.DUMMYFUNCTION("IF(COUNTIFS($C$2:C1619, C1619, $A$2:A1619, ""&lt;="" &amp; A1619) &lt; 30, AVERAGEIF($C$2:C1619, C1619, $G$2:G1619), AVERAGE(FILTER($G$2:G1619, $C$2:C1619 = C1619, $A$2:A1619 &gt;= A1619 - 30)))
"),"#DIV/0!")</f>
        <v>#DIV/0!</v>
      </c>
      <c r="I1619" s="20" t="e">
        <f t="shared" ca="1" si="31"/>
        <v>#DIV/0!</v>
      </c>
      <c r="J1619" s="20" t="str">
        <f ca="1">IFERROR(__xludf.DUMMYFUNCTION("IF(OR($I1619=2, $I1619=3), 0, IFERROR(COUNTIFS($C$2:C1619, $C1619, $A$2:A1619, ""&gt;""&amp;IFERROR(MAX(FILTER($A$2:A1619, $C$2:C1619=$C1619, $I$2:I1619&lt;&gt;1)), 0), $I$2:I1619, 1),1))
"),"#DIV/0!")</f>
        <v>#DIV/0!</v>
      </c>
      <c r="K1619" s="7" t="e">
        <f t="shared" ca="1" si="32"/>
        <v>#DIV/0!</v>
      </c>
      <c r="L1619" s="20" t="e">
        <f t="shared" ca="1" si="33"/>
        <v>#DIV/0!</v>
      </c>
      <c r="M1619" s="21" t="e">
        <f t="shared" ca="1" si="34"/>
        <v>#DIV/0!</v>
      </c>
      <c r="N1619" s="20" t="str">
        <f ca="1">IFERROR(__xludf.DUMMYFUNCTION("IF(COUNTIFS($C$2:C1619, C1619, $A$2:A1619, ""&lt;="" &amp; A1619) &lt; 30, STDEV.P(FILTER($G$2:G1619, $C$2:C1619 = C1619)), STDEV.P(FILTER($G$2:G1619, $C$2:C1619 = C1619, $A$2:A1619 &gt;= A1619 - 30)))
"),"#DIV/0!")</f>
        <v>#DIV/0!</v>
      </c>
    </row>
    <row r="1620" spans="1:14" x14ac:dyDescent="0.2">
      <c r="A1620" s="41"/>
      <c r="B1620" s="40"/>
      <c r="C1620" s="40"/>
      <c r="D1620" s="31"/>
      <c r="E1620" s="31"/>
      <c r="F1620" s="31"/>
      <c r="G1620" s="19" t="e">
        <f t="shared" si="30"/>
        <v>#DIV/0!</v>
      </c>
      <c r="H1620" s="20" t="str">
        <f ca="1">IFERROR(__xludf.DUMMYFUNCTION("IF(COUNTIFS($C$2:C1620, C1620, $A$2:A1620, ""&lt;="" &amp; A1620) &lt; 30, AVERAGEIF($C$2:C1620, C1620, $G$2:G1620), AVERAGE(FILTER($G$2:G1620, $C$2:C1620 = C1620, $A$2:A1620 &gt;= A1620 - 30)))
"),"#DIV/0!")</f>
        <v>#DIV/0!</v>
      </c>
      <c r="I1620" s="20" t="e">
        <f t="shared" ca="1" si="31"/>
        <v>#DIV/0!</v>
      </c>
      <c r="J1620" s="20" t="str">
        <f ca="1">IFERROR(__xludf.DUMMYFUNCTION("IF(OR($I1620=2, $I1620=3), 0, IFERROR(COUNTIFS($C$2:C1620, $C1620, $A$2:A1620, ""&gt;""&amp;IFERROR(MAX(FILTER($A$2:A1620, $C$2:C1620=$C1620, $I$2:I1620&lt;&gt;1)), 0), $I$2:I1620, 1),1))
"),"#DIV/0!")</f>
        <v>#DIV/0!</v>
      </c>
      <c r="K1620" s="7" t="e">
        <f t="shared" ca="1" si="32"/>
        <v>#DIV/0!</v>
      </c>
      <c r="L1620" s="20" t="e">
        <f t="shared" ca="1" si="33"/>
        <v>#DIV/0!</v>
      </c>
      <c r="M1620" s="21" t="e">
        <f t="shared" ca="1" si="34"/>
        <v>#DIV/0!</v>
      </c>
      <c r="N1620" s="20" t="str">
        <f ca="1">IFERROR(__xludf.DUMMYFUNCTION("IF(COUNTIFS($C$2:C1620, C1620, $A$2:A1620, ""&lt;="" &amp; A1620) &lt; 30, STDEV.P(FILTER($G$2:G1620, $C$2:C1620 = C1620)), STDEV.P(FILTER($G$2:G1620, $C$2:C1620 = C1620, $A$2:A1620 &gt;= A1620 - 30)))
"),"#DIV/0!")</f>
        <v>#DIV/0!</v>
      </c>
    </row>
    <row r="1621" spans="1:14" x14ac:dyDescent="0.2">
      <c r="A1621" s="41"/>
      <c r="B1621" s="40"/>
      <c r="C1621" s="40"/>
      <c r="D1621" s="31"/>
      <c r="E1621" s="31"/>
      <c r="F1621" s="31"/>
      <c r="G1621" s="19" t="e">
        <f t="shared" si="30"/>
        <v>#DIV/0!</v>
      </c>
      <c r="H1621" s="20" t="str">
        <f ca="1">IFERROR(__xludf.DUMMYFUNCTION("IF(COUNTIFS($C$2:C1621, C1621, $A$2:A1621, ""&lt;="" &amp; A1621) &lt; 30, AVERAGEIF($C$2:C1621, C1621, $G$2:G1621), AVERAGE(FILTER($G$2:G1621, $C$2:C1621 = C1621, $A$2:A1621 &gt;= A1621 - 30)))
"),"#DIV/0!")</f>
        <v>#DIV/0!</v>
      </c>
      <c r="I1621" s="20" t="e">
        <f t="shared" ca="1" si="31"/>
        <v>#DIV/0!</v>
      </c>
      <c r="J1621" s="20" t="str">
        <f ca="1">IFERROR(__xludf.DUMMYFUNCTION("IF(OR($I1621=2, $I1621=3), 0, IFERROR(COUNTIFS($C$2:C1621, $C1621, $A$2:A1621, ""&gt;""&amp;IFERROR(MAX(FILTER($A$2:A1621, $C$2:C1621=$C1621, $I$2:I1621&lt;&gt;1)), 0), $I$2:I1621, 1),1))
"),"#DIV/0!")</f>
        <v>#DIV/0!</v>
      </c>
      <c r="K1621" s="7" t="e">
        <f t="shared" ca="1" si="32"/>
        <v>#DIV/0!</v>
      </c>
      <c r="L1621" s="20" t="e">
        <f t="shared" ca="1" si="33"/>
        <v>#DIV/0!</v>
      </c>
      <c r="M1621" s="21" t="e">
        <f t="shared" ca="1" si="34"/>
        <v>#DIV/0!</v>
      </c>
      <c r="N1621" s="20" t="str">
        <f ca="1">IFERROR(__xludf.DUMMYFUNCTION("IF(COUNTIFS($C$2:C1621, C1621, $A$2:A1621, ""&lt;="" &amp; A1621) &lt; 30, STDEV.P(FILTER($G$2:G1621, $C$2:C1621 = C1621)), STDEV.P(FILTER($G$2:G1621, $C$2:C1621 = C1621, $A$2:A1621 &gt;= A1621 - 30)))
"),"#DIV/0!")</f>
        <v>#DIV/0!</v>
      </c>
    </row>
    <row r="1622" spans="1:14" x14ac:dyDescent="0.2">
      <c r="A1622" s="41"/>
      <c r="B1622" s="40"/>
      <c r="C1622" s="40"/>
      <c r="D1622" s="31"/>
      <c r="E1622" s="31"/>
      <c r="F1622" s="31"/>
      <c r="G1622" s="19" t="e">
        <f t="shared" si="30"/>
        <v>#DIV/0!</v>
      </c>
      <c r="H1622" s="20" t="str">
        <f ca="1">IFERROR(__xludf.DUMMYFUNCTION("IF(COUNTIFS($C$2:C1622, C1622, $A$2:A1622, ""&lt;="" &amp; A1622) &lt; 30, AVERAGEIF($C$2:C1622, C1622, $G$2:G1622), AVERAGE(FILTER($G$2:G1622, $C$2:C1622 = C1622, $A$2:A1622 &gt;= A1622 - 30)))
"),"#DIV/0!")</f>
        <v>#DIV/0!</v>
      </c>
      <c r="I1622" s="20" t="e">
        <f t="shared" ca="1" si="31"/>
        <v>#DIV/0!</v>
      </c>
      <c r="J1622" s="20" t="str">
        <f ca="1">IFERROR(__xludf.DUMMYFUNCTION("IF(OR($I1622=2, $I1622=3), 0, IFERROR(COUNTIFS($C$2:C1622, $C1622, $A$2:A1622, ""&gt;""&amp;IFERROR(MAX(FILTER($A$2:A1622, $C$2:C1622=$C1622, $I$2:I1622&lt;&gt;1)), 0), $I$2:I1622, 1),1))
"),"#DIV/0!")</f>
        <v>#DIV/0!</v>
      </c>
      <c r="K1622" s="7" t="e">
        <f t="shared" ca="1" si="32"/>
        <v>#DIV/0!</v>
      </c>
      <c r="L1622" s="20" t="e">
        <f t="shared" ca="1" si="33"/>
        <v>#DIV/0!</v>
      </c>
      <c r="M1622" s="21" t="e">
        <f t="shared" ca="1" si="34"/>
        <v>#DIV/0!</v>
      </c>
      <c r="N1622" s="20" t="str">
        <f ca="1">IFERROR(__xludf.DUMMYFUNCTION("IF(COUNTIFS($C$2:C1622, C1622, $A$2:A1622, ""&lt;="" &amp; A1622) &lt; 30, STDEV.P(FILTER($G$2:G1622, $C$2:C1622 = C1622)), STDEV.P(FILTER($G$2:G1622, $C$2:C1622 = C1622, $A$2:A1622 &gt;= A1622 - 30)))
"),"#DIV/0!")</f>
        <v>#DIV/0!</v>
      </c>
    </row>
    <row r="1623" spans="1:14" x14ac:dyDescent="0.2">
      <c r="A1623" s="41"/>
      <c r="B1623" s="40"/>
      <c r="C1623" s="40"/>
      <c r="D1623" s="31"/>
      <c r="E1623" s="31"/>
      <c r="F1623" s="31"/>
      <c r="G1623" s="19" t="e">
        <f t="shared" si="30"/>
        <v>#DIV/0!</v>
      </c>
      <c r="H1623" s="20" t="str">
        <f ca="1">IFERROR(__xludf.DUMMYFUNCTION("IF(COUNTIFS($C$2:C1623, C1623, $A$2:A1623, ""&lt;="" &amp; A1623) &lt; 30, AVERAGEIF($C$2:C1623, C1623, $G$2:G1623), AVERAGE(FILTER($G$2:G1623, $C$2:C1623 = C1623, $A$2:A1623 &gt;= A1623 - 30)))
"),"#DIV/0!")</f>
        <v>#DIV/0!</v>
      </c>
      <c r="I1623" s="20" t="e">
        <f t="shared" ca="1" si="31"/>
        <v>#DIV/0!</v>
      </c>
      <c r="J1623" s="20" t="str">
        <f ca="1">IFERROR(__xludf.DUMMYFUNCTION("IF(OR($I1623=2, $I1623=3), 0, IFERROR(COUNTIFS($C$2:C1623, $C1623, $A$2:A1623, ""&gt;""&amp;IFERROR(MAX(FILTER($A$2:A1623, $C$2:C1623=$C1623, $I$2:I1623&lt;&gt;1)), 0), $I$2:I1623, 1),1))
"),"#DIV/0!")</f>
        <v>#DIV/0!</v>
      </c>
      <c r="K1623" s="7" t="e">
        <f t="shared" ca="1" si="32"/>
        <v>#DIV/0!</v>
      </c>
      <c r="L1623" s="20" t="e">
        <f t="shared" ca="1" si="33"/>
        <v>#DIV/0!</v>
      </c>
      <c r="M1623" s="21" t="e">
        <f t="shared" ca="1" si="34"/>
        <v>#DIV/0!</v>
      </c>
      <c r="N1623" s="20" t="str">
        <f ca="1">IFERROR(__xludf.DUMMYFUNCTION("IF(COUNTIFS($C$2:C1623, C1623, $A$2:A1623, ""&lt;="" &amp; A1623) &lt; 30, STDEV.P(FILTER($G$2:G1623, $C$2:C1623 = C1623)), STDEV.P(FILTER($G$2:G1623, $C$2:C1623 = C1623, $A$2:A1623 &gt;= A1623 - 30)))
"),"#DIV/0!")</f>
        <v>#DIV/0!</v>
      </c>
    </row>
    <row r="1624" spans="1:14" x14ac:dyDescent="0.2">
      <c r="A1624" s="41"/>
      <c r="B1624" s="40"/>
      <c r="C1624" s="40"/>
      <c r="D1624" s="31"/>
      <c r="E1624" s="31"/>
      <c r="F1624" s="31"/>
      <c r="G1624" s="19" t="e">
        <f t="shared" si="30"/>
        <v>#DIV/0!</v>
      </c>
      <c r="H1624" s="20" t="str">
        <f ca="1">IFERROR(__xludf.DUMMYFUNCTION("IF(COUNTIFS($C$2:C1624, C1624, $A$2:A1624, ""&lt;="" &amp; A1624) &lt; 30, AVERAGEIF($C$2:C1624, C1624, $G$2:G1624), AVERAGE(FILTER($G$2:G1624, $C$2:C1624 = C1624, $A$2:A1624 &gt;= A1624 - 30)))
"),"#DIV/0!")</f>
        <v>#DIV/0!</v>
      </c>
      <c r="I1624" s="20" t="e">
        <f t="shared" ca="1" si="31"/>
        <v>#DIV/0!</v>
      </c>
      <c r="J1624" s="20" t="str">
        <f ca="1">IFERROR(__xludf.DUMMYFUNCTION("IF(OR($I1624=2, $I1624=3), 0, IFERROR(COUNTIFS($C$2:C1624, $C1624, $A$2:A1624, ""&gt;""&amp;IFERROR(MAX(FILTER($A$2:A1624, $C$2:C1624=$C1624, $I$2:I1624&lt;&gt;1)), 0), $I$2:I1624, 1),1))
"),"#DIV/0!")</f>
        <v>#DIV/0!</v>
      </c>
      <c r="K1624" s="7" t="e">
        <f t="shared" ca="1" si="32"/>
        <v>#DIV/0!</v>
      </c>
      <c r="L1624" s="20" t="e">
        <f t="shared" ca="1" si="33"/>
        <v>#DIV/0!</v>
      </c>
      <c r="M1624" s="21" t="e">
        <f t="shared" ca="1" si="34"/>
        <v>#DIV/0!</v>
      </c>
      <c r="N1624" s="20" t="str">
        <f ca="1">IFERROR(__xludf.DUMMYFUNCTION("IF(COUNTIFS($C$2:C1624, C1624, $A$2:A1624, ""&lt;="" &amp; A1624) &lt; 30, STDEV.P(FILTER($G$2:G1624, $C$2:C1624 = C1624)), STDEV.P(FILTER($G$2:G1624, $C$2:C1624 = C1624, $A$2:A1624 &gt;= A1624 - 30)))
"),"#DIV/0!")</f>
        <v>#DIV/0!</v>
      </c>
    </row>
    <row r="1625" spans="1:14" x14ac:dyDescent="0.2">
      <c r="A1625" s="41"/>
      <c r="B1625" s="40"/>
      <c r="C1625" s="40"/>
      <c r="D1625" s="31"/>
      <c r="E1625" s="31"/>
      <c r="F1625" s="31"/>
      <c r="G1625" s="19" t="e">
        <f t="shared" si="30"/>
        <v>#DIV/0!</v>
      </c>
      <c r="H1625" s="20" t="str">
        <f ca="1">IFERROR(__xludf.DUMMYFUNCTION("IF(COUNTIFS($C$2:C1625, C1625, $A$2:A1625, ""&lt;="" &amp; A1625) &lt; 30, AVERAGEIF($C$2:C1625, C1625, $G$2:G1625), AVERAGE(FILTER($G$2:G1625, $C$2:C1625 = C1625, $A$2:A1625 &gt;= A1625 - 30)))
"),"#DIV/0!")</f>
        <v>#DIV/0!</v>
      </c>
      <c r="I1625" s="20" t="e">
        <f t="shared" ca="1" si="31"/>
        <v>#DIV/0!</v>
      </c>
      <c r="J1625" s="20" t="str">
        <f ca="1">IFERROR(__xludf.DUMMYFUNCTION("IF(OR($I1625=2, $I1625=3), 0, IFERROR(COUNTIFS($C$2:C1625, $C1625, $A$2:A1625, ""&gt;""&amp;IFERROR(MAX(FILTER($A$2:A1625, $C$2:C1625=$C1625, $I$2:I1625&lt;&gt;1)), 0), $I$2:I1625, 1),1))
"),"#DIV/0!")</f>
        <v>#DIV/0!</v>
      </c>
      <c r="K1625" s="7" t="e">
        <f t="shared" ca="1" si="32"/>
        <v>#DIV/0!</v>
      </c>
      <c r="L1625" s="20" t="e">
        <f t="shared" ca="1" si="33"/>
        <v>#DIV/0!</v>
      </c>
      <c r="M1625" s="21" t="e">
        <f t="shared" ca="1" si="34"/>
        <v>#DIV/0!</v>
      </c>
      <c r="N1625" s="20" t="str">
        <f ca="1">IFERROR(__xludf.DUMMYFUNCTION("IF(COUNTIFS($C$2:C1625, C1625, $A$2:A1625, ""&lt;="" &amp; A1625) &lt; 30, STDEV.P(FILTER($G$2:G1625, $C$2:C1625 = C1625)), STDEV.P(FILTER($G$2:G1625, $C$2:C1625 = C1625, $A$2:A1625 &gt;= A1625 - 30)))
"),"#DIV/0!")</f>
        <v>#DIV/0!</v>
      </c>
    </row>
    <row r="1626" spans="1:14" x14ac:dyDescent="0.2">
      <c r="A1626" s="41"/>
      <c r="B1626" s="40"/>
      <c r="C1626" s="40"/>
      <c r="D1626" s="31"/>
      <c r="E1626" s="31"/>
      <c r="F1626" s="31"/>
      <c r="G1626" s="19" t="e">
        <f t="shared" si="30"/>
        <v>#DIV/0!</v>
      </c>
      <c r="H1626" s="20" t="str">
        <f ca="1">IFERROR(__xludf.DUMMYFUNCTION("IF(COUNTIFS($C$2:C1626, C1626, $A$2:A1626, ""&lt;="" &amp; A1626) &lt; 30, AVERAGEIF($C$2:C1626, C1626, $G$2:G1626), AVERAGE(FILTER($G$2:G1626, $C$2:C1626 = C1626, $A$2:A1626 &gt;= A1626 - 30)))
"),"#DIV/0!")</f>
        <v>#DIV/0!</v>
      </c>
      <c r="I1626" s="20" t="e">
        <f t="shared" ca="1" si="31"/>
        <v>#DIV/0!</v>
      </c>
      <c r="J1626" s="20" t="str">
        <f ca="1">IFERROR(__xludf.DUMMYFUNCTION("IF(OR($I1626=2, $I1626=3), 0, IFERROR(COUNTIFS($C$2:C1626, $C1626, $A$2:A1626, ""&gt;""&amp;IFERROR(MAX(FILTER($A$2:A1626, $C$2:C1626=$C1626, $I$2:I1626&lt;&gt;1)), 0), $I$2:I1626, 1),1))
"),"#DIV/0!")</f>
        <v>#DIV/0!</v>
      </c>
      <c r="K1626" s="7" t="e">
        <f t="shared" ca="1" si="32"/>
        <v>#DIV/0!</v>
      </c>
      <c r="L1626" s="20" t="e">
        <f t="shared" ca="1" si="33"/>
        <v>#DIV/0!</v>
      </c>
      <c r="M1626" s="21" t="e">
        <f t="shared" ca="1" si="34"/>
        <v>#DIV/0!</v>
      </c>
      <c r="N1626" s="20" t="str">
        <f ca="1">IFERROR(__xludf.DUMMYFUNCTION("IF(COUNTIFS($C$2:C1626, C1626, $A$2:A1626, ""&lt;="" &amp; A1626) &lt; 30, STDEV.P(FILTER($G$2:G1626, $C$2:C1626 = C1626)), STDEV.P(FILTER($G$2:G1626, $C$2:C1626 = C1626, $A$2:A1626 &gt;= A1626 - 30)))
"),"#DIV/0!")</f>
        <v>#DIV/0!</v>
      </c>
    </row>
    <row r="1627" spans="1:14" x14ac:dyDescent="0.2">
      <c r="A1627" s="41"/>
      <c r="B1627" s="40"/>
      <c r="C1627" s="40"/>
      <c r="D1627" s="31"/>
      <c r="E1627" s="31"/>
      <c r="F1627" s="31"/>
      <c r="G1627" s="19" t="e">
        <f t="shared" si="30"/>
        <v>#DIV/0!</v>
      </c>
      <c r="H1627" s="20" t="str">
        <f ca="1">IFERROR(__xludf.DUMMYFUNCTION("IF(COUNTIFS($C$2:C1627, C1627, $A$2:A1627, ""&lt;="" &amp; A1627) &lt; 30, AVERAGEIF($C$2:C1627, C1627, $G$2:G1627), AVERAGE(FILTER($G$2:G1627, $C$2:C1627 = C1627, $A$2:A1627 &gt;= A1627 - 30)))
"),"#DIV/0!")</f>
        <v>#DIV/0!</v>
      </c>
      <c r="I1627" s="20" t="e">
        <f t="shared" ca="1" si="31"/>
        <v>#DIV/0!</v>
      </c>
      <c r="J1627" s="20" t="str">
        <f ca="1">IFERROR(__xludf.DUMMYFUNCTION("IF(OR($I1627=2, $I1627=3), 0, IFERROR(COUNTIFS($C$2:C1627, $C1627, $A$2:A1627, ""&gt;""&amp;IFERROR(MAX(FILTER($A$2:A1627, $C$2:C1627=$C1627, $I$2:I1627&lt;&gt;1)), 0), $I$2:I1627, 1),1))
"),"#DIV/0!")</f>
        <v>#DIV/0!</v>
      </c>
      <c r="K1627" s="7" t="e">
        <f t="shared" ca="1" si="32"/>
        <v>#DIV/0!</v>
      </c>
      <c r="L1627" s="20" t="e">
        <f t="shared" ca="1" si="33"/>
        <v>#DIV/0!</v>
      </c>
      <c r="M1627" s="21" t="e">
        <f t="shared" ca="1" si="34"/>
        <v>#DIV/0!</v>
      </c>
      <c r="N1627" s="20" t="str">
        <f ca="1">IFERROR(__xludf.DUMMYFUNCTION("IF(COUNTIFS($C$2:C1627, C1627, $A$2:A1627, ""&lt;="" &amp; A1627) &lt; 30, STDEV.P(FILTER($G$2:G1627, $C$2:C1627 = C1627)), STDEV.P(FILTER($G$2:G1627, $C$2:C1627 = C1627, $A$2:A1627 &gt;= A1627 - 30)))
"),"#DIV/0!")</f>
        <v>#DIV/0!</v>
      </c>
    </row>
    <row r="1628" spans="1:14" x14ac:dyDescent="0.2">
      <c r="A1628" s="41"/>
      <c r="B1628" s="40"/>
      <c r="C1628" s="40"/>
      <c r="D1628" s="31"/>
      <c r="E1628" s="31"/>
      <c r="F1628" s="31"/>
      <c r="G1628" s="19" t="e">
        <f t="shared" si="30"/>
        <v>#DIV/0!</v>
      </c>
      <c r="H1628" s="20" t="str">
        <f ca="1">IFERROR(__xludf.DUMMYFUNCTION("IF(COUNTIFS($C$2:C1628, C1628, $A$2:A1628, ""&lt;="" &amp; A1628) &lt; 30, AVERAGEIF($C$2:C1628, C1628, $G$2:G1628), AVERAGE(FILTER($G$2:G1628, $C$2:C1628 = C1628, $A$2:A1628 &gt;= A1628 - 30)))
"),"#DIV/0!")</f>
        <v>#DIV/0!</v>
      </c>
      <c r="I1628" s="20" t="e">
        <f t="shared" ca="1" si="31"/>
        <v>#DIV/0!</v>
      </c>
      <c r="J1628" s="20" t="str">
        <f ca="1">IFERROR(__xludf.DUMMYFUNCTION("IF(OR($I1628=2, $I1628=3), 0, IFERROR(COUNTIFS($C$2:C1628, $C1628, $A$2:A1628, ""&gt;""&amp;IFERROR(MAX(FILTER($A$2:A1628, $C$2:C1628=$C1628, $I$2:I1628&lt;&gt;1)), 0), $I$2:I1628, 1),1))
"),"#DIV/0!")</f>
        <v>#DIV/0!</v>
      </c>
      <c r="K1628" s="7" t="e">
        <f t="shared" ca="1" si="32"/>
        <v>#DIV/0!</v>
      </c>
      <c r="L1628" s="20" t="e">
        <f t="shared" ca="1" si="33"/>
        <v>#DIV/0!</v>
      </c>
      <c r="M1628" s="21" t="e">
        <f t="shared" ca="1" si="34"/>
        <v>#DIV/0!</v>
      </c>
      <c r="N1628" s="20" t="str">
        <f ca="1">IFERROR(__xludf.DUMMYFUNCTION("IF(COUNTIFS($C$2:C1628, C1628, $A$2:A1628, ""&lt;="" &amp; A1628) &lt; 30, STDEV.P(FILTER($G$2:G1628, $C$2:C1628 = C1628)), STDEV.P(FILTER($G$2:G1628, $C$2:C1628 = C1628, $A$2:A1628 &gt;= A1628 - 30)))
"),"#DIV/0!")</f>
        <v>#DIV/0!</v>
      </c>
    </row>
    <row r="1629" spans="1:14" x14ac:dyDescent="0.2">
      <c r="A1629" s="41"/>
      <c r="B1629" s="40"/>
      <c r="C1629" s="40"/>
      <c r="D1629" s="31"/>
      <c r="E1629" s="31"/>
      <c r="F1629" s="31"/>
      <c r="G1629" s="19" t="e">
        <f t="shared" si="30"/>
        <v>#DIV/0!</v>
      </c>
      <c r="H1629" s="20" t="str">
        <f ca="1">IFERROR(__xludf.DUMMYFUNCTION("IF(COUNTIFS($C$2:C1629, C1629, $A$2:A1629, ""&lt;="" &amp; A1629) &lt; 30, AVERAGEIF($C$2:C1629, C1629, $G$2:G1629), AVERAGE(FILTER($G$2:G1629, $C$2:C1629 = C1629, $A$2:A1629 &gt;= A1629 - 30)))
"),"#DIV/0!")</f>
        <v>#DIV/0!</v>
      </c>
      <c r="I1629" s="20" t="e">
        <f t="shared" ca="1" si="31"/>
        <v>#DIV/0!</v>
      </c>
      <c r="J1629" s="20" t="str">
        <f ca="1">IFERROR(__xludf.DUMMYFUNCTION("IF(OR($I1629=2, $I1629=3), 0, IFERROR(COUNTIFS($C$2:C1629, $C1629, $A$2:A1629, ""&gt;""&amp;IFERROR(MAX(FILTER($A$2:A1629, $C$2:C1629=$C1629, $I$2:I1629&lt;&gt;1)), 0), $I$2:I1629, 1),1))
"),"#DIV/0!")</f>
        <v>#DIV/0!</v>
      </c>
      <c r="K1629" s="7" t="e">
        <f t="shared" ca="1" si="32"/>
        <v>#DIV/0!</v>
      </c>
      <c r="L1629" s="20" t="e">
        <f t="shared" ca="1" si="33"/>
        <v>#DIV/0!</v>
      </c>
      <c r="M1629" s="21" t="e">
        <f t="shared" ca="1" si="34"/>
        <v>#DIV/0!</v>
      </c>
      <c r="N1629" s="20" t="str">
        <f ca="1">IFERROR(__xludf.DUMMYFUNCTION("IF(COUNTIFS($C$2:C1629, C1629, $A$2:A1629, ""&lt;="" &amp; A1629) &lt; 30, STDEV.P(FILTER($G$2:G1629, $C$2:C1629 = C1629)), STDEV.P(FILTER($G$2:G1629, $C$2:C1629 = C1629, $A$2:A1629 &gt;= A1629 - 30)))
"),"#DIV/0!")</f>
        <v>#DIV/0!</v>
      </c>
    </row>
    <row r="1630" spans="1:14" x14ac:dyDescent="0.2">
      <c r="A1630" s="41"/>
      <c r="B1630" s="40"/>
      <c r="C1630" s="40"/>
      <c r="D1630" s="31"/>
      <c r="E1630" s="31"/>
      <c r="F1630" s="31"/>
      <c r="G1630" s="19" t="e">
        <f t="shared" si="30"/>
        <v>#DIV/0!</v>
      </c>
      <c r="H1630" s="20" t="str">
        <f ca="1">IFERROR(__xludf.DUMMYFUNCTION("IF(COUNTIFS($C$2:C1630, C1630, $A$2:A1630, ""&lt;="" &amp; A1630) &lt; 30, AVERAGEIF($C$2:C1630, C1630, $G$2:G1630), AVERAGE(FILTER($G$2:G1630, $C$2:C1630 = C1630, $A$2:A1630 &gt;= A1630 - 30)))
"),"#DIV/0!")</f>
        <v>#DIV/0!</v>
      </c>
      <c r="I1630" s="20" t="e">
        <f t="shared" ca="1" si="31"/>
        <v>#DIV/0!</v>
      </c>
      <c r="J1630" s="20" t="str">
        <f ca="1">IFERROR(__xludf.DUMMYFUNCTION("IF(OR($I1630=2, $I1630=3), 0, IFERROR(COUNTIFS($C$2:C1630, $C1630, $A$2:A1630, ""&gt;""&amp;IFERROR(MAX(FILTER($A$2:A1630, $C$2:C1630=$C1630, $I$2:I1630&lt;&gt;1)), 0), $I$2:I1630, 1),1))
"),"#DIV/0!")</f>
        <v>#DIV/0!</v>
      </c>
      <c r="K1630" s="7" t="e">
        <f t="shared" ca="1" si="32"/>
        <v>#DIV/0!</v>
      </c>
      <c r="L1630" s="20" t="e">
        <f t="shared" ca="1" si="33"/>
        <v>#DIV/0!</v>
      </c>
      <c r="M1630" s="21" t="e">
        <f t="shared" ca="1" si="34"/>
        <v>#DIV/0!</v>
      </c>
      <c r="N1630" s="20" t="str">
        <f ca="1">IFERROR(__xludf.DUMMYFUNCTION("IF(COUNTIFS($C$2:C1630, C1630, $A$2:A1630, ""&lt;="" &amp; A1630) &lt; 30, STDEV.P(FILTER($G$2:G1630, $C$2:C1630 = C1630)), STDEV.P(FILTER($G$2:G1630, $C$2:C1630 = C1630, $A$2:A1630 &gt;= A1630 - 30)))
"),"#DIV/0!")</f>
        <v>#DIV/0!</v>
      </c>
    </row>
    <row r="1631" spans="1:14" x14ac:dyDescent="0.2">
      <c r="A1631" s="41"/>
      <c r="B1631" s="40"/>
      <c r="C1631" s="40"/>
      <c r="D1631" s="31"/>
      <c r="E1631" s="31"/>
      <c r="F1631" s="31"/>
      <c r="G1631" s="19" t="e">
        <f t="shared" si="30"/>
        <v>#DIV/0!</v>
      </c>
      <c r="H1631" s="20" t="str">
        <f ca="1">IFERROR(__xludf.DUMMYFUNCTION("IF(COUNTIFS($C$2:C1631, C1631, $A$2:A1631, ""&lt;="" &amp; A1631) &lt; 30, AVERAGEIF($C$2:C1631, C1631, $G$2:G1631), AVERAGE(FILTER($G$2:G1631, $C$2:C1631 = C1631, $A$2:A1631 &gt;= A1631 - 30)))
"),"#DIV/0!")</f>
        <v>#DIV/0!</v>
      </c>
      <c r="I1631" s="20" t="e">
        <f t="shared" ca="1" si="31"/>
        <v>#DIV/0!</v>
      </c>
      <c r="J1631" s="20" t="str">
        <f ca="1">IFERROR(__xludf.DUMMYFUNCTION("IF(OR($I1631=2, $I1631=3), 0, IFERROR(COUNTIFS($C$2:C1631, $C1631, $A$2:A1631, ""&gt;""&amp;IFERROR(MAX(FILTER($A$2:A1631, $C$2:C1631=$C1631, $I$2:I1631&lt;&gt;1)), 0), $I$2:I1631, 1),1))
"),"#DIV/0!")</f>
        <v>#DIV/0!</v>
      </c>
      <c r="K1631" s="7" t="e">
        <f t="shared" ca="1" si="32"/>
        <v>#DIV/0!</v>
      </c>
      <c r="L1631" s="20" t="e">
        <f t="shared" ca="1" si="33"/>
        <v>#DIV/0!</v>
      </c>
      <c r="M1631" s="21" t="e">
        <f t="shared" ca="1" si="34"/>
        <v>#DIV/0!</v>
      </c>
      <c r="N1631" s="20" t="str">
        <f ca="1">IFERROR(__xludf.DUMMYFUNCTION("IF(COUNTIFS($C$2:C1631, C1631, $A$2:A1631, ""&lt;="" &amp; A1631) &lt; 30, STDEV.P(FILTER($G$2:G1631, $C$2:C1631 = C1631)), STDEV.P(FILTER($G$2:G1631, $C$2:C1631 = C1631, $A$2:A1631 &gt;= A1631 - 30)))
"),"#DIV/0!")</f>
        <v>#DIV/0!</v>
      </c>
    </row>
    <row r="1632" spans="1:14" x14ac:dyDescent="0.2">
      <c r="A1632" s="41"/>
      <c r="B1632" s="40"/>
      <c r="C1632" s="40"/>
      <c r="D1632" s="31"/>
      <c r="E1632" s="31"/>
      <c r="F1632" s="31"/>
      <c r="G1632" s="19" t="e">
        <f t="shared" si="30"/>
        <v>#DIV/0!</v>
      </c>
      <c r="H1632" s="20" t="str">
        <f ca="1">IFERROR(__xludf.DUMMYFUNCTION("IF(COUNTIFS($C$2:C1632, C1632, $A$2:A1632, ""&lt;="" &amp; A1632) &lt; 30, AVERAGEIF($C$2:C1632, C1632, $G$2:G1632), AVERAGE(FILTER($G$2:G1632, $C$2:C1632 = C1632, $A$2:A1632 &gt;= A1632 - 30)))
"),"#DIV/0!")</f>
        <v>#DIV/0!</v>
      </c>
      <c r="I1632" s="20" t="e">
        <f t="shared" ca="1" si="31"/>
        <v>#DIV/0!</v>
      </c>
      <c r="J1632" s="20" t="str">
        <f ca="1">IFERROR(__xludf.DUMMYFUNCTION("IF(OR($I1632=2, $I1632=3), 0, IFERROR(COUNTIFS($C$2:C1632, $C1632, $A$2:A1632, ""&gt;""&amp;IFERROR(MAX(FILTER($A$2:A1632, $C$2:C1632=$C1632, $I$2:I1632&lt;&gt;1)), 0), $I$2:I1632, 1),1))
"),"#DIV/0!")</f>
        <v>#DIV/0!</v>
      </c>
      <c r="K1632" s="7" t="e">
        <f t="shared" ca="1" si="32"/>
        <v>#DIV/0!</v>
      </c>
      <c r="L1632" s="20" t="e">
        <f t="shared" ca="1" si="33"/>
        <v>#DIV/0!</v>
      </c>
      <c r="M1632" s="21" t="e">
        <f t="shared" ca="1" si="34"/>
        <v>#DIV/0!</v>
      </c>
      <c r="N1632" s="20" t="str">
        <f ca="1">IFERROR(__xludf.DUMMYFUNCTION("IF(COUNTIFS($C$2:C1632, C1632, $A$2:A1632, ""&lt;="" &amp; A1632) &lt; 30, STDEV.P(FILTER($G$2:G1632, $C$2:C1632 = C1632)), STDEV.P(FILTER($G$2:G1632, $C$2:C1632 = C1632, $A$2:A1632 &gt;= A1632 - 30)))
"),"#DIV/0!")</f>
        <v>#DIV/0!</v>
      </c>
    </row>
    <row r="1633" spans="1:14" x14ac:dyDescent="0.2">
      <c r="A1633" s="41"/>
      <c r="B1633" s="40"/>
      <c r="C1633" s="40"/>
      <c r="D1633" s="31"/>
      <c r="E1633" s="31"/>
      <c r="F1633" s="31"/>
      <c r="G1633" s="19" t="e">
        <f t="shared" si="30"/>
        <v>#DIV/0!</v>
      </c>
      <c r="H1633" s="20" t="str">
        <f ca="1">IFERROR(__xludf.DUMMYFUNCTION("IF(COUNTIFS($C$2:C1633, C1633, $A$2:A1633, ""&lt;="" &amp; A1633) &lt; 30, AVERAGEIF($C$2:C1633, C1633, $G$2:G1633), AVERAGE(FILTER($G$2:G1633, $C$2:C1633 = C1633, $A$2:A1633 &gt;= A1633 - 30)))
"),"#DIV/0!")</f>
        <v>#DIV/0!</v>
      </c>
      <c r="I1633" s="20" t="e">
        <f t="shared" ca="1" si="31"/>
        <v>#DIV/0!</v>
      </c>
      <c r="J1633" s="20" t="str">
        <f ca="1">IFERROR(__xludf.DUMMYFUNCTION("IF(OR($I1633=2, $I1633=3), 0, IFERROR(COUNTIFS($C$2:C1633, $C1633, $A$2:A1633, ""&gt;""&amp;IFERROR(MAX(FILTER($A$2:A1633, $C$2:C1633=$C1633, $I$2:I1633&lt;&gt;1)), 0), $I$2:I1633, 1),1))
"),"#DIV/0!")</f>
        <v>#DIV/0!</v>
      </c>
      <c r="K1633" s="7" t="e">
        <f t="shared" ca="1" si="32"/>
        <v>#DIV/0!</v>
      </c>
      <c r="L1633" s="20" t="e">
        <f t="shared" ca="1" si="33"/>
        <v>#DIV/0!</v>
      </c>
      <c r="M1633" s="21" t="e">
        <f t="shared" ca="1" si="34"/>
        <v>#DIV/0!</v>
      </c>
      <c r="N1633" s="20" t="str">
        <f ca="1">IFERROR(__xludf.DUMMYFUNCTION("IF(COUNTIFS($C$2:C1633, C1633, $A$2:A1633, ""&lt;="" &amp; A1633) &lt; 30, STDEV.P(FILTER($G$2:G1633, $C$2:C1633 = C1633)), STDEV.P(FILTER($G$2:G1633, $C$2:C1633 = C1633, $A$2:A1633 &gt;= A1633 - 30)))
"),"#DIV/0!")</f>
        <v>#DIV/0!</v>
      </c>
    </row>
    <row r="1634" spans="1:14" x14ac:dyDescent="0.2">
      <c r="A1634" s="41"/>
      <c r="B1634" s="40"/>
      <c r="C1634" s="40"/>
      <c r="D1634" s="31"/>
      <c r="E1634" s="31"/>
      <c r="F1634" s="31"/>
      <c r="G1634" s="19" t="e">
        <f t="shared" si="30"/>
        <v>#DIV/0!</v>
      </c>
      <c r="H1634" s="20" t="str">
        <f ca="1">IFERROR(__xludf.DUMMYFUNCTION("IF(COUNTIFS($C$2:C1634, C1634, $A$2:A1634, ""&lt;="" &amp; A1634) &lt; 30, AVERAGEIF($C$2:C1634, C1634, $G$2:G1634), AVERAGE(FILTER($G$2:G1634, $C$2:C1634 = C1634, $A$2:A1634 &gt;= A1634 - 30)))
"),"#DIV/0!")</f>
        <v>#DIV/0!</v>
      </c>
      <c r="I1634" s="20" t="e">
        <f t="shared" ca="1" si="31"/>
        <v>#DIV/0!</v>
      </c>
      <c r="J1634" s="20" t="str">
        <f ca="1">IFERROR(__xludf.DUMMYFUNCTION("IF(OR($I1634=2, $I1634=3), 0, IFERROR(COUNTIFS($C$2:C1634, $C1634, $A$2:A1634, ""&gt;""&amp;IFERROR(MAX(FILTER($A$2:A1634, $C$2:C1634=$C1634, $I$2:I1634&lt;&gt;1)), 0), $I$2:I1634, 1),1))
"),"#DIV/0!")</f>
        <v>#DIV/0!</v>
      </c>
      <c r="K1634" s="7" t="e">
        <f t="shared" ca="1" si="32"/>
        <v>#DIV/0!</v>
      </c>
      <c r="L1634" s="20" t="e">
        <f t="shared" ca="1" si="33"/>
        <v>#DIV/0!</v>
      </c>
      <c r="M1634" s="21" t="e">
        <f t="shared" ca="1" si="34"/>
        <v>#DIV/0!</v>
      </c>
      <c r="N1634" s="20" t="str">
        <f ca="1">IFERROR(__xludf.DUMMYFUNCTION("IF(COUNTIFS($C$2:C1634, C1634, $A$2:A1634, ""&lt;="" &amp; A1634) &lt; 30, STDEV.P(FILTER($G$2:G1634, $C$2:C1634 = C1634)), STDEV.P(FILTER($G$2:G1634, $C$2:C1634 = C1634, $A$2:A1634 &gt;= A1634 - 30)))
"),"#DIV/0!")</f>
        <v>#DIV/0!</v>
      </c>
    </row>
    <row r="1635" spans="1:14" x14ac:dyDescent="0.2">
      <c r="A1635" s="41"/>
      <c r="B1635" s="40"/>
      <c r="C1635" s="40"/>
      <c r="D1635" s="31"/>
      <c r="E1635" s="31"/>
      <c r="F1635" s="31"/>
      <c r="G1635" s="19" t="e">
        <f t="shared" si="30"/>
        <v>#DIV/0!</v>
      </c>
      <c r="H1635" s="20" t="str">
        <f ca="1">IFERROR(__xludf.DUMMYFUNCTION("IF(COUNTIFS($C$2:C1635, C1635, $A$2:A1635, ""&lt;="" &amp; A1635) &lt; 30, AVERAGEIF($C$2:C1635, C1635, $G$2:G1635), AVERAGE(FILTER($G$2:G1635, $C$2:C1635 = C1635, $A$2:A1635 &gt;= A1635 - 30)))
"),"#DIV/0!")</f>
        <v>#DIV/0!</v>
      </c>
      <c r="I1635" s="20" t="e">
        <f t="shared" ca="1" si="31"/>
        <v>#DIV/0!</v>
      </c>
      <c r="J1635" s="20" t="str">
        <f ca="1">IFERROR(__xludf.DUMMYFUNCTION("IF(OR($I1635=2, $I1635=3), 0, IFERROR(COUNTIFS($C$2:C1635, $C1635, $A$2:A1635, ""&gt;""&amp;IFERROR(MAX(FILTER($A$2:A1635, $C$2:C1635=$C1635, $I$2:I1635&lt;&gt;1)), 0), $I$2:I1635, 1),1))
"),"#DIV/0!")</f>
        <v>#DIV/0!</v>
      </c>
      <c r="K1635" s="7" t="e">
        <f t="shared" ca="1" si="32"/>
        <v>#DIV/0!</v>
      </c>
      <c r="L1635" s="20" t="e">
        <f t="shared" ca="1" si="33"/>
        <v>#DIV/0!</v>
      </c>
      <c r="M1635" s="21" t="e">
        <f t="shared" ca="1" si="34"/>
        <v>#DIV/0!</v>
      </c>
      <c r="N1635" s="20" t="str">
        <f ca="1">IFERROR(__xludf.DUMMYFUNCTION("IF(COUNTIFS($C$2:C1635, C1635, $A$2:A1635, ""&lt;="" &amp; A1635) &lt; 30, STDEV.P(FILTER($G$2:G1635, $C$2:C1635 = C1635)), STDEV.P(FILTER($G$2:G1635, $C$2:C1635 = C1635, $A$2:A1635 &gt;= A1635 - 30)))
"),"#DIV/0!")</f>
        <v>#DIV/0!</v>
      </c>
    </row>
    <row r="1636" spans="1:14" x14ac:dyDescent="0.2">
      <c r="A1636" s="41"/>
      <c r="B1636" s="40"/>
      <c r="C1636" s="40"/>
      <c r="D1636" s="31"/>
      <c r="E1636" s="31"/>
      <c r="F1636" s="31"/>
      <c r="G1636" s="19" t="e">
        <f t="shared" si="30"/>
        <v>#DIV/0!</v>
      </c>
      <c r="H1636" s="20" t="str">
        <f ca="1">IFERROR(__xludf.DUMMYFUNCTION("IF(COUNTIFS($C$2:C1636, C1636, $A$2:A1636, ""&lt;="" &amp; A1636) &lt; 30, AVERAGEIF($C$2:C1636, C1636, $G$2:G1636), AVERAGE(FILTER($G$2:G1636, $C$2:C1636 = C1636, $A$2:A1636 &gt;= A1636 - 30)))
"),"#DIV/0!")</f>
        <v>#DIV/0!</v>
      </c>
      <c r="I1636" s="20" t="e">
        <f t="shared" ca="1" si="31"/>
        <v>#DIV/0!</v>
      </c>
      <c r="J1636" s="20" t="str">
        <f ca="1">IFERROR(__xludf.DUMMYFUNCTION("IF(OR($I1636=2, $I1636=3), 0, IFERROR(COUNTIFS($C$2:C1636, $C1636, $A$2:A1636, ""&gt;""&amp;IFERROR(MAX(FILTER($A$2:A1636, $C$2:C1636=$C1636, $I$2:I1636&lt;&gt;1)), 0), $I$2:I1636, 1),1))
"),"#DIV/0!")</f>
        <v>#DIV/0!</v>
      </c>
      <c r="K1636" s="7" t="e">
        <f t="shared" ca="1" si="32"/>
        <v>#DIV/0!</v>
      </c>
      <c r="L1636" s="20" t="e">
        <f t="shared" ca="1" si="33"/>
        <v>#DIV/0!</v>
      </c>
      <c r="M1636" s="21" t="e">
        <f t="shared" ca="1" si="34"/>
        <v>#DIV/0!</v>
      </c>
      <c r="N1636" s="20" t="str">
        <f ca="1">IFERROR(__xludf.DUMMYFUNCTION("IF(COUNTIFS($C$2:C1636, C1636, $A$2:A1636, ""&lt;="" &amp; A1636) &lt; 30, STDEV.P(FILTER($G$2:G1636, $C$2:C1636 = C1636)), STDEV.P(FILTER($G$2:G1636, $C$2:C1636 = C1636, $A$2:A1636 &gt;= A1636 - 30)))
"),"#DIV/0!")</f>
        <v>#DIV/0!</v>
      </c>
    </row>
    <row r="1637" spans="1:14" x14ac:dyDescent="0.2">
      <c r="A1637" s="41"/>
      <c r="B1637" s="40"/>
      <c r="C1637" s="40"/>
      <c r="D1637" s="31"/>
      <c r="E1637" s="31"/>
      <c r="F1637" s="31"/>
      <c r="G1637" s="19" t="e">
        <f t="shared" si="30"/>
        <v>#DIV/0!</v>
      </c>
      <c r="H1637" s="20" t="str">
        <f ca="1">IFERROR(__xludf.DUMMYFUNCTION("IF(COUNTIFS($C$2:C1637, C1637, $A$2:A1637, ""&lt;="" &amp; A1637) &lt; 30, AVERAGEIF($C$2:C1637, C1637, $G$2:G1637), AVERAGE(FILTER($G$2:G1637, $C$2:C1637 = C1637, $A$2:A1637 &gt;= A1637 - 30)))
"),"#DIV/0!")</f>
        <v>#DIV/0!</v>
      </c>
      <c r="I1637" s="20" t="e">
        <f t="shared" ca="1" si="31"/>
        <v>#DIV/0!</v>
      </c>
      <c r="J1637" s="20" t="str">
        <f ca="1">IFERROR(__xludf.DUMMYFUNCTION("IF(OR($I1637=2, $I1637=3), 0, IFERROR(COUNTIFS($C$2:C1637, $C1637, $A$2:A1637, ""&gt;""&amp;IFERROR(MAX(FILTER($A$2:A1637, $C$2:C1637=$C1637, $I$2:I1637&lt;&gt;1)), 0), $I$2:I1637, 1),1))
"),"#DIV/0!")</f>
        <v>#DIV/0!</v>
      </c>
      <c r="K1637" s="7" t="e">
        <f t="shared" ca="1" si="32"/>
        <v>#DIV/0!</v>
      </c>
      <c r="L1637" s="20" t="e">
        <f t="shared" ca="1" si="33"/>
        <v>#DIV/0!</v>
      </c>
      <c r="M1637" s="21" t="e">
        <f t="shared" ca="1" si="34"/>
        <v>#DIV/0!</v>
      </c>
      <c r="N1637" s="20" t="str">
        <f ca="1">IFERROR(__xludf.DUMMYFUNCTION("IF(COUNTIFS($C$2:C1637, C1637, $A$2:A1637, ""&lt;="" &amp; A1637) &lt; 30, STDEV.P(FILTER($G$2:G1637, $C$2:C1637 = C1637)), STDEV.P(FILTER($G$2:G1637, $C$2:C1637 = C1637, $A$2:A1637 &gt;= A1637 - 30)))
"),"#DIV/0!")</f>
        <v>#DIV/0!</v>
      </c>
    </row>
    <row r="1638" spans="1:14" x14ac:dyDescent="0.2">
      <c r="A1638" s="41"/>
      <c r="B1638" s="40"/>
      <c r="C1638" s="40"/>
      <c r="D1638" s="31"/>
      <c r="E1638" s="31"/>
      <c r="F1638" s="31"/>
      <c r="G1638" s="19" t="e">
        <f t="shared" si="30"/>
        <v>#DIV/0!</v>
      </c>
      <c r="H1638" s="20" t="str">
        <f ca="1">IFERROR(__xludf.DUMMYFUNCTION("IF(COUNTIFS($C$2:C1638, C1638, $A$2:A1638, ""&lt;="" &amp; A1638) &lt; 30, AVERAGEIF($C$2:C1638, C1638, $G$2:G1638), AVERAGE(FILTER($G$2:G1638, $C$2:C1638 = C1638, $A$2:A1638 &gt;= A1638 - 30)))
"),"#DIV/0!")</f>
        <v>#DIV/0!</v>
      </c>
      <c r="I1638" s="20" t="e">
        <f t="shared" ca="1" si="31"/>
        <v>#DIV/0!</v>
      </c>
      <c r="J1638" s="20" t="str">
        <f ca="1">IFERROR(__xludf.DUMMYFUNCTION("IF(OR($I1638=2, $I1638=3), 0, IFERROR(COUNTIFS($C$2:C1638, $C1638, $A$2:A1638, ""&gt;""&amp;IFERROR(MAX(FILTER($A$2:A1638, $C$2:C1638=$C1638, $I$2:I1638&lt;&gt;1)), 0), $I$2:I1638, 1),1))
"),"#DIV/0!")</f>
        <v>#DIV/0!</v>
      </c>
      <c r="K1638" s="7" t="e">
        <f t="shared" ca="1" si="32"/>
        <v>#DIV/0!</v>
      </c>
      <c r="L1638" s="20" t="e">
        <f t="shared" ca="1" si="33"/>
        <v>#DIV/0!</v>
      </c>
      <c r="M1638" s="21" t="e">
        <f t="shared" ca="1" si="34"/>
        <v>#DIV/0!</v>
      </c>
      <c r="N1638" s="20" t="str">
        <f ca="1">IFERROR(__xludf.DUMMYFUNCTION("IF(COUNTIFS($C$2:C1638, C1638, $A$2:A1638, ""&lt;="" &amp; A1638) &lt; 30, STDEV.P(FILTER($G$2:G1638, $C$2:C1638 = C1638)), STDEV.P(FILTER($G$2:G1638, $C$2:C1638 = C1638, $A$2:A1638 &gt;= A1638 - 30)))
"),"#DIV/0!")</f>
        <v>#DIV/0!</v>
      </c>
    </row>
    <row r="1639" spans="1:14" x14ac:dyDescent="0.2">
      <c r="A1639" s="41"/>
      <c r="B1639" s="40"/>
      <c r="C1639" s="40"/>
      <c r="D1639" s="31"/>
      <c r="E1639" s="31"/>
      <c r="F1639" s="31"/>
      <c r="G1639" s="19" t="e">
        <f t="shared" si="30"/>
        <v>#DIV/0!</v>
      </c>
      <c r="H1639" s="20" t="str">
        <f ca="1">IFERROR(__xludf.DUMMYFUNCTION("IF(COUNTIFS($C$2:C1639, C1639, $A$2:A1639, ""&lt;="" &amp; A1639) &lt; 30, AVERAGEIF($C$2:C1639, C1639, $G$2:G1639), AVERAGE(FILTER($G$2:G1639, $C$2:C1639 = C1639, $A$2:A1639 &gt;= A1639 - 30)))
"),"#DIV/0!")</f>
        <v>#DIV/0!</v>
      </c>
      <c r="I1639" s="20" t="e">
        <f t="shared" ca="1" si="31"/>
        <v>#DIV/0!</v>
      </c>
      <c r="J1639" s="20" t="str">
        <f ca="1">IFERROR(__xludf.DUMMYFUNCTION("IF(OR($I1639=2, $I1639=3), 0, IFERROR(COUNTIFS($C$2:C1639, $C1639, $A$2:A1639, ""&gt;""&amp;IFERROR(MAX(FILTER($A$2:A1639, $C$2:C1639=$C1639, $I$2:I1639&lt;&gt;1)), 0), $I$2:I1639, 1),1))
"),"#DIV/0!")</f>
        <v>#DIV/0!</v>
      </c>
      <c r="K1639" s="7" t="e">
        <f t="shared" ca="1" si="32"/>
        <v>#DIV/0!</v>
      </c>
      <c r="L1639" s="20" t="e">
        <f t="shared" ca="1" si="33"/>
        <v>#DIV/0!</v>
      </c>
      <c r="M1639" s="21" t="e">
        <f t="shared" ca="1" si="34"/>
        <v>#DIV/0!</v>
      </c>
      <c r="N1639" s="20" t="str">
        <f ca="1">IFERROR(__xludf.DUMMYFUNCTION("IF(COUNTIFS($C$2:C1639, C1639, $A$2:A1639, ""&lt;="" &amp; A1639) &lt; 30, STDEV.P(FILTER($G$2:G1639, $C$2:C1639 = C1639)), STDEV.P(FILTER($G$2:G1639, $C$2:C1639 = C1639, $A$2:A1639 &gt;= A1639 - 30)))
"),"#DIV/0!")</f>
        <v>#DIV/0!</v>
      </c>
    </row>
    <row r="1640" spans="1:14" x14ac:dyDescent="0.2">
      <c r="A1640" s="41"/>
      <c r="B1640" s="40"/>
      <c r="C1640" s="40"/>
      <c r="D1640" s="31"/>
      <c r="E1640" s="31"/>
      <c r="F1640" s="31"/>
      <c r="G1640" s="19" t="e">
        <f t="shared" si="30"/>
        <v>#DIV/0!</v>
      </c>
      <c r="H1640" s="20" t="str">
        <f ca="1">IFERROR(__xludf.DUMMYFUNCTION("IF(COUNTIFS($C$2:C1640, C1640, $A$2:A1640, ""&lt;="" &amp; A1640) &lt; 30, AVERAGEIF($C$2:C1640, C1640, $G$2:G1640), AVERAGE(FILTER($G$2:G1640, $C$2:C1640 = C1640, $A$2:A1640 &gt;= A1640 - 30)))
"),"#DIV/0!")</f>
        <v>#DIV/0!</v>
      </c>
      <c r="I1640" s="20" t="e">
        <f t="shared" ca="1" si="31"/>
        <v>#DIV/0!</v>
      </c>
      <c r="J1640" s="20" t="str">
        <f ca="1">IFERROR(__xludf.DUMMYFUNCTION("IF(OR($I1640=2, $I1640=3), 0, IFERROR(COUNTIFS($C$2:C1640, $C1640, $A$2:A1640, ""&gt;""&amp;IFERROR(MAX(FILTER($A$2:A1640, $C$2:C1640=$C1640, $I$2:I1640&lt;&gt;1)), 0), $I$2:I1640, 1),1))
"),"#DIV/0!")</f>
        <v>#DIV/0!</v>
      </c>
      <c r="K1640" s="7" t="e">
        <f t="shared" ca="1" si="32"/>
        <v>#DIV/0!</v>
      </c>
      <c r="L1640" s="20" t="e">
        <f t="shared" ca="1" si="33"/>
        <v>#DIV/0!</v>
      </c>
      <c r="M1640" s="21" t="e">
        <f t="shared" ca="1" si="34"/>
        <v>#DIV/0!</v>
      </c>
      <c r="N1640" s="20" t="str">
        <f ca="1">IFERROR(__xludf.DUMMYFUNCTION("IF(COUNTIFS($C$2:C1640, C1640, $A$2:A1640, ""&lt;="" &amp; A1640) &lt; 30, STDEV.P(FILTER($G$2:G1640, $C$2:C1640 = C1640)), STDEV.P(FILTER($G$2:G1640, $C$2:C1640 = C1640, $A$2:A1640 &gt;= A1640 - 30)))
"),"#DIV/0!")</f>
        <v>#DIV/0!</v>
      </c>
    </row>
    <row r="1641" spans="1:14" x14ac:dyDescent="0.2">
      <c r="A1641" s="41"/>
      <c r="B1641" s="40"/>
      <c r="C1641" s="40"/>
      <c r="D1641" s="31"/>
      <c r="E1641" s="31"/>
      <c r="F1641" s="31"/>
      <c r="G1641" s="19" t="e">
        <f t="shared" si="30"/>
        <v>#DIV/0!</v>
      </c>
      <c r="H1641" s="20" t="str">
        <f ca="1">IFERROR(__xludf.DUMMYFUNCTION("IF(COUNTIFS($C$2:C1641, C1641, $A$2:A1641, ""&lt;="" &amp; A1641) &lt; 30, AVERAGEIF($C$2:C1641, C1641, $G$2:G1641), AVERAGE(FILTER($G$2:G1641, $C$2:C1641 = C1641, $A$2:A1641 &gt;= A1641 - 30)))
"),"#DIV/0!")</f>
        <v>#DIV/0!</v>
      </c>
      <c r="I1641" s="20" t="e">
        <f t="shared" ca="1" si="31"/>
        <v>#DIV/0!</v>
      </c>
      <c r="J1641" s="20" t="str">
        <f ca="1">IFERROR(__xludf.DUMMYFUNCTION("IF(OR($I1641=2, $I1641=3), 0, IFERROR(COUNTIFS($C$2:C1641, $C1641, $A$2:A1641, ""&gt;""&amp;IFERROR(MAX(FILTER($A$2:A1641, $C$2:C1641=$C1641, $I$2:I1641&lt;&gt;1)), 0), $I$2:I1641, 1),1))
"),"#DIV/0!")</f>
        <v>#DIV/0!</v>
      </c>
      <c r="K1641" s="7" t="e">
        <f t="shared" ca="1" si="32"/>
        <v>#DIV/0!</v>
      </c>
      <c r="L1641" s="20" t="e">
        <f t="shared" ca="1" si="33"/>
        <v>#DIV/0!</v>
      </c>
      <c r="M1641" s="21" t="e">
        <f t="shared" ca="1" si="34"/>
        <v>#DIV/0!</v>
      </c>
      <c r="N1641" s="20" t="str">
        <f ca="1">IFERROR(__xludf.DUMMYFUNCTION("IF(COUNTIFS($C$2:C1641, C1641, $A$2:A1641, ""&lt;="" &amp; A1641) &lt; 30, STDEV.P(FILTER($G$2:G1641, $C$2:C1641 = C1641)), STDEV.P(FILTER($G$2:G1641, $C$2:C1641 = C1641, $A$2:A1641 &gt;= A1641 - 30)))
"),"#DIV/0!")</f>
        <v>#DIV/0!</v>
      </c>
    </row>
    <row r="1642" spans="1:14" x14ac:dyDescent="0.2">
      <c r="A1642" s="41"/>
      <c r="B1642" s="40"/>
      <c r="C1642" s="40"/>
      <c r="D1642" s="31"/>
      <c r="E1642" s="31"/>
      <c r="F1642" s="31"/>
      <c r="G1642" s="19" t="e">
        <f t="shared" si="30"/>
        <v>#DIV/0!</v>
      </c>
      <c r="H1642" s="20" t="str">
        <f ca="1">IFERROR(__xludf.DUMMYFUNCTION("IF(COUNTIFS($C$2:C1642, C1642, $A$2:A1642, ""&lt;="" &amp; A1642) &lt; 30, AVERAGEIF($C$2:C1642, C1642, $G$2:G1642), AVERAGE(FILTER($G$2:G1642, $C$2:C1642 = C1642, $A$2:A1642 &gt;= A1642 - 30)))
"),"#DIV/0!")</f>
        <v>#DIV/0!</v>
      </c>
      <c r="I1642" s="20" t="e">
        <f t="shared" ca="1" si="31"/>
        <v>#DIV/0!</v>
      </c>
      <c r="J1642" s="20" t="str">
        <f ca="1">IFERROR(__xludf.DUMMYFUNCTION("IF(OR($I1642=2, $I1642=3), 0, IFERROR(COUNTIFS($C$2:C1642, $C1642, $A$2:A1642, ""&gt;""&amp;IFERROR(MAX(FILTER($A$2:A1642, $C$2:C1642=$C1642, $I$2:I1642&lt;&gt;1)), 0), $I$2:I1642, 1),1))
"),"#DIV/0!")</f>
        <v>#DIV/0!</v>
      </c>
      <c r="K1642" s="7" t="e">
        <f t="shared" ca="1" si="32"/>
        <v>#DIV/0!</v>
      </c>
      <c r="L1642" s="20" t="e">
        <f t="shared" ca="1" si="33"/>
        <v>#DIV/0!</v>
      </c>
      <c r="M1642" s="21" t="e">
        <f t="shared" ca="1" si="34"/>
        <v>#DIV/0!</v>
      </c>
      <c r="N1642" s="20" t="str">
        <f ca="1">IFERROR(__xludf.DUMMYFUNCTION("IF(COUNTIFS($C$2:C1642, C1642, $A$2:A1642, ""&lt;="" &amp; A1642) &lt; 30, STDEV.P(FILTER($G$2:G1642, $C$2:C1642 = C1642)), STDEV.P(FILTER($G$2:G1642, $C$2:C1642 = C1642, $A$2:A1642 &gt;= A1642 - 30)))
"),"#DIV/0!")</f>
        <v>#DIV/0!</v>
      </c>
    </row>
    <row r="1643" spans="1:14" x14ac:dyDescent="0.2">
      <c r="A1643" s="41"/>
      <c r="B1643" s="40"/>
      <c r="C1643" s="40"/>
      <c r="D1643" s="31"/>
      <c r="E1643" s="31"/>
      <c r="F1643" s="31"/>
      <c r="G1643" s="19" t="e">
        <f t="shared" si="30"/>
        <v>#DIV/0!</v>
      </c>
      <c r="H1643" s="20" t="str">
        <f ca="1">IFERROR(__xludf.DUMMYFUNCTION("IF(COUNTIFS($C$2:C1643, C1643, $A$2:A1643, ""&lt;="" &amp; A1643) &lt; 30, AVERAGEIF($C$2:C1643, C1643, $G$2:G1643), AVERAGE(FILTER($G$2:G1643, $C$2:C1643 = C1643, $A$2:A1643 &gt;= A1643 - 30)))
"),"#DIV/0!")</f>
        <v>#DIV/0!</v>
      </c>
      <c r="I1643" s="20" t="e">
        <f t="shared" ca="1" si="31"/>
        <v>#DIV/0!</v>
      </c>
      <c r="J1643" s="20" t="str">
        <f ca="1">IFERROR(__xludf.DUMMYFUNCTION("IF(OR($I1643=2, $I1643=3), 0, IFERROR(COUNTIFS($C$2:C1643, $C1643, $A$2:A1643, ""&gt;""&amp;IFERROR(MAX(FILTER($A$2:A1643, $C$2:C1643=$C1643, $I$2:I1643&lt;&gt;1)), 0), $I$2:I1643, 1),1))
"),"#DIV/0!")</f>
        <v>#DIV/0!</v>
      </c>
      <c r="K1643" s="7" t="e">
        <f t="shared" ca="1" si="32"/>
        <v>#DIV/0!</v>
      </c>
      <c r="L1643" s="20" t="e">
        <f t="shared" ca="1" si="33"/>
        <v>#DIV/0!</v>
      </c>
      <c r="M1643" s="21" t="e">
        <f t="shared" ca="1" si="34"/>
        <v>#DIV/0!</v>
      </c>
      <c r="N1643" s="20" t="str">
        <f ca="1">IFERROR(__xludf.DUMMYFUNCTION("IF(COUNTIFS($C$2:C1643, C1643, $A$2:A1643, ""&lt;="" &amp; A1643) &lt; 30, STDEV.P(FILTER($G$2:G1643, $C$2:C1643 = C1643)), STDEV.P(FILTER($G$2:G1643, $C$2:C1643 = C1643, $A$2:A1643 &gt;= A1643 - 30)))
"),"#DIV/0!")</f>
        <v>#DIV/0!</v>
      </c>
    </row>
    <row r="1644" spans="1:14" x14ac:dyDescent="0.2">
      <c r="A1644" s="41"/>
      <c r="B1644" s="40"/>
      <c r="C1644" s="40"/>
      <c r="D1644" s="31"/>
      <c r="E1644" s="31"/>
      <c r="F1644" s="31"/>
      <c r="G1644" s="19" t="e">
        <f t="shared" si="30"/>
        <v>#DIV/0!</v>
      </c>
      <c r="H1644" s="20" t="str">
        <f ca="1">IFERROR(__xludf.DUMMYFUNCTION("IF(COUNTIFS($C$2:C1644, C1644, $A$2:A1644, ""&lt;="" &amp; A1644) &lt; 30, AVERAGEIF($C$2:C1644, C1644, $G$2:G1644), AVERAGE(FILTER($G$2:G1644, $C$2:C1644 = C1644, $A$2:A1644 &gt;= A1644 - 30)))
"),"#DIV/0!")</f>
        <v>#DIV/0!</v>
      </c>
      <c r="I1644" s="20" t="e">
        <f t="shared" ca="1" si="31"/>
        <v>#DIV/0!</v>
      </c>
      <c r="J1644" s="20" t="str">
        <f ca="1">IFERROR(__xludf.DUMMYFUNCTION("IF(OR($I1644=2, $I1644=3), 0, IFERROR(COUNTIFS($C$2:C1644, $C1644, $A$2:A1644, ""&gt;""&amp;IFERROR(MAX(FILTER($A$2:A1644, $C$2:C1644=$C1644, $I$2:I1644&lt;&gt;1)), 0), $I$2:I1644, 1),1))
"),"#DIV/0!")</f>
        <v>#DIV/0!</v>
      </c>
      <c r="K1644" s="7" t="e">
        <f t="shared" ca="1" si="32"/>
        <v>#DIV/0!</v>
      </c>
      <c r="L1644" s="20" t="e">
        <f t="shared" ca="1" si="33"/>
        <v>#DIV/0!</v>
      </c>
      <c r="M1644" s="21" t="e">
        <f t="shared" ca="1" si="34"/>
        <v>#DIV/0!</v>
      </c>
      <c r="N1644" s="20" t="str">
        <f ca="1">IFERROR(__xludf.DUMMYFUNCTION("IF(COUNTIFS($C$2:C1644, C1644, $A$2:A1644, ""&lt;="" &amp; A1644) &lt; 30, STDEV.P(FILTER($G$2:G1644, $C$2:C1644 = C1644)), STDEV.P(FILTER($G$2:G1644, $C$2:C1644 = C1644, $A$2:A1644 &gt;= A1644 - 30)))
"),"#DIV/0!")</f>
        <v>#DIV/0!</v>
      </c>
    </row>
    <row r="1645" spans="1:14" x14ac:dyDescent="0.2">
      <c r="A1645" s="41"/>
      <c r="B1645" s="40"/>
      <c r="C1645" s="40"/>
      <c r="D1645" s="31"/>
      <c r="E1645" s="31"/>
      <c r="F1645" s="31"/>
      <c r="G1645" s="19" t="e">
        <f t="shared" si="30"/>
        <v>#DIV/0!</v>
      </c>
      <c r="H1645" s="20" t="str">
        <f ca="1">IFERROR(__xludf.DUMMYFUNCTION("IF(COUNTIFS($C$2:C1645, C1645, $A$2:A1645, ""&lt;="" &amp; A1645) &lt; 30, AVERAGEIF($C$2:C1645, C1645, $G$2:G1645), AVERAGE(FILTER($G$2:G1645, $C$2:C1645 = C1645, $A$2:A1645 &gt;= A1645 - 30)))
"),"#DIV/0!")</f>
        <v>#DIV/0!</v>
      </c>
      <c r="I1645" s="20" t="e">
        <f t="shared" ca="1" si="31"/>
        <v>#DIV/0!</v>
      </c>
      <c r="J1645" s="20" t="str">
        <f ca="1">IFERROR(__xludf.DUMMYFUNCTION("IF(OR($I1645=2, $I1645=3), 0, IFERROR(COUNTIFS($C$2:C1645, $C1645, $A$2:A1645, ""&gt;""&amp;IFERROR(MAX(FILTER($A$2:A1645, $C$2:C1645=$C1645, $I$2:I1645&lt;&gt;1)), 0), $I$2:I1645, 1),1))
"),"#DIV/0!")</f>
        <v>#DIV/0!</v>
      </c>
      <c r="K1645" s="7" t="e">
        <f t="shared" ca="1" si="32"/>
        <v>#DIV/0!</v>
      </c>
      <c r="L1645" s="20" t="e">
        <f t="shared" ca="1" si="33"/>
        <v>#DIV/0!</v>
      </c>
      <c r="M1645" s="21" t="e">
        <f t="shared" ca="1" si="34"/>
        <v>#DIV/0!</v>
      </c>
      <c r="N1645" s="20" t="str">
        <f ca="1">IFERROR(__xludf.DUMMYFUNCTION("IF(COUNTIFS($C$2:C1645, C1645, $A$2:A1645, ""&lt;="" &amp; A1645) &lt; 30, STDEV.P(FILTER($G$2:G1645, $C$2:C1645 = C1645)), STDEV.P(FILTER($G$2:G1645, $C$2:C1645 = C1645, $A$2:A1645 &gt;= A1645 - 30)))
"),"#DIV/0!")</f>
        <v>#DIV/0!</v>
      </c>
    </row>
    <row r="1646" spans="1:14" x14ac:dyDescent="0.2">
      <c r="A1646" s="41"/>
      <c r="B1646" s="40"/>
      <c r="C1646" s="40"/>
      <c r="D1646" s="31"/>
      <c r="E1646" s="31"/>
      <c r="F1646" s="31"/>
      <c r="G1646" s="19" t="e">
        <f t="shared" si="30"/>
        <v>#DIV/0!</v>
      </c>
      <c r="H1646" s="20" t="str">
        <f ca="1">IFERROR(__xludf.DUMMYFUNCTION("IF(COUNTIFS($C$2:C1646, C1646, $A$2:A1646, ""&lt;="" &amp; A1646) &lt; 30, AVERAGEIF($C$2:C1646, C1646, $G$2:G1646), AVERAGE(FILTER($G$2:G1646, $C$2:C1646 = C1646, $A$2:A1646 &gt;= A1646 - 30)))
"),"#DIV/0!")</f>
        <v>#DIV/0!</v>
      </c>
      <c r="I1646" s="20" t="e">
        <f t="shared" ca="1" si="31"/>
        <v>#DIV/0!</v>
      </c>
      <c r="J1646" s="20" t="str">
        <f ca="1">IFERROR(__xludf.DUMMYFUNCTION("IF(OR($I1646=2, $I1646=3), 0, IFERROR(COUNTIFS($C$2:C1646, $C1646, $A$2:A1646, ""&gt;""&amp;IFERROR(MAX(FILTER($A$2:A1646, $C$2:C1646=$C1646, $I$2:I1646&lt;&gt;1)), 0), $I$2:I1646, 1),1))
"),"#DIV/0!")</f>
        <v>#DIV/0!</v>
      </c>
      <c r="K1646" s="7" t="e">
        <f t="shared" ca="1" si="32"/>
        <v>#DIV/0!</v>
      </c>
      <c r="L1646" s="20" t="e">
        <f t="shared" ca="1" si="33"/>
        <v>#DIV/0!</v>
      </c>
      <c r="M1646" s="21" t="e">
        <f t="shared" ca="1" si="34"/>
        <v>#DIV/0!</v>
      </c>
      <c r="N1646" s="20" t="str">
        <f ca="1">IFERROR(__xludf.DUMMYFUNCTION("IF(COUNTIFS($C$2:C1646, C1646, $A$2:A1646, ""&lt;="" &amp; A1646) &lt; 30, STDEV.P(FILTER($G$2:G1646, $C$2:C1646 = C1646)), STDEV.P(FILTER($G$2:G1646, $C$2:C1646 = C1646, $A$2:A1646 &gt;= A1646 - 30)))
"),"#DIV/0!")</f>
        <v>#DIV/0!</v>
      </c>
    </row>
    <row r="1647" spans="1:14" x14ac:dyDescent="0.2">
      <c r="A1647" s="41"/>
      <c r="B1647" s="40"/>
      <c r="C1647" s="40"/>
      <c r="D1647" s="31"/>
      <c r="E1647" s="31"/>
      <c r="F1647" s="31"/>
      <c r="G1647" s="19" t="e">
        <f t="shared" si="30"/>
        <v>#DIV/0!</v>
      </c>
      <c r="H1647" s="20" t="str">
        <f ca="1">IFERROR(__xludf.DUMMYFUNCTION("IF(COUNTIFS($C$2:C1647, C1647, $A$2:A1647, ""&lt;="" &amp; A1647) &lt; 30, AVERAGEIF($C$2:C1647, C1647, $G$2:G1647), AVERAGE(FILTER($G$2:G1647, $C$2:C1647 = C1647, $A$2:A1647 &gt;= A1647 - 30)))
"),"#DIV/0!")</f>
        <v>#DIV/0!</v>
      </c>
      <c r="I1647" s="20" t="e">
        <f t="shared" ca="1" si="31"/>
        <v>#DIV/0!</v>
      </c>
      <c r="J1647" s="20" t="str">
        <f ca="1">IFERROR(__xludf.DUMMYFUNCTION("IF(OR($I1647=2, $I1647=3), 0, IFERROR(COUNTIFS($C$2:C1647, $C1647, $A$2:A1647, ""&gt;""&amp;IFERROR(MAX(FILTER($A$2:A1647, $C$2:C1647=$C1647, $I$2:I1647&lt;&gt;1)), 0), $I$2:I1647, 1),1))
"),"#DIV/0!")</f>
        <v>#DIV/0!</v>
      </c>
      <c r="K1647" s="7" t="e">
        <f t="shared" ca="1" si="32"/>
        <v>#DIV/0!</v>
      </c>
      <c r="L1647" s="20" t="e">
        <f t="shared" ca="1" si="33"/>
        <v>#DIV/0!</v>
      </c>
      <c r="M1647" s="21" t="e">
        <f t="shared" ca="1" si="34"/>
        <v>#DIV/0!</v>
      </c>
      <c r="N1647" s="20" t="str">
        <f ca="1">IFERROR(__xludf.DUMMYFUNCTION("IF(COUNTIFS($C$2:C1647, C1647, $A$2:A1647, ""&lt;="" &amp; A1647) &lt; 30, STDEV.P(FILTER($G$2:G1647, $C$2:C1647 = C1647)), STDEV.P(FILTER($G$2:G1647, $C$2:C1647 = C1647, $A$2:A1647 &gt;= A1647 - 30)))
"),"#DIV/0!")</f>
        <v>#DIV/0!</v>
      </c>
    </row>
    <row r="1648" spans="1:14" x14ac:dyDescent="0.2">
      <c r="A1648" s="41"/>
      <c r="B1648" s="40"/>
      <c r="C1648" s="40"/>
      <c r="D1648" s="31"/>
      <c r="E1648" s="31"/>
      <c r="F1648" s="31"/>
      <c r="G1648" s="19" t="e">
        <f t="shared" si="30"/>
        <v>#DIV/0!</v>
      </c>
      <c r="H1648" s="20" t="str">
        <f ca="1">IFERROR(__xludf.DUMMYFUNCTION("IF(COUNTIFS($C$2:C1648, C1648, $A$2:A1648, ""&lt;="" &amp; A1648) &lt; 30, AVERAGEIF($C$2:C1648, C1648, $G$2:G1648), AVERAGE(FILTER($G$2:G1648, $C$2:C1648 = C1648, $A$2:A1648 &gt;= A1648 - 30)))
"),"#DIV/0!")</f>
        <v>#DIV/0!</v>
      </c>
      <c r="I1648" s="20" t="e">
        <f t="shared" ca="1" si="31"/>
        <v>#DIV/0!</v>
      </c>
      <c r="J1648" s="20" t="str">
        <f ca="1">IFERROR(__xludf.DUMMYFUNCTION("IF(OR($I1648=2, $I1648=3), 0, IFERROR(COUNTIFS($C$2:C1648, $C1648, $A$2:A1648, ""&gt;""&amp;IFERROR(MAX(FILTER($A$2:A1648, $C$2:C1648=$C1648, $I$2:I1648&lt;&gt;1)), 0), $I$2:I1648, 1),1))
"),"#DIV/0!")</f>
        <v>#DIV/0!</v>
      </c>
      <c r="K1648" s="7" t="e">
        <f t="shared" ca="1" si="32"/>
        <v>#DIV/0!</v>
      </c>
      <c r="L1648" s="20" t="e">
        <f t="shared" ca="1" si="33"/>
        <v>#DIV/0!</v>
      </c>
      <c r="M1648" s="21" t="e">
        <f t="shared" ca="1" si="34"/>
        <v>#DIV/0!</v>
      </c>
      <c r="N1648" s="20" t="str">
        <f ca="1">IFERROR(__xludf.DUMMYFUNCTION("IF(COUNTIFS($C$2:C1648, C1648, $A$2:A1648, ""&lt;="" &amp; A1648) &lt; 30, STDEV.P(FILTER($G$2:G1648, $C$2:C1648 = C1648)), STDEV.P(FILTER($G$2:G1648, $C$2:C1648 = C1648, $A$2:A1648 &gt;= A1648 - 30)))
"),"#DIV/0!")</f>
        <v>#DIV/0!</v>
      </c>
    </row>
    <row r="1649" spans="1:14" x14ac:dyDescent="0.2">
      <c r="A1649" s="41"/>
      <c r="B1649" s="40"/>
      <c r="C1649" s="40"/>
      <c r="D1649" s="31"/>
      <c r="E1649" s="31"/>
      <c r="F1649" s="31"/>
      <c r="G1649" s="19" t="e">
        <f t="shared" si="30"/>
        <v>#DIV/0!</v>
      </c>
      <c r="H1649" s="20" t="str">
        <f ca="1">IFERROR(__xludf.DUMMYFUNCTION("IF(COUNTIFS($C$2:C1649, C1649, $A$2:A1649, ""&lt;="" &amp; A1649) &lt; 30, AVERAGEIF($C$2:C1649, C1649, $G$2:G1649), AVERAGE(FILTER($G$2:G1649, $C$2:C1649 = C1649, $A$2:A1649 &gt;= A1649 - 30)))
"),"#DIV/0!")</f>
        <v>#DIV/0!</v>
      </c>
      <c r="I1649" s="20" t="e">
        <f t="shared" ca="1" si="31"/>
        <v>#DIV/0!</v>
      </c>
      <c r="J1649" s="20" t="str">
        <f ca="1">IFERROR(__xludf.DUMMYFUNCTION("IF(OR($I1649=2, $I1649=3), 0, IFERROR(COUNTIFS($C$2:C1649, $C1649, $A$2:A1649, ""&gt;""&amp;IFERROR(MAX(FILTER($A$2:A1649, $C$2:C1649=$C1649, $I$2:I1649&lt;&gt;1)), 0), $I$2:I1649, 1),1))
"),"#DIV/0!")</f>
        <v>#DIV/0!</v>
      </c>
      <c r="K1649" s="7" t="e">
        <f t="shared" ca="1" si="32"/>
        <v>#DIV/0!</v>
      </c>
      <c r="L1649" s="20" t="e">
        <f t="shared" ca="1" si="33"/>
        <v>#DIV/0!</v>
      </c>
      <c r="M1649" s="21" t="e">
        <f t="shared" ca="1" si="34"/>
        <v>#DIV/0!</v>
      </c>
      <c r="N1649" s="20" t="str">
        <f ca="1">IFERROR(__xludf.DUMMYFUNCTION("IF(COUNTIFS($C$2:C1649, C1649, $A$2:A1649, ""&lt;="" &amp; A1649) &lt; 30, STDEV.P(FILTER($G$2:G1649, $C$2:C1649 = C1649)), STDEV.P(FILTER($G$2:G1649, $C$2:C1649 = C1649, $A$2:A1649 &gt;= A1649 - 30)))
"),"#DIV/0!")</f>
        <v>#DIV/0!</v>
      </c>
    </row>
    <row r="1650" spans="1:14" x14ac:dyDescent="0.2">
      <c r="A1650" s="41"/>
      <c r="B1650" s="40"/>
      <c r="C1650" s="40"/>
      <c r="D1650" s="31"/>
      <c r="E1650" s="31"/>
      <c r="F1650" s="31"/>
      <c r="G1650" s="19" t="e">
        <f t="shared" si="30"/>
        <v>#DIV/0!</v>
      </c>
      <c r="H1650" s="20" t="str">
        <f ca="1">IFERROR(__xludf.DUMMYFUNCTION("IF(COUNTIFS($C$2:C1650, C1650, $A$2:A1650, ""&lt;="" &amp; A1650) &lt; 30, AVERAGEIF($C$2:C1650, C1650, $G$2:G1650), AVERAGE(FILTER($G$2:G1650, $C$2:C1650 = C1650, $A$2:A1650 &gt;= A1650 - 30)))
"),"#DIV/0!")</f>
        <v>#DIV/0!</v>
      </c>
      <c r="I1650" s="20" t="e">
        <f t="shared" ca="1" si="31"/>
        <v>#DIV/0!</v>
      </c>
      <c r="J1650" s="20" t="str">
        <f ca="1">IFERROR(__xludf.DUMMYFUNCTION("IF(OR($I1650=2, $I1650=3), 0, IFERROR(COUNTIFS($C$2:C1650, $C1650, $A$2:A1650, ""&gt;""&amp;IFERROR(MAX(FILTER($A$2:A1650, $C$2:C1650=$C1650, $I$2:I1650&lt;&gt;1)), 0), $I$2:I1650, 1),1))
"),"#DIV/0!")</f>
        <v>#DIV/0!</v>
      </c>
      <c r="K1650" s="7" t="e">
        <f t="shared" ca="1" si="32"/>
        <v>#DIV/0!</v>
      </c>
      <c r="L1650" s="20" t="e">
        <f t="shared" ca="1" si="33"/>
        <v>#DIV/0!</v>
      </c>
      <c r="M1650" s="21" t="e">
        <f t="shared" ca="1" si="34"/>
        <v>#DIV/0!</v>
      </c>
      <c r="N1650" s="20" t="str">
        <f ca="1">IFERROR(__xludf.DUMMYFUNCTION("IF(COUNTIFS($C$2:C1650, C1650, $A$2:A1650, ""&lt;="" &amp; A1650) &lt; 30, STDEV.P(FILTER($G$2:G1650, $C$2:C1650 = C1650)), STDEV.P(FILTER($G$2:G1650, $C$2:C1650 = C1650, $A$2:A1650 &gt;= A1650 - 30)))
"),"#DIV/0!")</f>
        <v>#DIV/0!</v>
      </c>
    </row>
    <row r="1651" spans="1:14" x14ac:dyDescent="0.2">
      <c r="A1651" s="41"/>
      <c r="B1651" s="40"/>
      <c r="C1651" s="40"/>
      <c r="D1651" s="31"/>
      <c r="E1651" s="31"/>
      <c r="F1651" s="31"/>
      <c r="G1651" s="19" t="e">
        <f t="shared" si="30"/>
        <v>#DIV/0!</v>
      </c>
      <c r="H1651" s="20" t="str">
        <f ca="1">IFERROR(__xludf.DUMMYFUNCTION("IF(COUNTIFS($C$2:C1651, C1651, $A$2:A1651, ""&lt;="" &amp; A1651) &lt; 30, AVERAGEIF($C$2:C1651, C1651, $G$2:G1651), AVERAGE(FILTER($G$2:G1651, $C$2:C1651 = C1651, $A$2:A1651 &gt;= A1651 - 30)))
"),"#DIV/0!")</f>
        <v>#DIV/0!</v>
      </c>
      <c r="I1651" s="20" t="e">
        <f t="shared" ca="1" si="31"/>
        <v>#DIV/0!</v>
      </c>
      <c r="J1651" s="20" t="str">
        <f ca="1">IFERROR(__xludf.DUMMYFUNCTION("IF(OR($I1651=2, $I1651=3), 0, IFERROR(COUNTIFS($C$2:C1651, $C1651, $A$2:A1651, ""&gt;""&amp;IFERROR(MAX(FILTER($A$2:A1651, $C$2:C1651=$C1651, $I$2:I1651&lt;&gt;1)), 0), $I$2:I1651, 1),1))
"),"#DIV/0!")</f>
        <v>#DIV/0!</v>
      </c>
      <c r="K1651" s="7" t="e">
        <f t="shared" ca="1" si="32"/>
        <v>#DIV/0!</v>
      </c>
      <c r="L1651" s="20" t="e">
        <f t="shared" ca="1" si="33"/>
        <v>#DIV/0!</v>
      </c>
      <c r="M1651" s="21" t="e">
        <f t="shared" ca="1" si="34"/>
        <v>#DIV/0!</v>
      </c>
      <c r="N1651" s="20" t="str">
        <f ca="1">IFERROR(__xludf.DUMMYFUNCTION("IF(COUNTIFS($C$2:C1651, C1651, $A$2:A1651, ""&lt;="" &amp; A1651) &lt; 30, STDEV.P(FILTER($G$2:G1651, $C$2:C1651 = C1651)), STDEV.P(FILTER($G$2:G1651, $C$2:C1651 = C1651, $A$2:A1651 &gt;= A1651 - 30)))
"),"#DIV/0!")</f>
        <v>#DIV/0!</v>
      </c>
    </row>
    <row r="1652" spans="1:14" x14ac:dyDescent="0.2">
      <c r="A1652" s="41"/>
      <c r="B1652" s="40"/>
      <c r="C1652" s="40"/>
      <c r="D1652" s="31"/>
      <c r="E1652" s="31"/>
      <c r="F1652" s="31"/>
      <c r="G1652" s="19" t="e">
        <f t="shared" si="30"/>
        <v>#DIV/0!</v>
      </c>
      <c r="H1652" s="20" t="str">
        <f ca="1">IFERROR(__xludf.DUMMYFUNCTION("IF(COUNTIFS($C$2:C1652, C1652, $A$2:A1652, ""&lt;="" &amp; A1652) &lt; 30, AVERAGEIF($C$2:C1652, C1652, $G$2:G1652), AVERAGE(FILTER($G$2:G1652, $C$2:C1652 = C1652, $A$2:A1652 &gt;= A1652 - 30)))
"),"#DIV/0!")</f>
        <v>#DIV/0!</v>
      </c>
      <c r="I1652" s="20" t="e">
        <f t="shared" ca="1" si="31"/>
        <v>#DIV/0!</v>
      </c>
      <c r="J1652" s="20" t="str">
        <f ca="1">IFERROR(__xludf.DUMMYFUNCTION("IF(OR($I1652=2, $I1652=3), 0, IFERROR(COUNTIFS($C$2:C1652, $C1652, $A$2:A1652, ""&gt;""&amp;IFERROR(MAX(FILTER($A$2:A1652, $C$2:C1652=$C1652, $I$2:I1652&lt;&gt;1)), 0), $I$2:I1652, 1),1))
"),"#DIV/0!")</f>
        <v>#DIV/0!</v>
      </c>
      <c r="K1652" s="7" t="e">
        <f t="shared" ca="1" si="32"/>
        <v>#DIV/0!</v>
      </c>
      <c r="L1652" s="20" t="e">
        <f t="shared" ca="1" si="33"/>
        <v>#DIV/0!</v>
      </c>
      <c r="M1652" s="21" t="e">
        <f t="shared" ca="1" si="34"/>
        <v>#DIV/0!</v>
      </c>
      <c r="N1652" s="20" t="str">
        <f ca="1">IFERROR(__xludf.DUMMYFUNCTION("IF(COUNTIFS($C$2:C1652, C1652, $A$2:A1652, ""&lt;="" &amp; A1652) &lt; 30, STDEV.P(FILTER($G$2:G1652, $C$2:C1652 = C1652)), STDEV.P(FILTER($G$2:G1652, $C$2:C1652 = C1652, $A$2:A1652 &gt;= A1652 - 30)))
"),"#DIV/0!")</f>
        <v>#DIV/0!</v>
      </c>
    </row>
    <row r="1653" spans="1:14" x14ac:dyDescent="0.2">
      <c r="A1653" s="41"/>
      <c r="B1653" s="40"/>
      <c r="C1653" s="40"/>
      <c r="D1653" s="31"/>
      <c r="E1653" s="31"/>
      <c r="F1653" s="31"/>
      <c r="G1653" s="19" t="e">
        <f t="shared" si="30"/>
        <v>#DIV/0!</v>
      </c>
      <c r="H1653" s="20" t="str">
        <f ca="1">IFERROR(__xludf.DUMMYFUNCTION("IF(COUNTIFS($C$2:C1653, C1653, $A$2:A1653, ""&lt;="" &amp; A1653) &lt; 30, AVERAGEIF($C$2:C1653, C1653, $G$2:G1653), AVERAGE(FILTER($G$2:G1653, $C$2:C1653 = C1653, $A$2:A1653 &gt;= A1653 - 30)))
"),"#DIV/0!")</f>
        <v>#DIV/0!</v>
      </c>
      <c r="I1653" s="20" t="e">
        <f t="shared" ca="1" si="31"/>
        <v>#DIV/0!</v>
      </c>
      <c r="J1653" s="20" t="str">
        <f ca="1">IFERROR(__xludf.DUMMYFUNCTION("IF(OR($I1653=2, $I1653=3), 0, IFERROR(COUNTIFS($C$2:C1653, $C1653, $A$2:A1653, ""&gt;""&amp;IFERROR(MAX(FILTER($A$2:A1653, $C$2:C1653=$C1653, $I$2:I1653&lt;&gt;1)), 0), $I$2:I1653, 1),1))
"),"#DIV/0!")</f>
        <v>#DIV/0!</v>
      </c>
      <c r="K1653" s="7" t="e">
        <f t="shared" ca="1" si="32"/>
        <v>#DIV/0!</v>
      </c>
      <c r="L1653" s="20" t="e">
        <f t="shared" ca="1" si="33"/>
        <v>#DIV/0!</v>
      </c>
      <c r="M1653" s="21" t="e">
        <f t="shared" ca="1" si="34"/>
        <v>#DIV/0!</v>
      </c>
      <c r="N1653" s="20" t="str">
        <f ca="1">IFERROR(__xludf.DUMMYFUNCTION("IF(COUNTIFS($C$2:C1653, C1653, $A$2:A1653, ""&lt;="" &amp; A1653) &lt; 30, STDEV.P(FILTER($G$2:G1653, $C$2:C1653 = C1653)), STDEV.P(FILTER($G$2:G1653, $C$2:C1653 = C1653, $A$2:A1653 &gt;= A1653 - 30)))
"),"#DIV/0!")</f>
        <v>#DIV/0!</v>
      </c>
    </row>
    <row r="1654" spans="1:14" x14ac:dyDescent="0.2">
      <c r="A1654" s="41"/>
      <c r="B1654" s="40"/>
      <c r="C1654" s="40"/>
      <c r="D1654" s="31"/>
      <c r="E1654" s="31"/>
      <c r="F1654" s="31"/>
      <c r="G1654" s="19" t="e">
        <f t="shared" si="30"/>
        <v>#DIV/0!</v>
      </c>
      <c r="H1654" s="20" t="str">
        <f ca="1">IFERROR(__xludf.DUMMYFUNCTION("IF(COUNTIFS($C$2:C1654, C1654, $A$2:A1654, ""&lt;="" &amp; A1654) &lt; 30, AVERAGEIF($C$2:C1654, C1654, $G$2:G1654), AVERAGE(FILTER($G$2:G1654, $C$2:C1654 = C1654, $A$2:A1654 &gt;= A1654 - 30)))
"),"#DIV/0!")</f>
        <v>#DIV/0!</v>
      </c>
      <c r="I1654" s="20" t="e">
        <f t="shared" ca="1" si="31"/>
        <v>#DIV/0!</v>
      </c>
      <c r="J1654" s="20" t="str">
        <f ca="1">IFERROR(__xludf.DUMMYFUNCTION("IF(OR($I1654=2, $I1654=3), 0, IFERROR(COUNTIFS($C$2:C1654, $C1654, $A$2:A1654, ""&gt;""&amp;IFERROR(MAX(FILTER($A$2:A1654, $C$2:C1654=$C1654, $I$2:I1654&lt;&gt;1)), 0), $I$2:I1654, 1),1))
"),"#DIV/0!")</f>
        <v>#DIV/0!</v>
      </c>
      <c r="K1654" s="7" t="e">
        <f t="shared" ca="1" si="32"/>
        <v>#DIV/0!</v>
      </c>
      <c r="L1654" s="20" t="e">
        <f t="shared" ca="1" si="33"/>
        <v>#DIV/0!</v>
      </c>
      <c r="M1654" s="21" t="e">
        <f t="shared" ca="1" si="34"/>
        <v>#DIV/0!</v>
      </c>
      <c r="N1654" s="20" t="str">
        <f ca="1">IFERROR(__xludf.DUMMYFUNCTION("IF(COUNTIFS($C$2:C1654, C1654, $A$2:A1654, ""&lt;="" &amp; A1654) &lt; 30, STDEV.P(FILTER($G$2:G1654, $C$2:C1654 = C1654)), STDEV.P(FILTER($G$2:G1654, $C$2:C1654 = C1654, $A$2:A1654 &gt;= A1654 - 30)))
"),"#DIV/0!")</f>
        <v>#DIV/0!</v>
      </c>
    </row>
    <row r="1655" spans="1:14" x14ac:dyDescent="0.2">
      <c r="A1655" s="41"/>
      <c r="B1655" s="40"/>
      <c r="C1655" s="40"/>
      <c r="D1655" s="31"/>
      <c r="E1655" s="31"/>
      <c r="F1655" s="31"/>
      <c r="G1655" s="19" t="e">
        <f t="shared" si="30"/>
        <v>#DIV/0!</v>
      </c>
      <c r="H1655" s="20" t="str">
        <f ca="1">IFERROR(__xludf.DUMMYFUNCTION("IF(COUNTIFS($C$2:C1655, C1655, $A$2:A1655, ""&lt;="" &amp; A1655) &lt; 30, AVERAGEIF($C$2:C1655, C1655, $G$2:G1655), AVERAGE(FILTER($G$2:G1655, $C$2:C1655 = C1655, $A$2:A1655 &gt;= A1655 - 30)))
"),"#DIV/0!")</f>
        <v>#DIV/0!</v>
      </c>
      <c r="I1655" s="20" t="e">
        <f t="shared" ca="1" si="31"/>
        <v>#DIV/0!</v>
      </c>
      <c r="J1655" s="20" t="str">
        <f ca="1">IFERROR(__xludf.DUMMYFUNCTION("IF(OR($I1655=2, $I1655=3), 0, IFERROR(COUNTIFS($C$2:C1655, $C1655, $A$2:A1655, ""&gt;""&amp;IFERROR(MAX(FILTER($A$2:A1655, $C$2:C1655=$C1655, $I$2:I1655&lt;&gt;1)), 0), $I$2:I1655, 1),1))
"),"#DIV/0!")</f>
        <v>#DIV/0!</v>
      </c>
      <c r="K1655" s="7" t="e">
        <f t="shared" ca="1" si="32"/>
        <v>#DIV/0!</v>
      </c>
      <c r="L1655" s="20" t="e">
        <f t="shared" ca="1" si="33"/>
        <v>#DIV/0!</v>
      </c>
      <c r="M1655" s="21" t="e">
        <f t="shared" ca="1" si="34"/>
        <v>#DIV/0!</v>
      </c>
      <c r="N1655" s="20" t="str">
        <f ca="1">IFERROR(__xludf.DUMMYFUNCTION("IF(COUNTIFS($C$2:C1655, C1655, $A$2:A1655, ""&lt;="" &amp; A1655) &lt; 30, STDEV.P(FILTER($G$2:G1655, $C$2:C1655 = C1655)), STDEV.P(FILTER($G$2:G1655, $C$2:C1655 = C1655, $A$2:A1655 &gt;= A1655 - 30)))
"),"#DIV/0!")</f>
        <v>#DIV/0!</v>
      </c>
    </row>
    <row r="1656" spans="1:14" x14ac:dyDescent="0.2">
      <c r="A1656" s="41"/>
      <c r="B1656" s="40"/>
      <c r="C1656" s="40"/>
      <c r="D1656" s="31"/>
      <c r="E1656" s="31"/>
      <c r="F1656" s="31"/>
      <c r="G1656" s="19" t="e">
        <f t="shared" si="30"/>
        <v>#DIV/0!</v>
      </c>
      <c r="H1656" s="20" t="str">
        <f ca="1">IFERROR(__xludf.DUMMYFUNCTION("IF(COUNTIFS($C$2:C1656, C1656, $A$2:A1656, ""&lt;="" &amp; A1656) &lt; 30, AVERAGEIF($C$2:C1656, C1656, $G$2:G1656), AVERAGE(FILTER($G$2:G1656, $C$2:C1656 = C1656, $A$2:A1656 &gt;= A1656 - 30)))
"),"#DIV/0!")</f>
        <v>#DIV/0!</v>
      </c>
      <c r="I1656" s="20" t="e">
        <f t="shared" ca="1" si="31"/>
        <v>#DIV/0!</v>
      </c>
      <c r="J1656" s="20" t="str">
        <f ca="1">IFERROR(__xludf.DUMMYFUNCTION("IF(OR($I1656=2, $I1656=3), 0, IFERROR(COUNTIFS($C$2:C1656, $C1656, $A$2:A1656, ""&gt;""&amp;IFERROR(MAX(FILTER($A$2:A1656, $C$2:C1656=$C1656, $I$2:I1656&lt;&gt;1)), 0), $I$2:I1656, 1),1))
"),"#DIV/0!")</f>
        <v>#DIV/0!</v>
      </c>
      <c r="K1656" s="7" t="e">
        <f t="shared" ca="1" si="32"/>
        <v>#DIV/0!</v>
      </c>
      <c r="L1656" s="20" t="e">
        <f t="shared" ca="1" si="33"/>
        <v>#DIV/0!</v>
      </c>
      <c r="M1656" s="21" t="e">
        <f t="shared" ca="1" si="34"/>
        <v>#DIV/0!</v>
      </c>
      <c r="N1656" s="20" t="str">
        <f ca="1">IFERROR(__xludf.DUMMYFUNCTION("IF(COUNTIFS($C$2:C1656, C1656, $A$2:A1656, ""&lt;="" &amp; A1656) &lt; 30, STDEV.P(FILTER($G$2:G1656, $C$2:C1656 = C1656)), STDEV.P(FILTER($G$2:G1656, $C$2:C1656 = C1656, $A$2:A1656 &gt;= A1656 - 30)))
"),"#DIV/0!")</f>
        <v>#DIV/0!</v>
      </c>
    </row>
    <row r="1657" spans="1:14" x14ac:dyDescent="0.2">
      <c r="A1657" s="41"/>
      <c r="B1657" s="40"/>
      <c r="C1657" s="40"/>
      <c r="D1657" s="31"/>
      <c r="E1657" s="31"/>
      <c r="F1657" s="31"/>
      <c r="G1657" s="19" t="e">
        <f t="shared" si="30"/>
        <v>#DIV/0!</v>
      </c>
      <c r="H1657" s="20" t="str">
        <f ca="1">IFERROR(__xludf.DUMMYFUNCTION("IF(COUNTIFS($C$2:C1657, C1657, $A$2:A1657, ""&lt;="" &amp; A1657) &lt; 30, AVERAGEIF($C$2:C1657, C1657, $G$2:G1657), AVERAGE(FILTER($G$2:G1657, $C$2:C1657 = C1657, $A$2:A1657 &gt;= A1657 - 30)))
"),"#DIV/0!")</f>
        <v>#DIV/0!</v>
      </c>
      <c r="I1657" s="20" t="e">
        <f t="shared" ca="1" si="31"/>
        <v>#DIV/0!</v>
      </c>
      <c r="J1657" s="20" t="str">
        <f ca="1">IFERROR(__xludf.DUMMYFUNCTION("IF(OR($I1657=2, $I1657=3), 0, IFERROR(COUNTIFS($C$2:C1657, $C1657, $A$2:A1657, ""&gt;""&amp;IFERROR(MAX(FILTER($A$2:A1657, $C$2:C1657=$C1657, $I$2:I1657&lt;&gt;1)), 0), $I$2:I1657, 1),1))
"),"#DIV/0!")</f>
        <v>#DIV/0!</v>
      </c>
      <c r="K1657" s="7" t="e">
        <f t="shared" ca="1" si="32"/>
        <v>#DIV/0!</v>
      </c>
      <c r="L1657" s="20" t="e">
        <f t="shared" ca="1" si="33"/>
        <v>#DIV/0!</v>
      </c>
      <c r="M1657" s="21" t="e">
        <f t="shared" ca="1" si="34"/>
        <v>#DIV/0!</v>
      </c>
      <c r="N1657" s="20" t="str">
        <f ca="1">IFERROR(__xludf.DUMMYFUNCTION("IF(COUNTIFS($C$2:C1657, C1657, $A$2:A1657, ""&lt;="" &amp; A1657) &lt; 30, STDEV.P(FILTER($G$2:G1657, $C$2:C1657 = C1657)), STDEV.P(FILTER($G$2:G1657, $C$2:C1657 = C1657, $A$2:A1657 &gt;= A1657 - 30)))
"),"#DIV/0!")</f>
        <v>#DIV/0!</v>
      </c>
    </row>
    <row r="1658" spans="1:14" x14ac:dyDescent="0.2">
      <c r="A1658" s="41"/>
      <c r="B1658" s="40"/>
      <c r="C1658" s="40"/>
      <c r="D1658" s="31"/>
      <c r="E1658" s="31"/>
      <c r="F1658" s="31"/>
      <c r="G1658" s="19" t="e">
        <f t="shared" si="30"/>
        <v>#DIV/0!</v>
      </c>
      <c r="H1658" s="20" t="str">
        <f ca="1">IFERROR(__xludf.DUMMYFUNCTION("IF(COUNTIFS($C$2:C1658, C1658, $A$2:A1658, ""&lt;="" &amp; A1658) &lt; 30, AVERAGEIF($C$2:C1658, C1658, $G$2:G1658), AVERAGE(FILTER($G$2:G1658, $C$2:C1658 = C1658, $A$2:A1658 &gt;= A1658 - 30)))
"),"#DIV/0!")</f>
        <v>#DIV/0!</v>
      </c>
      <c r="I1658" s="20" t="e">
        <f t="shared" ca="1" si="31"/>
        <v>#DIV/0!</v>
      </c>
      <c r="J1658" s="20" t="str">
        <f ca="1">IFERROR(__xludf.DUMMYFUNCTION("IF(OR($I1658=2, $I1658=3), 0, IFERROR(COUNTIFS($C$2:C1658, $C1658, $A$2:A1658, ""&gt;""&amp;IFERROR(MAX(FILTER($A$2:A1658, $C$2:C1658=$C1658, $I$2:I1658&lt;&gt;1)), 0), $I$2:I1658, 1),1))
"),"#DIV/0!")</f>
        <v>#DIV/0!</v>
      </c>
      <c r="K1658" s="7" t="e">
        <f t="shared" ca="1" si="32"/>
        <v>#DIV/0!</v>
      </c>
      <c r="L1658" s="20" t="e">
        <f t="shared" ca="1" si="33"/>
        <v>#DIV/0!</v>
      </c>
      <c r="M1658" s="21" t="e">
        <f t="shared" ca="1" si="34"/>
        <v>#DIV/0!</v>
      </c>
      <c r="N1658" s="20" t="str">
        <f ca="1">IFERROR(__xludf.DUMMYFUNCTION("IF(COUNTIFS($C$2:C1658, C1658, $A$2:A1658, ""&lt;="" &amp; A1658) &lt; 30, STDEV.P(FILTER($G$2:G1658, $C$2:C1658 = C1658)), STDEV.P(FILTER($G$2:G1658, $C$2:C1658 = C1658, $A$2:A1658 &gt;= A1658 - 30)))
"),"#DIV/0!")</f>
        <v>#DIV/0!</v>
      </c>
    </row>
    <row r="1659" spans="1:14" x14ac:dyDescent="0.2">
      <c r="A1659" s="41"/>
      <c r="B1659" s="40"/>
      <c r="C1659" s="40"/>
      <c r="D1659" s="31"/>
      <c r="E1659" s="31"/>
      <c r="F1659" s="31"/>
      <c r="G1659" s="19" t="e">
        <f t="shared" si="30"/>
        <v>#DIV/0!</v>
      </c>
      <c r="H1659" s="20" t="str">
        <f ca="1">IFERROR(__xludf.DUMMYFUNCTION("IF(COUNTIFS($C$2:C1659, C1659, $A$2:A1659, ""&lt;="" &amp; A1659) &lt; 30, AVERAGEIF($C$2:C1659, C1659, $G$2:G1659), AVERAGE(FILTER($G$2:G1659, $C$2:C1659 = C1659, $A$2:A1659 &gt;= A1659 - 30)))
"),"#DIV/0!")</f>
        <v>#DIV/0!</v>
      </c>
      <c r="I1659" s="20" t="e">
        <f t="shared" ca="1" si="31"/>
        <v>#DIV/0!</v>
      </c>
      <c r="J1659" s="20" t="str">
        <f ca="1">IFERROR(__xludf.DUMMYFUNCTION("IF(OR($I1659=2, $I1659=3), 0, IFERROR(COUNTIFS($C$2:C1659, $C1659, $A$2:A1659, ""&gt;""&amp;IFERROR(MAX(FILTER($A$2:A1659, $C$2:C1659=$C1659, $I$2:I1659&lt;&gt;1)), 0), $I$2:I1659, 1),1))
"),"#DIV/0!")</f>
        <v>#DIV/0!</v>
      </c>
      <c r="K1659" s="7" t="e">
        <f t="shared" ca="1" si="32"/>
        <v>#DIV/0!</v>
      </c>
      <c r="L1659" s="20" t="e">
        <f t="shared" ca="1" si="33"/>
        <v>#DIV/0!</v>
      </c>
      <c r="M1659" s="21" t="e">
        <f t="shared" ca="1" si="34"/>
        <v>#DIV/0!</v>
      </c>
      <c r="N1659" s="20" t="str">
        <f ca="1">IFERROR(__xludf.DUMMYFUNCTION("IF(COUNTIFS($C$2:C1659, C1659, $A$2:A1659, ""&lt;="" &amp; A1659) &lt; 30, STDEV.P(FILTER($G$2:G1659, $C$2:C1659 = C1659)), STDEV.P(FILTER($G$2:G1659, $C$2:C1659 = C1659, $A$2:A1659 &gt;= A1659 - 30)))
"),"#DIV/0!")</f>
        <v>#DIV/0!</v>
      </c>
    </row>
    <row r="1660" spans="1:14" x14ac:dyDescent="0.2">
      <c r="A1660" s="41"/>
      <c r="B1660" s="40"/>
      <c r="C1660" s="40"/>
      <c r="D1660" s="31"/>
      <c r="E1660" s="31"/>
      <c r="F1660" s="31"/>
      <c r="G1660" s="19" t="e">
        <f t="shared" si="30"/>
        <v>#DIV/0!</v>
      </c>
      <c r="H1660" s="20" t="str">
        <f ca="1">IFERROR(__xludf.DUMMYFUNCTION("IF(COUNTIFS($C$2:C1660, C1660, $A$2:A1660, ""&lt;="" &amp; A1660) &lt; 30, AVERAGEIF($C$2:C1660, C1660, $G$2:G1660), AVERAGE(FILTER($G$2:G1660, $C$2:C1660 = C1660, $A$2:A1660 &gt;= A1660 - 30)))
"),"#DIV/0!")</f>
        <v>#DIV/0!</v>
      </c>
      <c r="I1660" s="20" t="e">
        <f t="shared" ca="1" si="31"/>
        <v>#DIV/0!</v>
      </c>
      <c r="J1660" s="20" t="str">
        <f ca="1">IFERROR(__xludf.DUMMYFUNCTION("IF(OR($I1660=2, $I1660=3), 0, IFERROR(COUNTIFS($C$2:C1660, $C1660, $A$2:A1660, ""&gt;""&amp;IFERROR(MAX(FILTER($A$2:A1660, $C$2:C1660=$C1660, $I$2:I1660&lt;&gt;1)), 0), $I$2:I1660, 1),1))
"),"#DIV/0!")</f>
        <v>#DIV/0!</v>
      </c>
      <c r="K1660" s="7" t="e">
        <f t="shared" ca="1" si="32"/>
        <v>#DIV/0!</v>
      </c>
      <c r="L1660" s="20" t="e">
        <f t="shared" ca="1" si="33"/>
        <v>#DIV/0!</v>
      </c>
      <c r="M1660" s="21" t="e">
        <f t="shared" ca="1" si="34"/>
        <v>#DIV/0!</v>
      </c>
      <c r="N1660" s="20" t="str">
        <f ca="1">IFERROR(__xludf.DUMMYFUNCTION("IF(COUNTIFS($C$2:C1660, C1660, $A$2:A1660, ""&lt;="" &amp; A1660) &lt; 30, STDEV.P(FILTER($G$2:G1660, $C$2:C1660 = C1660)), STDEV.P(FILTER($G$2:G1660, $C$2:C1660 = C1660, $A$2:A1660 &gt;= A1660 - 30)))
"),"#DIV/0!")</f>
        <v>#DIV/0!</v>
      </c>
    </row>
    <row r="1661" spans="1:14" x14ac:dyDescent="0.2">
      <c r="A1661" s="41"/>
      <c r="B1661" s="40"/>
      <c r="C1661" s="40"/>
      <c r="D1661" s="31"/>
      <c r="E1661" s="31"/>
      <c r="F1661" s="31"/>
      <c r="G1661" s="19" t="e">
        <f t="shared" si="30"/>
        <v>#DIV/0!</v>
      </c>
      <c r="H1661" s="20" t="str">
        <f ca="1">IFERROR(__xludf.DUMMYFUNCTION("IF(COUNTIFS($C$2:C1661, C1661, $A$2:A1661, ""&lt;="" &amp; A1661) &lt; 30, AVERAGEIF($C$2:C1661, C1661, $G$2:G1661), AVERAGE(FILTER($G$2:G1661, $C$2:C1661 = C1661, $A$2:A1661 &gt;= A1661 - 30)))
"),"#DIV/0!")</f>
        <v>#DIV/0!</v>
      </c>
      <c r="I1661" s="20" t="e">
        <f t="shared" ca="1" si="31"/>
        <v>#DIV/0!</v>
      </c>
      <c r="J1661" s="20" t="str">
        <f ca="1">IFERROR(__xludf.DUMMYFUNCTION("IF(OR($I1661=2, $I1661=3), 0, IFERROR(COUNTIFS($C$2:C1661, $C1661, $A$2:A1661, ""&gt;""&amp;IFERROR(MAX(FILTER($A$2:A1661, $C$2:C1661=$C1661, $I$2:I1661&lt;&gt;1)), 0), $I$2:I1661, 1),1))
"),"#DIV/0!")</f>
        <v>#DIV/0!</v>
      </c>
      <c r="K1661" s="7" t="e">
        <f t="shared" ca="1" si="32"/>
        <v>#DIV/0!</v>
      </c>
      <c r="L1661" s="20" t="e">
        <f t="shared" ca="1" si="33"/>
        <v>#DIV/0!</v>
      </c>
      <c r="M1661" s="21" t="e">
        <f t="shared" ca="1" si="34"/>
        <v>#DIV/0!</v>
      </c>
      <c r="N1661" s="20" t="str">
        <f ca="1">IFERROR(__xludf.DUMMYFUNCTION("IF(COUNTIFS($C$2:C1661, C1661, $A$2:A1661, ""&lt;="" &amp; A1661) &lt; 30, STDEV.P(FILTER($G$2:G1661, $C$2:C1661 = C1661)), STDEV.P(FILTER($G$2:G1661, $C$2:C1661 = C1661, $A$2:A1661 &gt;= A1661 - 30)))
"),"#DIV/0!")</f>
        <v>#DIV/0!</v>
      </c>
    </row>
    <row r="1662" spans="1:14" x14ac:dyDescent="0.2">
      <c r="A1662" s="41"/>
      <c r="B1662" s="40"/>
      <c r="C1662" s="40"/>
      <c r="D1662" s="31"/>
      <c r="E1662" s="31"/>
      <c r="F1662" s="31"/>
      <c r="G1662" s="19" t="e">
        <f t="shared" si="30"/>
        <v>#DIV/0!</v>
      </c>
      <c r="H1662" s="20" t="str">
        <f ca="1">IFERROR(__xludf.DUMMYFUNCTION("IF(COUNTIFS($C$2:C1662, C1662, $A$2:A1662, ""&lt;="" &amp; A1662) &lt; 30, AVERAGEIF($C$2:C1662, C1662, $G$2:G1662), AVERAGE(FILTER($G$2:G1662, $C$2:C1662 = C1662, $A$2:A1662 &gt;= A1662 - 30)))
"),"#DIV/0!")</f>
        <v>#DIV/0!</v>
      </c>
      <c r="I1662" s="20" t="e">
        <f t="shared" ca="1" si="31"/>
        <v>#DIV/0!</v>
      </c>
      <c r="J1662" s="20" t="str">
        <f ca="1">IFERROR(__xludf.DUMMYFUNCTION("IF(OR($I1662=2, $I1662=3), 0, IFERROR(COUNTIFS($C$2:C1662, $C1662, $A$2:A1662, ""&gt;""&amp;IFERROR(MAX(FILTER($A$2:A1662, $C$2:C1662=$C1662, $I$2:I1662&lt;&gt;1)), 0), $I$2:I1662, 1),1))
"),"#DIV/0!")</f>
        <v>#DIV/0!</v>
      </c>
      <c r="K1662" s="7" t="e">
        <f t="shared" ca="1" si="32"/>
        <v>#DIV/0!</v>
      </c>
      <c r="L1662" s="20" t="e">
        <f t="shared" ca="1" si="33"/>
        <v>#DIV/0!</v>
      </c>
      <c r="M1662" s="21" t="e">
        <f t="shared" ca="1" si="34"/>
        <v>#DIV/0!</v>
      </c>
      <c r="N1662" s="20" t="str">
        <f ca="1">IFERROR(__xludf.DUMMYFUNCTION("IF(COUNTIFS($C$2:C1662, C1662, $A$2:A1662, ""&lt;="" &amp; A1662) &lt; 30, STDEV.P(FILTER($G$2:G1662, $C$2:C1662 = C1662)), STDEV.P(FILTER($G$2:G1662, $C$2:C1662 = C1662, $A$2:A1662 &gt;= A1662 - 30)))
"),"#DIV/0!")</f>
        <v>#DIV/0!</v>
      </c>
    </row>
    <row r="1663" spans="1:14" x14ac:dyDescent="0.2">
      <c r="A1663" s="41"/>
      <c r="B1663" s="40"/>
      <c r="C1663" s="40"/>
      <c r="D1663" s="31"/>
      <c r="E1663" s="31"/>
      <c r="F1663" s="31"/>
      <c r="G1663" s="19" t="e">
        <f t="shared" si="30"/>
        <v>#DIV/0!</v>
      </c>
      <c r="H1663" s="20" t="str">
        <f ca="1">IFERROR(__xludf.DUMMYFUNCTION("IF(COUNTIFS($C$2:C1663, C1663, $A$2:A1663, ""&lt;="" &amp; A1663) &lt; 30, AVERAGEIF($C$2:C1663, C1663, $G$2:G1663), AVERAGE(FILTER($G$2:G1663, $C$2:C1663 = C1663, $A$2:A1663 &gt;= A1663 - 30)))
"),"#DIV/0!")</f>
        <v>#DIV/0!</v>
      </c>
      <c r="I1663" s="20" t="e">
        <f t="shared" ca="1" si="31"/>
        <v>#DIV/0!</v>
      </c>
      <c r="J1663" s="20" t="str">
        <f ca="1">IFERROR(__xludf.DUMMYFUNCTION("IF(OR($I1663=2, $I1663=3), 0, IFERROR(COUNTIFS($C$2:C1663, $C1663, $A$2:A1663, ""&gt;""&amp;IFERROR(MAX(FILTER($A$2:A1663, $C$2:C1663=$C1663, $I$2:I1663&lt;&gt;1)), 0), $I$2:I1663, 1),1))
"),"#DIV/0!")</f>
        <v>#DIV/0!</v>
      </c>
      <c r="K1663" s="7" t="e">
        <f t="shared" ca="1" si="32"/>
        <v>#DIV/0!</v>
      </c>
      <c r="L1663" s="20" t="e">
        <f t="shared" ca="1" si="33"/>
        <v>#DIV/0!</v>
      </c>
      <c r="M1663" s="21" t="e">
        <f t="shared" ca="1" si="34"/>
        <v>#DIV/0!</v>
      </c>
      <c r="N1663" s="20" t="str">
        <f ca="1">IFERROR(__xludf.DUMMYFUNCTION("IF(COUNTIFS($C$2:C1663, C1663, $A$2:A1663, ""&lt;="" &amp; A1663) &lt; 30, STDEV.P(FILTER($G$2:G1663, $C$2:C1663 = C1663)), STDEV.P(FILTER($G$2:G1663, $C$2:C1663 = C1663, $A$2:A1663 &gt;= A1663 - 30)))
"),"#DIV/0!")</f>
        <v>#DIV/0!</v>
      </c>
    </row>
    <row r="1664" spans="1:14" x14ac:dyDescent="0.2">
      <c r="A1664" s="41"/>
      <c r="B1664" s="40"/>
      <c r="C1664" s="40"/>
      <c r="D1664" s="31"/>
      <c r="E1664" s="31"/>
      <c r="F1664" s="31"/>
      <c r="G1664" s="19" t="e">
        <f t="shared" si="30"/>
        <v>#DIV/0!</v>
      </c>
      <c r="H1664" s="20" t="str">
        <f ca="1">IFERROR(__xludf.DUMMYFUNCTION("IF(COUNTIFS($C$2:C1664, C1664, $A$2:A1664, ""&lt;="" &amp; A1664) &lt; 30, AVERAGEIF($C$2:C1664, C1664, $G$2:G1664), AVERAGE(FILTER($G$2:G1664, $C$2:C1664 = C1664, $A$2:A1664 &gt;= A1664 - 30)))
"),"#DIV/0!")</f>
        <v>#DIV/0!</v>
      </c>
      <c r="I1664" s="20" t="e">
        <f t="shared" ca="1" si="31"/>
        <v>#DIV/0!</v>
      </c>
      <c r="J1664" s="20" t="str">
        <f ca="1">IFERROR(__xludf.DUMMYFUNCTION("IF(OR($I1664=2, $I1664=3), 0, IFERROR(COUNTIFS($C$2:C1664, $C1664, $A$2:A1664, ""&gt;""&amp;IFERROR(MAX(FILTER($A$2:A1664, $C$2:C1664=$C1664, $I$2:I1664&lt;&gt;1)), 0), $I$2:I1664, 1),1))
"),"#DIV/0!")</f>
        <v>#DIV/0!</v>
      </c>
      <c r="K1664" s="7" t="e">
        <f t="shared" ca="1" si="32"/>
        <v>#DIV/0!</v>
      </c>
      <c r="L1664" s="20" t="e">
        <f t="shared" ca="1" si="33"/>
        <v>#DIV/0!</v>
      </c>
      <c r="M1664" s="21" t="e">
        <f t="shared" ca="1" si="34"/>
        <v>#DIV/0!</v>
      </c>
      <c r="N1664" s="20" t="str">
        <f ca="1">IFERROR(__xludf.DUMMYFUNCTION("IF(COUNTIFS($C$2:C1664, C1664, $A$2:A1664, ""&lt;="" &amp; A1664) &lt; 30, STDEV.P(FILTER($G$2:G1664, $C$2:C1664 = C1664)), STDEV.P(FILTER($G$2:G1664, $C$2:C1664 = C1664, $A$2:A1664 &gt;= A1664 - 30)))
"),"#DIV/0!")</f>
        <v>#DIV/0!</v>
      </c>
    </row>
    <row r="1665" spans="1:14" x14ac:dyDescent="0.2">
      <c r="A1665" s="41"/>
      <c r="B1665" s="40"/>
      <c r="C1665" s="40"/>
      <c r="D1665" s="31"/>
      <c r="E1665" s="31"/>
      <c r="F1665" s="31"/>
      <c r="G1665" s="19" t="e">
        <f t="shared" si="30"/>
        <v>#DIV/0!</v>
      </c>
      <c r="H1665" s="20" t="str">
        <f ca="1">IFERROR(__xludf.DUMMYFUNCTION("IF(COUNTIFS($C$2:C1665, C1665, $A$2:A1665, ""&lt;="" &amp; A1665) &lt; 30, AVERAGEIF($C$2:C1665, C1665, $G$2:G1665), AVERAGE(FILTER($G$2:G1665, $C$2:C1665 = C1665, $A$2:A1665 &gt;= A1665 - 30)))
"),"#DIV/0!")</f>
        <v>#DIV/0!</v>
      </c>
      <c r="I1665" s="20" t="e">
        <f t="shared" ca="1" si="31"/>
        <v>#DIV/0!</v>
      </c>
      <c r="J1665" s="20" t="str">
        <f ca="1">IFERROR(__xludf.DUMMYFUNCTION("IF(OR($I1665=2, $I1665=3), 0, IFERROR(COUNTIFS($C$2:C1665, $C1665, $A$2:A1665, ""&gt;""&amp;IFERROR(MAX(FILTER($A$2:A1665, $C$2:C1665=$C1665, $I$2:I1665&lt;&gt;1)), 0), $I$2:I1665, 1),1))
"),"#DIV/0!")</f>
        <v>#DIV/0!</v>
      </c>
      <c r="K1665" s="7" t="e">
        <f t="shared" ca="1" si="32"/>
        <v>#DIV/0!</v>
      </c>
      <c r="L1665" s="20" t="e">
        <f t="shared" ca="1" si="33"/>
        <v>#DIV/0!</v>
      </c>
      <c r="M1665" s="21" t="e">
        <f t="shared" ca="1" si="34"/>
        <v>#DIV/0!</v>
      </c>
      <c r="N1665" s="20" t="str">
        <f ca="1">IFERROR(__xludf.DUMMYFUNCTION("IF(COUNTIFS($C$2:C1665, C1665, $A$2:A1665, ""&lt;="" &amp; A1665) &lt; 30, STDEV.P(FILTER($G$2:G1665, $C$2:C1665 = C1665)), STDEV.P(FILTER($G$2:G1665, $C$2:C1665 = C1665, $A$2:A1665 &gt;= A1665 - 30)))
"),"#DIV/0!")</f>
        <v>#DIV/0!</v>
      </c>
    </row>
    <row r="1666" spans="1:14" x14ac:dyDescent="0.2">
      <c r="A1666" s="41"/>
      <c r="B1666" s="40"/>
      <c r="C1666" s="40"/>
      <c r="D1666" s="31"/>
      <c r="E1666" s="31"/>
      <c r="F1666" s="31"/>
      <c r="G1666" s="19" t="e">
        <f t="shared" si="30"/>
        <v>#DIV/0!</v>
      </c>
      <c r="H1666" s="20" t="str">
        <f ca="1">IFERROR(__xludf.DUMMYFUNCTION("IF(COUNTIFS($C$2:C1666, C1666, $A$2:A1666, ""&lt;="" &amp; A1666) &lt; 30, AVERAGEIF($C$2:C1666, C1666, $G$2:G1666), AVERAGE(FILTER($G$2:G1666, $C$2:C1666 = C1666, $A$2:A1666 &gt;= A1666 - 30)))
"),"#DIV/0!")</f>
        <v>#DIV/0!</v>
      </c>
      <c r="I1666" s="20" t="e">
        <f t="shared" ca="1" si="31"/>
        <v>#DIV/0!</v>
      </c>
      <c r="J1666" s="20" t="str">
        <f ca="1">IFERROR(__xludf.DUMMYFUNCTION("IF(OR($I1666=2, $I1666=3), 0, IFERROR(COUNTIFS($C$2:C1666, $C1666, $A$2:A1666, ""&gt;""&amp;IFERROR(MAX(FILTER($A$2:A1666, $C$2:C1666=$C1666, $I$2:I1666&lt;&gt;1)), 0), $I$2:I1666, 1),1))
"),"#DIV/0!")</f>
        <v>#DIV/0!</v>
      </c>
      <c r="K1666" s="7" t="e">
        <f t="shared" ca="1" si="32"/>
        <v>#DIV/0!</v>
      </c>
      <c r="L1666" s="20" t="e">
        <f t="shared" ca="1" si="33"/>
        <v>#DIV/0!</v>
      </c>
      <c r="M1666" s="21" t="e">
        <f t="shared" ca="1" si="34"/>
        <v>#DIV/0!</v>
      </c>
      <c r="N1666" s="20" t="str">
        <f ca="1">IFERROR(__xludf.DUMMYFUNCTION("IF(COUNTIFS($C$2:C1666, C1666, $A$2:A1666, ""&lt;="" &amp; A1666) &lt; 30, STDEV.P(FILTER($G$2:G1666, $C$2:C1666 = C1666)), STDEV.P(FILTER($G$2:G1666, $C$2:C1666 = C1666, $A$2:A1666 &gt;= A1666 - 30)))
"),"#DIV/0!")</f>
        <v>#DIV/0!</v>
      </c>
    </row>
    <row r="1667" spans="1:14" x14ac:dyDescent="0.2">
      <c r="A1667" s="41"/>
      <c r="B1667" s="40"/>
      <c r="C1667" s="40"/>
      <c r="D1667" s="31"/>
      <c r="E1667" s="31"/>
      <c r="F1667" s="31"/>
      <c r="G1667" s="19" t="e">
        <f t="shared" si="30"/>
        <v>#DIV/0!</v>
      </c>
      <c r="H1667" s="20" t="str">
        <f ca="1">IFERROR(__xludf.DUMMYFUNCTION("IF(COUNTIFS($C$2:C1667, C1667, $A$2:A1667, ""&lt;="" &amp; A1667) &lt; 30, AVERAGEIF($C$2:C1667, C1667, $G$2:G1667), AVERAGE(FILTER($G$2:G1667, $C$2:C1667 = C1667, $A$2:A1667 &gt;= A1667 - 30)))
"),"#DIV/0!")</f>
        <v>#DIV/0!</v>
      </c>
      <c r="I1667" s="20" t="e">
        <f t="shared" ca="1" si="31"/>
        <v>#DIV/0!</v>
      </c>
      <c r="J1667" s="20" t="str">
        <f ca="1">IFERROR(__xludf.DUMMYFUNCTION("IF(OR($I1667=2, $I1667=3), 0, IFERROR(COUNTIFS($C$2:C1667, $C1667, $A$2:A1667, ""&gt;""&amp;IFERROR(MAX(FILTER($A$2:A1667, $C$2:C1667=$C1667, $I$2:I1667&lt;&gt;1)), 0), $I$2:I1667, 1),1))
"),"#DIV/0!")</f>
        <v>#DIV/0!</v>
      </c>
      <c r="K1667" s="7" t="e">
        <f t="shared" ca="1" si="32"/>
        <v>#DIV/0!</v>
      </c>
      <c r="L1667" s="20" t="e">
        <f t="shared" ca="1" si="33"/>
        <v>#DIV/0!</v>
      </c>
      <c r="M1667" s="21" t="e">
        <f t="shared" ca="1" si="34"/>
        <v>#DIV/0!</v>
      </c>
      <c r="N1667" s="20" t="str">
        <f ca="1">IFERROR(__xludf.DUMMYFUNCTION("IF(COUNTIFS($C$2:C1667, C1667, $A$2:A1667, ""&lt;="" &amp; A1667) &lt; 30, STDEV.P(FILTER($G$2:G1667, $C$2:C1667 = C1667)), STDEV.P(FILTER($G$2:G1667, $C$2:C1667 = C1667, $A$2:A1667 &gt;= A1667 - 30)))
"),"#DIV/0!")</f>
        <v>#DIV/0!</v>
      </c>
    </row>
    <row r="1668" spans="1:14" x14ac:dyDescent="0.2">
      <c r="A1668" s="41"/>
      <c r="B1668" s="40"/>
      <c r="C1668" s="40"/>
      <c r="D1668" s="31"/>
      <c r="E1668" s="31"/>
      <c r="F1668" s="31"/>
      <c r="G1668" s="19" t="e">
        <f t="shared" si="30"/>
        <v>#DIV/0!</v>
      </c>
      <c r="H1668" s="20" t="str">
        <f ca="1">IFERROR(__xludf.DUMMYFUNCTION("IF(COUNTIFS($C$2:C1668, C1668, $A$2:A1668, ""&lt;="" &amp; A1668) &lt; 30, AVERAGEIF($C$2:C1668, C1668, $G$2:G1668), AVERAGE(FILTER($G$2:G1668, $C$2:C1668 = C1668, $A$2:A1668 &gt;= A1668 - 30)))
"),"#DIV/0!")</f>
        <v>#DIV/0!</v>
      </c>
      <c r="I1668" s="20" t="e">
        <f t="shared" ca="1" si="31"/>
        <v>#DIV/0!</v>
      </c>
      <c r="J1668" s="20" t="str">
        <f ca="1">IFERROR(__xludf.DUMMYFUNCTION("IF(OR($I1668=2, $I1668=3), 0, IFERROR(COUNTIFS($C$2:C1668, $C1668, $A$2:A1668, ""&gt;""&amp;IFERROR(MAX(FILTER($A$2:A1668, $C$2:C1668=$C1668, $I$2:I1668&lt;&gt;1)), 0), $I$2:I1668, 1),1))
"),"#DIV/0!")</f>
        <v>#DIV/0!</v>
      </c>
      <c r="K1668" s="7" t="e">
        <f t="shared" ca="1" si="32"/>
        <v>#DIV/0!</v>
      </c>
      <c r="L1668" s="20" t="e">
        <f t="shared" ca="1" si="33"/>
        <v>#DIV/0!</v>
      </c>
      <c r="M1668" s="21" t="e">
        <f t="shared" ca="1" si="34"/>
        <v>#DIV/0!</v>
      </c>
      <c r="N1668" s="20" t="str">
        <f ca="1">IFERROR(__xludf.DUMMYFUNCTION("IF(COUNTIFS($C$2:C1668, C1668, $A$2:A1668, ""&lt;="" &amp; A1668) &lt; 30, STDEV.P(FILTER($G$2:G1668, $C$2:C1668 = C1668)), STDEV.P(FILTER($G$2:G1668, $C$2:C1668 = C1668, $A$2:A1668 &gt;= A1668 - 30)))
"),"#DIV/0!")</f>
        <v>#DIV/0!</v>
      </c>
    </row>
    <row r="1669" spans="1:14" x14ac:dyDescent="0.2">
      <c r="A1669" s="41"/>
      <c r="B1669" s="40"/>
      <c r="C1669" s="40"/>
      <c r="D1669" s="31"/>
      <c r="E1669" s="31"/>
      <c r="F1669" s="31"/>
      <c r="G1669" s="19" t="e">
        <f t="shared" si="30"/>
        <v>#DIV/0!</v>
      </c>
      <c r="H1669" s="20" t="str">
        <f ca="1">IFERROR(__xludf.DUMMYFUNCTION("IF(COUNTIFS($C$2:C1669, C1669, $A$2:A1669, ""&lt;="" &amp; A1669) &lt; 30, AVERAGEIF($C$2:C1669, C1669, $G$2:G1669), AVERAGE(FILTER($G$2:G1669, $C$2:C1669 = C1669, $A$2:A1669 &gt;= A1669 - 30)))
"),"#DIV/0!")</f>
        <v>#DIV/0!</v>
      </c>
      <c r="I1669" s="20" t="e">
        <f t="shared" ca="1" si="31"/>
        <v>#DIV/0!</v>
      </c>
      <c r="J1669" s="20" t="str">
        <f ca="1">IFERROR(__xludf.DUMMYFUNCTION("IF(OR($I1669=2, $I1669=3), 0, IFERROR(COUNTIFS($C$2:C1669, $C1669, $A$2:A1669, ""&gt;""&amp;IFERROR(MAX(FILTER($A$2:A1669, $C$2:C1669=$C1669, $I$2:I1669&lt;&gt;1)), 0), $I$2:I1669, 1),1))
"),"#DIV/0!")</f>
        <v>#DIV/0!</v>
      </c>
      <c r="K1669" s="7" t="e">
        <f t="shared" ca="1" si="32"/>
        <v>#DIV/0!</v>
      </c>
      <c r="L1669" s="20" t="e">
        <f t="shared" ca="1" si="33"/>
        <v>#DIV/0!</v>
      </c>
      <c r="M1669" s="21" t="e">
        <f t="shared" ca="1" si="34"/>
        <v>#DIV/0!</v>
      </c>
      <c r="N1669" s="20" t="str">
        <f ca="1">IFERROR(__xludf.DUMMYFUNCTION("IF(COUNTIFS($C$2:C1669, C1669, $A$2:A1669, ""&lt;="" &amp; A1669) &lt; 30, STDEV.P(FILTER($G$2:G1669, $C$2:C1669 = C1669)), STDEV.P(FILTER($G$2:G1669, $C$2:C1669 = C1669, $A$2:A1669 &gt;= A1669 - 30)))
"),"#DIV/0!")</f>
        <v>#DIV/0!</v>
      </c>
    </row>
    <row r="1670" spans="1:14" x14ac:dyDescent="0.2">
      <c r="A1670" s="41"/>
      <c r="B1670" s="40"/>
      <c r="C1670" s="40"/>
      <c r="D1670" s="31"/>
      <c r="E1670" s="31"/>
      <c r="F1670" s="31"/>
      <c r="G1670" s="19" t="e">
        <f t="shared" si="30"/>
        <v>#DIV/0!</v>
      </c>
      <c r="H1670" s="20" t="str">
        <f ca="1">IFERROR(__xludf.DUMMYFUNCTION("IF(COUNTIFS($C$2:C1670, C1670, $A$2:A1670, ""&lt;="" &amp; A1670) &lt; 30, AVERAGEIF($C$2:C1670, C1670, $G$2:G1670), AVERAGE(FILTER($G$2:G1670, $C$2:C1670 = C1670, $A$2:A1670 &gt;= A1670 - 30)))
"),"#DIV/0!")</f>
        <v>#DIV/0!</v>
      </c>
      <c r="I1670" s="20" t="e">
        <f t="shared" ca="1" si="31"/>
        <v>#DIV/0!</v>
      </c>
      <c r="J1670" s="20" t="str">
        <f ca="1">IFERROR(__xludf.DUMMYFUNCTION("IF(OR($I1670=2, $I1670=3), 0, IFERROR(COUNTIFS($C$2:C1670, $C1670, $A$2:A1670, ""&gt;""&amp;IFERROR(MAX(FILTER($A$2:A1670, $C$2:C1670=$C1670, $I$2:I1670&lt;&gt;1)), 0), $I$2:I1670, 1),1))
"),"#DIV/0!")</f>
        <v>#DIV/0!</v>
      </c>
      <c r="K1670" s="7" t="e">
        <f t="shared" ca="1" si="32"/>
        <v>#DIV/0!</v>
      </c>
      <c r="L1670" s="20" t="e">
        <f t="shared" ca="1" si="33"/>
        <v>#DIV/0!</v>
      </c>
      <c r="M1670" s="21" t="e">
        <f t="shared" ca="1" si="34"/>
        <v>#DIV/0!</v>
      </c>
      <c r="N1670" s="20" t="str">
        <f ca="1">IFERROR(__xludf.DUMMYFUNCTION("IF(COUNTIFS($C$2:C1670, C1670, $A$2:A1670, ""&lt;="" &amp; A1670) &lt; 30, STDEV.P(FILTER($G$2:G1670, $C$2:C1670 = C1670)), STDEV.P(FILTER($G$2:G1670, $C$2:C1670 = C1670, $A$2:A1670 &gt;= A1670 - 30)))
"),"#DIV/0!")</f>
        <v>#DIV/0!</v>
      </c>
    </row>
    <row r="1671" spans="1:14" x14ac:dyDescent="0.2">
      <c r="A1671" s="41"/>
      <c r="B1671" s="40"/>
      <c r="C1671" s="40"/>
      <c r="D1671" s="31"/>
      <c r="E1671" s="31"/>
      <c r="F1671" s="31"/>
      <c r="G1671" s="19" t="e">
        <f t="shared" si="30"/>
        <v>#DIV/0!</v>
      </c>
      <c r="H1671" s="20" t="str">
        <f ca="1">IFERROR(__xludf.DUMMYFUNCTION("IF(COUNTIFS($C$2:C1671, C1671, $A$2:A1671, ""&lt;="" &amp; A1671) &lt; 30, AVERAGEIF($C$2:C1671, C1671, $G$2:G1671), AVERAGE(FILTER($G$2:G1671, $C$2:C1671 = C1671, $A$2:A1671 &gt;= A1671 - 30)))
"),"#DIV/0!")</f>
        <v>#DIV/0!</v>
      </c>
      <c r="I1671" s="20" t="e">
        <f t="shared" ca="1" si="31"/>
        <v>#DIV/0!</v>
      </c>
      <c r="J1671" s="20" t="str">
        <f ca="1">IFERROR(__xludf.DUMMYFUNCTION("IF(OR($I1671=2, $I1671=3), 0, IFERROR(COUNTIFS($C$2:C1671, $C1671, $A$2:A1671, ""&gt;""&amp;IFERROR(MAX(FILTER($A$2:A1671, $C$2:C1671=$C1671, $I$2:I1671&lt;&gt;1)), 0), $I$2:I1671, 1),1))
"),"#DIV/0!")</f>
        <v>#DIV/0!</v>
      </c>
      <c r="K1671" s="7" t="e">
        <f t="shared" ca="1" si="32"/>
        <v>#DIV/0!</v>
      </c>
      <c r="L1671" s="20" t="e">
        <f t="shared" ca="1" si="33"/>
        <v>#DIV/0!</v>
      </c>
      <c r="M1671" s="21" t="e">
        <f t="shared" ca="1" si="34"/>
        <v>#DIV/0!</v>
      </c>
      <c r="N1671" s="20" t="str">
        <f ca="1">IFERROR(__xludf.DUMMYFUNCTION("IF(COUNTIFS($C$2:C1671, C1671, $A$2:A1671, ""&lt;="" &amp; A1671) &lt; 30, STDEV.P(FILTER($G$2:G1671, $C$2:C1671 = C1671)), STDEV.P(FILTER($G$2:G1671, $C$2:C1671 = C1671, $A$2:A1671 &gt;= A1671 - 30)))
"),"#DIV/0!")</f>
        <v>#DIV/0!</v>
      </c>
    </row>
    <row r="1672" spans="1:14" x14ac:dyDescent="0.2">
      <c r="A1672" s="41"/>
      <c r="B1672" s="40"/>
      <c r="C1672" s="40"/>
      <c r="D1672" s="31"/>
      <c r="E1672" s="31"/>
      <c r="F1672" s="31"/>
      <c r="G1672" s="19" t="e">
        <f t="shared" si="30"/>
        <v>#DIV/0!</v>
      </c>
      <c r="H1672" s="20" t="str">
        <f ca="1">IFERROR(__xludf.DUMMYFUNCTION("IF(COUNTIFS($C$2:C1672, C1672, $A$2:A1672, ""&lt;="" &amp; A1672) &lt; 30, AVERAGEIF($C$2:C1672, C1672, $G$2:G1672), AVERAGE(FILTER($G$2:G1672, $C$2:C1672 = C1672, $A$2:A1672 &gt;= A1672 - 30)))
"),"#DIV/0!")</f>
        <v>#DIV/0!</v>
      </c>
      <c r="I1672" s="20" t="e">
        <f t="shared" ca="1" si="31"/>
        <v>#DIV/0!</v>
      </c>
      <c r="J1672" s="20" t="str">
        <f ca="1">IFERROR(__xludf.DUMMYFUNCTION("IF(OR($I1672=2, $I1672=3), 0, IFERROR(COUNTIFS($C$2:C1672, $C1672, $A$2:A1672, ""&gt;""&amp;IFERROR(MAX(FILTER($A$2:A1672, $C$2:C1672=$C1672, $I$2:I1672&lt;&gt;1)), 0), $I$2:I1672, 1),1))
"),"#DIV/0!")</f>
        <v>#DIV/0!</v>
      </c>
      <c r="K1672" s="7" t="e">
        <f t="shared" ca="1" si="32"/>
        <v>#DIV/0!</v>
      </c>
      <c r="L1672" s="20" t="e">
        <f t="shared" ca="1" si="33"/>
        <v>#DIV/0!</v>
      </c>
      <c r="M1672" s="21" t="e">
        <f t="shared" ca="1" si="34"/>
        <v>#DIV/0!</v>
      </c>
      <c r="N1672" s="20" t="str">
        <f ca="1">IFERROR(__xludf.DUMMYFUNCTION("IF(COUNTIFS($C$2:C1672, C1672, $A$2:A1672, ""&lt;="" &amp; A1672) &lt; 30, STDEV.P(FILTER($G$2:G1672, $C$2:C1672 = C1672)), STDEV.P(FILTER($G$2:G1672, $C$2:C1672 = C1672, $A$2:A1672 &gt;= A1672 - 30)))
"),"#DIV/0!")</f>
        <v>#DIV/0!</v>
      </c>
    </row>
    <row r="1673" spans="1:14" x14ac:dyDescent="0.2">
      <c r="A1673" s="41"/>
      <c r="B1673" s="40"/>
      <c r="C1673" s="40"/>
      <c r="D1673" s="31"/>
      <c r="E1673" s="31"/>
      <c r="F1673" s="31"/>
      <c r="G1673" s="19" t="e">
        <f t="shared" si="30"/>
        <v>#DIV/0!</v>
      </c>
      <c r="H1673" s="20" t="str">
        <f ca="1">IFERROR(__xludf.DUMMYFUNCTION("IF(COUNTIFS($C$2:C1673, C1673, $A$2:A1673, ""&lt;="" &amp; A1673) &lt; 30, AVERAGEIF($C$2:C1673, C1673, $G$2:G1673), AVERAGE(FILTER($G$2:G1673, $C$2:C1673 = C1673, $A$2:A1673 &gt;= A1673 - 30)))
"),"#DIV/0!")</f>
        <v>#DIV/0!</v>
      </c>
      <c r="I1673" s="20" t="e">
        <f t="shared" ca="1" si="31"/>
        <v>#DIV/0!</v>
      </c>
      <c r="J1673" s="20" t="str">
        <f ca="1">IFERROR(__xludf.DUMMYFUNCTION("IF(OR($I1673=2, $I1673=3), 0, IFERROR(COUNTIFS($C$2:C1673, $C1673, $A$2:A1673, ""&gt;""&amp;IFERROR(MAX(FILTER($A$2:A1673, $C$2:C1673=$C1673, $I$2:I1673&lt;&gt;1)), 0), $I$2:I1673, 1),1))
"),"#DIV/0!")</f>
        <v>#DIV/0!</v>
      </c>
      <c r="K1673" s="7" t="e">
        <f t="shared" ca="1" si="32"/>
        <v>#DIV/0!</v>
      </c>
      <c r="L1673" s="20" t="e">
        <f t="shared" ca="1" si="33"/>
        <v>#DIV/0!</v>
      </c>
      <c r="M1673" s="21" t="e">
        <f t="shared" ca="1" si="34"/>
        <v>#DIV/0!</v>
      </c>
      <c r="N1673" s="20" t="str">
        <f ca="1">IFERROR(__xludf.DUMMYFUNCTION("IF(COUNTIFS($C$2:C1673, C1673, $A$2:A1673, ""&lt;="" &amp; A1673) &lt; 30, STDEV.P(FILTER($G$2:G1673, $C$2:C1673 = C1673)), STDEV.P(FILTER($G$2:G1673, $C$2:C1673 = C1673, $A$2:A1673 &gt;= A1673 - 30)))
"),"#DIV/0!")</f>
        <v>#DIV/0!</v>
      </c>
    </row>
    <row r="1674" spans="1:14" x14ac:dyDescent="0.2">
      <c r="A1674" s="41"/>
      <c r="B1674" s="40"/>
      <c r="C1674" s="40"/>
      <c r="D1674" s="31"/>
      <c r="E1674" s="31"/>
      <c r="F1674" s="31"/>
      <c r="G1674" s="19" t="e">
        <f t="shared" si="30"/>
        <v>#DIV/0!</v>
      </c>
      <c r="H1674" s="20" t="str">
        <f ca="1">IFERROR(__xludf.DUMMYFUNCTION("IF(COUNTIFS($C$2:C1674, C1674, $A$2:A1674, ""&lt;="" &amp; A1674) &lt; 30, AVERAGEIF($C$2:C1674, C1674, $G$2:G1674), AVERAGE(FILTER($G$2:G1674, $C$2:C1674 = C1674, $A$2:A1674 &gt;= A1674 - 30)))
"),"#DIV/0!")</f>
        <v>#DIV/0!</v>
      </c>
      <c r="I1674" s="20" t="e">
        <f t="shared" ca="1" si="31"/>
        <v>#DIV/0!</v>
      </c>
      <c r="J1674" s="20" t="str">
        <f ca="1">IFERROR(__xludf.DUMMYFUNCTION("IF(OR($I1674=2, $I1674=3), 0, IFERROR(COUNTIFS($C$2:C1674, $C1674, $A$2:A1674, ""&gt;""&amp;IFERROR(MAX(FILTER($A$2:A1674, $C$2:C1674=$C1674, $I$2:I1674&lt;&gt;1)), 0), $I$2:I1674, 1),1))
"),"#DIV/0!")</f>
        <v>#DIV/0!</v>
      </c>
      <c r="K1674" s="7" t="e">
        <f t="shared" ca="1" si="32"/>
        <v>#DIV/0!</v>
      </c>
      <c r="L1674" s="20" t="e">
        <f t="shared" ca="1" si="33"/>
        <v>#DIV/0!</v>
      </c>
      <c r="M1674" s="21" t="e">
        <f t="shared" ca="1" si="34"/>
        <v>#DIV/0!</v>
      </c>
      <c r="N1674" s="20" t="str">
        <f ca="1">IFERROR(__xludf.DUMMYFUNCTION("IF(COUNTIFS($C$2:C1674, C1674, $A$2:A1674, ""&lt;="" &amp; A1674) &lt; 30, STDEV.P(FILTER($G$2:G1674, $C$2:C1674 = C1674)), STDEV.P(FILTER($G$2:G1674, $C$2:C1674 = C1674, $A$2:A1674 &gt;= A1674 - 30)))
"),"#DIV/0!")</f>
        <v>#DIV/0!</v>
      </c>
    </row>
    <row r="1675" spans="1:14" x14ac:dyDescent="0.2">
      <c r="A1675" s="41"/>
      <c r="B1675" s="40"/>
      <c r="C1675" s="40"/>
      <c r="D1675" s="31"/>
      <c r="E1675" s="31"/>
      <c r="F1675" s="31"/>
      <c r="G1675" s="19" t="e">
        <f t="shared" si="30"/>
        <v>#DIV/0!</v>
      </c>
      <c r="H1675" s="20" t="str">
        <f ca="1">IFERROR(__xludf.DUMMYFUNCTION("IF(COUNTIFS($C$2:C1675, C1675, $A$2:A1675, ""&lt;="" &amp; A1675) &lt; 30, AVERAGEIF($C$2:C1675, C1675, $G$2:G1675), AVERAGE(FILTER($G$2:G1675, $C$2:C1675 = C1675, $A$2:A1675 &gt;= A1675 - 30)))
"),"#DIV/0!")</f>
        <v>#DIV/0!</v>
      </c>
      <c r="I1675" s="20" t="e">
        <f t="shared" ca="1" si="31"/>
        <v>#DIV/0!</v>
      </c>
      <c r="J1675" s="20" t="str">
        <f ca="1">IFERROR(__xludf.DUMMYFUNCTION("IF(OR($I1675=2, $I1675=3), 0, IFERROR(COUNTIFS($C$2:C1675, $C1675, $A$2:A1675, ""&gt;""&amp;IFERROR(MAX(FILTER($A$2:A1675, $C$2:C1675=$C1675, $I$2:I1675&lt;&gt;1)), 0), $I$2:I1675, 1),1))
"),"#DIV/0!")</f>
        <v>#DIV/0!</v>
      </c>
      <c r="K1675" s="7" t="e">
        <f t="shared" ca="1" si="32"/>
        <v>#DIV/0!</v>
      </c>
      <c r="L1675" s="20" t="e">
        <f t="shared" ca="1" si="33"/>
        <v>#DIV/0!</v>
      </c>
      <c r="M1675" s="21" t="e">
        <f t="shared" ca="1" si="34"/>
        <v>#DIV/0!</v>
      </c>
      <c r="N1675" s="20" t="str">
        <f ca="1">IFERROR(__xludf.DUMMYFUNCTION("IF(COUNTIFS($C$2:C1675, C1675, $A$2:A1675, ""&lt;="" &amp; A1675) &lt; 30, STDEV.P(FILTER($G$2:G1675, $C$2:C1675 = C1675)), STDEV.P(FILTER($G$2:G1675, $C$2:C1675 = C1675, $A$2:A1675 &gt;= A1675 - 30)))
"),"#DIV/0!")</f>
        <v>#DIV/0!</v>
      </c>
    </row>
    <row r="1676" spans="1:14" x14ac:dyDescent="0.2">
      <c r="A1676" s="41"/>
      <c r="B1676" s="40"/>
      <c r="C1676" s="40"/>
      <c r="D1676" s="31"/>
      <c r="E1676" s="31"/>
      <c r="F1676" s="31"/>
      <c r="G1676" s="19" t="e">
        <f t="shared" si="30"/>
        <v>#DIV/0!</v>
      </c>
      <c r="H1676" s="20" t="str">
        <f ca="1">IFERROR(__xludf.DUMMYFUNCTION("IF(COUNTIFS($C$2:C1676, C1676, $A$2:A1676, ""&lt;="" &amp; A1676) &lt; 30, AVERAGEIF($C$2:C1676, C1676, $G$2:G1676), AVERAGE(FILTER($G$2:G1676, $C$2:C1676 = C1676, $A$2:A1676 &gt;= A1676 - 30)))
"),"#DIV/0!")</f>
        <v>#DIV/0!</v>
      </c>
      <c r="I1676" s="20" t="e">
        <f t="shared" ca="1" si="31"/>
        <v>#DIV/0!</v>
      </c>
      <c r="J1676" s="20" t="str">
        <f ca="1">IFERROR(__xludf.DUMMYFUNCTION("IF(OR($I1676=2, $I1676=3), 0, IFERROR(COUNTIFS($C$2:C1676, $C1676, $A$2:A1676, ""&gt;""&amp;IFERROR(MAX(FILTER($A$2:A1676, $C$2:C1676=$C1676, $I$2:I1676&lt;&gt;1)), 0), $I$2:I1676, 1),1))
"),"#DIV/0!")</f>
        <v>#DIV/0!</v>
      </c>
      <c r="K1676" s="7" t="e">
        <f t="shared" ca="1" si="32"/>
        <v>#DIV/0!</v>
      </c>
      <c r="L1676" s="20" t="e">
        <f t="shared" ca="1" si="33"/>
        <v>#DIV/0!</v>
      </c>
      <c r="M1676" s="21" t="e">
        <f t="shared" ca="1" si="34"/>
        <v>#DIV/0!</v>
      </c>
      <c r="N1676" s="20" t="str">
        <f ca="1">IFERROR(__xludf.DUMMYFUNCTION("IF(COUNTIFS($C$2:C1676, C1676, $A$2:A1676, ""&lt;="" &amp; A1676) &lt; 30, STDEV.P(FILTER($G$2:G1676, $C$2:C1676 = C1676)), STDEV.P(FILTER($G$2:G1676, $C$2:C1676 = C1676, $A$2:A1676 &gt;= A1676 - 30)))
"),"#DIV/0!")</f>
        <v>#DIV/0!</v>
      </c>
    </row>
    <row r="1677" spans="1:14" x14ac:dyDescent="0.2">
      <c r="A1677" s="41"/>
      <c r="B1677" s="40"/>
      <c r="C1677" s="40"/>
      <c r="D1677" s="31"/>
      <c r="E1677" s="31"/>
      <c r="F1677" s="31"/>
      <c r="G1677" s="19" t="e">
        <f t="shared" si="30"/>
        <v>#DIV/0!</v>
      </c>
      <c r="H1677" s="20" t="str">
        <f ca="1">IFERROR(__xludf.DUMMYFUNCTION("IF(COUNTIFS($C$2:C1677, C1677, $A$2:A1677, ""&lt;="" &amp; A1677) &lt; 30, AVERAGEIF($C$2:C1677, C1677, $G$2:G1677), AVERAGE(FILTER($G$2:G1677, $C$2:C1677 = C1677, $A$2:A1677 &gt;= A1677 - 30)))
"),"#DIV/0!")</f>
        <v>#DIV/0!</v>
      </c>
      <c r="I1677" s="20" t="e">
        <f t="shared" ca="1" si="31"/>
        <v>#DIV/0!</v>
      </c>
      <c r="J1677" s="20" t="str">
        <f ca="1">IFERROR(__xludf.DUMMYFUNCTION("IF(OR($I1677=2, $I1677=3), 0, IFERROR(COUNTIFS($C$2:C1677, $C1677, $A$2:A1677, ""&gt;""&amp;IFERROR(MAX(FILTER($A$2:A1677, $C$2:C1677=$C1677, $I$2:I1677&lt;&gt;1)), 0), $I$2:I1677, 1),1))
"),"#DIV/0!")</f>
        <v>#DIV/0!</v>
      </c>
      <c r="K1677" s="7" t="e">
        <f t="shared" ca="1" si="32"/>
        <v>#DIV/0!</v>
      </c>
      <c r="L1677" s="20" t="e">
        <f t="shared" ca="1" si="33"/>
        <v>#DIV/0!</v>
      </c>
      <c r="M1677" s="21" t="e">
        <f t="shared" ca="1" si="34"/>
        <v>#DIV/0!</v>
      </c>
      <c r="N1677" s="20" t="str">
        <f ca="1">IFERROR(__xludf.DUMMYFUNCTION("IF(COUNTIFS($C$2:C1677, C1677, $A$2:A1677, ""&lt;="" &amp; A1677) &lt; 30, STDEV.P(FILTER($G$2:G1677, $C$2:C1677 = C1677)), STDEV.P(FILTER($G$2:G1677, $C$2:C1677 = C1677, $A$2:A1677 &gt;= A1677 - 30)))
"),"#DIV/0!")</f>
        <v>#DIV/0!</v>
      </c>
    </row>
    <row r="1678" spans="1:14" x14ac:dyDescent="0.2">
      <c r="A1678" s="41"/>
      <c r="B1678" s="40"/>
      <c r="C1678" s="40"/>
      <c r="D1678" s="31"/>
      <c r="E1678" s="31"/>
      <c r="F1678" s="31"/>
      <c r="G1678" s="19" t="e">
        <f t="shared" si="30"/>
        <v>#DIV/0!</v>
      </c>
      <c r="H1678" s="20" t="str">
        <f ca="1">IFERROR(__xludf.DUMMYFUNCTION("IF(COUNTIFS($C$2:C1678, C1678, $A$2:A1678, ""&lt;="" &amp; A1678) &lt; 30, AVERAGEIF($C$2:C1678, C1678, $G$2:G1678), AVERAGE(FILTER($G$2:G1678, $C$2:C1678 = C1678, $A$2:A1678 &gt;= A1678 - 30)))
"),"#DIV/0!")</f>
        <v>#DIV/0!</v>
      </c>
      <c r="I1678" s="20" t="e">
        <f t="shared" ca="1" si="31"/>
        <v>#DIV/0!</v>
      </c>
      <c r="J1678" s="20" t="str">
        <f ca="1">IFERROR(__xludf.DUMMYFUNCTION("IF(OR($I1678=2, $I1678=3), 0, IFERROR(COUNTIFS($C$2:C1678, $C1678, $A$2:A1678, ""&gt;""&amp;IFERROR(MAX(FILTER($A$2:A1678, $C$2:C1678=$C1678, $I$2:I1678&lt;&gt;1)), 0), $I$2:I1678, 1),1))
"),"#DIV/0!")</f>
        <v>#DIV/0!</v>
      </c>
      <c r="K1678" s="7" t="e">
        <f t="shared" ca="1" si="32"/>
        <v>#DIV/0!</v>
      </c>
      <c r="L1678" s="20" t="e">
        <f t="shared" ca="1" si="33"/>
        <v>#DIV/0!</v>
      </c>
      <c r="M1678" s="21" t="e">
        <f t="shared" ca="1" si="34"/>
        <v>#DIV/0!</v>
      </c>
      <c r="N1678" s="20" t="str">
        <f ca="1">IFERROR(__xludf.DUMMYFUNCTION("IF(COUNTIFS($C$2:C1678, C1678, $A$2:A1678, ""&lt;="" &amp; A1678) &lt; 30, STDEV.P(FILTER($G$2:G1678, $C$2:C1678 = C1678)), STDEV.P(FILTER($G$2:G1678, $C$2:C1678 = C1678, $A$2:A1678 &gt;= A1678 - 30)))
"),"#DIV/0!")</f>
        <v>#DIV/0!</v>
      </c>
    </row>
    <row r="1679" spans="1:14" x14ac:dyDescent="0.2">
      <c r="A1679" s="41"/>
      <c r="B1679" s="40"/>
      <c r="C1679" s="40"/>
      <c r="D1679" s="31"/>
      <c r="E1679" s="31"/>
      <c r="F1679" s="31"/>
      <c r="G1679" s="19" t="e">
        <f t="shared" si="30"/>
        <v>#DIV/0!</v>
      </c>
      <c r="H1679" s="20" t="str">
        <f ca="1">IFERROR(__xludf.DUMMYFUNCTION("IF(COUNTIFS($C$2:C1679, C1679, $A$2:A1679, ""&lt;="" &amp; A1679) &lt; 30, AVERAGEIF($C$2:C1679, C1679, $G$2:G1679), AVERAGE(FILTER($G$2:G1679, $C$2:C1679 = C1679, $A$2:A1679 &gt;= A1679 - 30)))
"),"#DIV/0!")</f>
        <v>#DIV/0!</v>
      </c>
      <c r="I1679" s="20" t="e">
        <f t="shared" ca="1" si="31"/>
        <v>#DIV/0!</v>
      </c>
      <c r="J1679" s="20" t="str">
        <f ca="1">IFERROR(__xludf.DUMMYFUNCTION("IF(OR($I1679=2, $I1679=3), 0, IFERROR(COUNTIFS($C$2:C1679, $C1679, $A$2:A1679, ""&gt;""&amp;IFERROR(MAX(FILTER($A$2:A1679, $C$2:C1679=$C1679, $I$2:I1679&lt;&gt;1)), 0), $I$2:I1679, 1),1))
"),"#DIV/0!")</f>
        <v>#DIV/0!</v>
      </c>
      <c r="K1679" s="7" t="e">
        <f t="shared" ca="1" si="32"/>
        <v>#DIV/0!</v>
      </c>
      <c r="L1679" s="20" t="e">
        <f t="shared" ca="1" si="33"/>
        <v>#DIV/0!</v>
      </c>
      <c r="M1679" s="21" t="e">
        <f t="shared" ca="1" si="34"/>
        <v>#DIV/0!</v>
      </c>
      <c r="N1679" s="20" t="str">
        <f ca="1">IFERROR(__xludf.DUMMYFUNCTION("IF(COUNTIFS($C$2:C1679, C1679, $A$2:A1679, ""&lt;="" &amp; A1679) &lt; 30, STDEV.P(FILTER($G$2:G1679, $C$2:C1679 = C1679)), STDEV.P(FILTER($G$2:G1679, $C$2:C1679 = C1679, $A$2:A1679 &gt;= A1679 - 30)))
"),"#DIV/0!")</f>
        <v>#DIV/0!</v>
      </c>
    </row>
    <row r="1680" spans="1:14" x14ac:dyDescent="0.2">
      <c r="A1680" s="41"/>
      <c r="B1680" s="40"/>
      <c r="C1680" s="40"/>
      <c r="D1680" s="31"/>
      <c r="E1680" s="31"/>
      <c r="F1680" s="31"/>
      <c r="G1680" s="19" t="e">
        <f t="shared" si="30"/>
        <v>#DIV/0!</v>
      </c>
      <c r="H1680" s="20" t="str">
        <f ca="1">IFERROR(__xludf.DUMMYFUNCTION("IF(COUNTIFS($C$2:C1680, C1680, $A$2:A1680, ""&lt;="" &amp; A1680) &lt; 30, AVERAGEIF($C$2:C1680, C1680, $G$2:G1680), AVERAGE(FILTER($G$2:G1680, $C$2:C1680 = C1680, $A$2:A1680 &gt;= A1680 - 30)))
"),"#DIV/0!")</f>
        <v>#DIV/0!</v>
      </c>
      <c r="I1680" s="20" t="e">
        <f t="shared" ca="1" si="31"/>
        <v>#DIV/0!</v>
      </c>
      <c r="J1680" s="20" t="str">
        <f ca="1">IFERROR(__xludf.DUMMYFUNCTION("IF(OR($I1680=2, $I1680=3), 0, IFERROR(COUNTIFS($C$2:C1680, $C1680, $A$2:A1680, ""&gt;""&amp;IFERROR(MAX(FILTER($A$2:A1680, $C$2:C1680=$C1680, $I$2:I1680&lt;&gt;1)), 0), $I$2:I1680, 1),1))
"),"#DIV/0!")</f>
        <v>#DIV/0!</v>
      </c>
      <c r="K1680" s="7" t="e">
        <f t="shared" ca="1" si="32"/>
        <v>#DIV/0!</v>
      </c>
      <c r="L1680" s="20" t="e">
        <f t="shared" ca="1" si="33"/>
        <v>#DIV/0!</v>
      </c>
      <c r="M1680" s="21" t="e">
        <f t="shared" ca="1" si="34"/>
        <v>#DIV/0!</v>
      </c>
      <c r="N1680" s="20" t="str">
        <f ca="1">IFERROR(__xludf.DUMMYFUNCTION("IF(COUNTIFS($C$2:C1680, C1680, $A$2:A1680, ""&lt;="" &amp; A1680) &lt; 30, STDEV.P(FILTER($G$2:G1680, $C$2:C1680 = C1680)), STDEV.P(FILTER($G$2:G1680, $C$2:C1680 = C1680, $A$2:A1680 &gt;= A1680 - 30)))
"),"#DIV/0!")</f>
        <v>#DIV/0!</v>
      </c>
    </row>
    <row r="1681" spans="1:14" x14ac:dyDescent="0.2">
      <c r="A1681" s="41"/>
      <c r="B1681" s="40"/>
      <c r="C1681" s="40"/>
      <c r="D1681" s="31"/>
      <c r="E1681" s="31"/>
      <c r="F1681" s="31"/>
      <c r="G1681" s="19" t="e">
        <f t="shared" si="30"/>
        <v>#DIV/0!</v>
      </c>
      <c r="H1681" s="20" t="str">
        <f ca="1">IFERROR(__xludf.DUMMYFUNCTION("IF(COUNTIFS($C$2:C1681, C1681, $A$2:A1681, ""&lt;="" &amp; A1681) &lt; 30, AVERAGEIF($C$2:C1681, C1681, $G$2:G1681), AVERAGE(FILTER($G$2:G1681, $C$2:C1681 = C1681, $A$2:A1681 &gt;= A1681 - 30)))
"),"#DIV/0!")</f>
        <v>#DIV/0!</v>
      </c>
      <c r="I1681" s="20" t="e">
        <f t="shared" ca="1" si="31"/>
        <v>#DIV/0!</v>
      </c>
      <c r="J1681" s="20" t="str">
        <f ca="1">IFERROR(__xludf.DUMMYFUNCTION("IF(OR($I1681=2, $I1681=3), 0, IFERROR(COUNTIFS($C$2:C1681, $C1681, $A$2:A1681, ""&gt;""&amp;IFERROR(MAX(FILTER($A$2:A1681, $C$2:C1681=$C1681, $I$2:I1681&lt;&gt;1)), 0), $I$2:I1681, 1),1))
"),"#DIV/0!")</f>
        <v>#DIV/0!</v>
      </c>
      <c r="K1681" s="7" t="e">
        <f t="shared" ca="1" si="32"/>
        <v>#DIV/0!</v>
      </c>
      <c r="L1681" s="20" t="e">
        <f t="shared" ca="1" si="33"/>
        <v>#DIV/0!</v>
      </c>
      <c r="M1681" s="21" t="e">
        <f t="shared" ca="1" si="34"/>
        <v>#DIV/0!</v>
      </c>
      <c r="N1681" s="20" t="str">
        <f ca="1">IFERROR(__xludf.DUMMYFUNCTION("IF(COUNTIFS($C$2:C1681, C1681, $A$2:A1681, ""&lt;="" &amp; A1681) &lt; 30, STDEV.P(FILTER($G$2:G1681, $C$2:C1681 = C1681)), STDEV.P(FILTER($G$2:G1681, $C$2:C1681 = C1681, $A$2:A1681 &gt;= A1681 - 30)))
"),"#DIV/0!")</f>
        <v>#DIV/0!</v>
      </c>
    </row>
    <row r="1682" spans="1:14" x14ac:dyDescent="0.2">
      <c r="A1682" s="41"/>
      <c r="B1682" s="40"/>
      <c r="C1682" s="40"/>
      <c r="D1682" s="31"/>
      <c r="E1682" s="31"/>
      <c r="F1682" s="31"/>
      <c r="G1682" s="19" t="e">
        <f t="shared" si="30"/>
        <v>#DIV/0!</v>
      </c>
      <c r="H1682" s="20" t="str">
        <f ca="1">IFERROR(__xludf.DUMMYFUNCTION("IF(COUNTIFS($C$2:C1682, C1682, $A$2:A1682, ""&lt;="" &amp; A1682) &lt; 30, AVERAGEIF($C$2:C1682, C1682, $G$2:G1682), AVERAGE(FILTER($G$2:G1682, $C$2:C1682 = C1682, $A$2:A1682 &gt;= A1682 - 30)))
"),"#DIV/0!")</f>
        <v>#DIV/0!</v>
      </c>
      <c r="I1682" s="20" t="e">
        <f t="shared" ca="1" si="31"/>
        <v>#DIV/0!</v>
      </c>
      <c r="J1682" s="20" t="str">
        <f ca="1">IFERROR(__xludf.DUMMYFUNCTION("IF(OR($I1682=2, $I1682=3), 0, IFERROR(COUNTIFS($C$2:C1682, $C1682, $A$2:A1682, ""&gt;""&amp;IFERROR(MAX(FILTER($A$2:A1682, $C$2:C1682=$C1682, $I$2:I1682&lt;&gt;1)), 0), $I$2:I1682, 1),1))
"),"#DIV/0!")</f>
        <v>#DIV/0!</v>
      </c>
      <c r="K1682" s="7" t="e">
        <f t="shared" ca="1" si="32"/>
        <v>#DIV/0!</v>
      </c>
      <c r="L1682" s="20" t="e">
        <f t="shared" ca="1" si="33"/>
        <v>#DIV/0!</v>
      </c>
      <c r="M1682" s="21" t="e">
        <f t="shared" ca="1" si="34"/>
        <v>#DIV/0!</v>
      </c>
      <c r="N1682" s="20" t="str">
        <f ca="1">IFERROR(__xludf.DUMMYFUNCTION("IF(COUNTIFS($C$2:C1682, C1682, $A$2:A1682, ""&lt;="" &amp; A1682) &lt; 30, STDEV.P(FILTER($G$2:G1682, $C$2:C1682 = C1682)), STDEV.P(FILTER($G$2:G1682, $C$2:C1682 = C1682, $A$2:A1682 &gt;= A1682 - 30)))
"),"#DIV/0!")</f>
        <v>#DIV/0!</v>
      </c>
    </row>
    <row r="1683" spans="1:14" x14ac:dyDescent="0.2">
      <c r="A1683" s="41"/>
      <c r="B1683" s="40"/>
      <c r="C1683" s="40"/>
      <c r="D1683" s="31"/>
      <c r="E1683" s="31"/>
      <c r="F1683" s="31"/>
      <c r="G1683" s="19" t="e">
        <f t="shared" si="30"/>
        <v>#DIV/0!</v>
      </c>
      <c r="H1683" s="20" t="str">
        <f ca="1">IFERROR(__xludf.DUMMYFUNCTION("IF(COUNTIFS($C$2:C1683, C1683, $A$2:A1683, ""&lt;="" &amp; A1683) &lt; 30, AVERAGEIF($C$2:C1683, C1683, $G$2:G1683), AVERAGE(FILTER($G$2:G1683, $C$2:C1683 = C1683, $A$2:A1683 &gt;= A1683 - 30)))
"),"#DIV/0!")</f>
        <v>#DIV/0!</v>
      </c>
      <c r="I1683" s="20" t="e">
        <f t="shared" ca="1" si="31"/>
        <v>#DIV/0!</v>
      </c>
      <c r="J1683" s="20" t="str">
        <f ca="1">IFERROR(__xludf.DUMMYFUNCTION("IF(OR($I1683=2, $I1683=3), 0, IFERROR(COUNTIFS($C$2:C1683, $C1683, $A$2:A1683, ""&gt;""&amp;IFERROR(MAX(FILTER($A$2:A1683, $C$2:C1683=$C1683, $I$2:I1683&lt;&gt;1)), 0), $I$2:I1683, 1),1))
"),"#DIV/0!")</f>
        <v>#DIV/0!</v>
      </c>
      <c r="K1683" s="7" t="e">
        <f t="shared" ca="1" si="32"/>
        <v>#DIV/0!</v>
      </c>
      <c r="L1683" s="20" t="e">
        <f t="shared" ca="1" si="33"/>
        <v>#DIV/0!</v>
      </c>
      <c r="M1683" s="21" t="e">
        <f t="shared" ca="1" si="34"/>
        <v>#DIV/0!</v>
      </c>
      <c r="N1683" s="20" t="str">
        <f ca="1">IFERROR(__xludf.DUMMYFUNCTION("IF(COUNTIFS($C$2:C1683, C1683, $A$2:A1683, ""&lt;="" &amp; A1683) &lt; 30, STDEV.P(FILTER($G$2:G1683, $C$2:C1683 = C1683)), STDEV.P(FILTER($G$2:G1683, $C$2:C1683 = C1683, $A$2:A1683 &gt;= A1683 - 30)))
"),"#DIV/0!")</f>
        <v>#DIV/0!</v>
      </c>
    </row>
    <row r="1684" spans="1:14" x14ac:dyDescent="0.2">
      <c r="A1684" s="41"/>
      <c r="B1684" s="40"/>
      <c r="C1684" s="40"/>
      <c r="D1684" s="31"/>
      <c r="E1684" s="31"/>
      <c r="F1684" s="31"/>
      <c r="G1684" s="19" t="e">
        <f t="shared" si="30"/>
        <v>#DIV/0!</v>
      </c>
      <c r="H1684" s="20" t="str">
        <f ca="1">IFERROR(__xludf.DUMMYFUNCTION("IF(COUNTIFS($C$2:C1684, C1684, $A$2:A1684, ""&lt;="" &amp; A1684) &lt; 30, AVERAGEIF($C$2:C1684, C1684, $G$2:G1684), AVERAGE(FILTER($G$2:G1684, $C$2:C1684 = C1684, $A$2:A1684 &gt;= A1684 - 30)))
"),"#DIV/0!")</f>
        <v>#DIV/0!</v>
      </c>
      <c r="I1684" s="20" t="e">
        <f t="shared" ca="1" si="31"/>
        <v>#DIV/0!</v>
      </c>
      <c r="J1684" s="20" t="str">
        <f ca="1">IFERROR(__xludf.DUMMYFUNCTION("IF(OR($I1684=2, $I1684=3), 0, IFERROR(COUNTIFS($C$2:C1684, $C1684, $A$2:A1684, ""&gt;""&amp;IFERROR(MAX(FILTER($A$2:A1684, $C$2:C1684=$C1684, $I$2:I1684&lt;&gt;1)), 0), $I$2:I1684, 1),1))
"),"#DIV/0!")</f>
        <v>#DIV/0!</v>
      </c>
      <c r="K1684" s="7" t="e">
        <f t="shared" ca="1" si="32"/>
        <v>#DIV/0!</v>
      </c>
      <c r="L1684" s="20" t="e">
        <f t="shared" ca="1" si="33"/>
        <v>#DIV/0!</v>
      </c>
      <c r="M1684" s="21" t="e">
        <f t="shared" ca="1" si="34"/>
        <v>#DIV/0!</v>
      </c>
      <c r="N1684" s="20" t="str">
        <f ca="1">IFERROR(__xludf.DUMMYFUNCTION("IF(COUNTIFS($C$2:C1684, C1684, $A$2:A1684, ""&lt;="" &amp; A1684) &lt; 30, STDEV.P(FILTER($G$2:G1684, $C$2:C1684 = C1684)), STDEV.P(FILTER($G$2:G1684, $C$2:C1684 = C1684, $A$2:A1684 &gt;= A1684 - 30)))
"),"#DIV/0!")</f>
        <v>#DIV/0!</v>
      </c>
    </row>
    <row r="1685" spans="1:14" x14ac:dyDescent="0.2">
      <c r="A1685" s="41"/>
      <c r="B1685" s="40"/>
      <c r="C1685" s="40"/>
      <c r="D1685" s="31"/>
      <c r="E1685" s="31"/>
      <c r="F1685" s="31"/>
      <c r="G1685" s="19" t="e">
        <f t="shared" si="30"/>
        <v>#DIV/0!</v>
      </c>
      <c r="H1685" s="20" t="str">
        <f ca="1">IFERROR(__xludf.DUMMYFUNCTION("IF(COUNTIFS($C$2:C1685, C1685, $A$2:A1685, ""&lt;="" &amp; A1685) &lt; 30, AVERAGEIF($C$2:C1685, C1685, $G$2:G1685), AVERAGE(FILTER($G$2:G1685, $C$2:C1685 = C1685, $A$2:A1685 &gt;= A1685 - 30)))
"),"#DIV/0!")</f>
        <v>#DIV/0!</v>
      </c>
      <c r="I1685" s="20" t="e">
        <f t="shared" ca="1" si="31"/>
        <v>#DIV/0!</v>
      </c>
      <c r="J1685" s="20" t="str">
        <f ca="1">IFERROR(__xludf.DUMMYFUNCTION("IF(OR($I1685=2, $I1685=3), 0, IFERROR(COUNTIFS($C$2:C1685, $C1685, $A$2:A1685, ""&gt;""&amp;IFERROR(MAX(FILTER($A$2:A1685, $C$2:C1685=$C1685, $I$2:I1685&lt;&gt;1)), 0), $I$2:I1685, 1),1))
"),"#DIV/0!")</f>
        <v>#DIV/0!</v>
      </c>
      <c r="K1685" s="7" t="e">
        <f t="shared" ca="1" si="32"/>
        <v>#DIV/0!</v>
      </c>
      <c r="L1685" s="20" t="e">
        <f t="shared" ca="1" si="33"/>
        <v>#DIV/0!</v>
      </c>
      <c r="M1685" s="21" t="e">
        <f t="shared" ca="1" si="34"/>
        <v>#DIV/0!</v>
      </c>
      <c r="N1685" s="20" t="str">
        <f ca="1">IFERROR(__xludf.DUMMYFUNCTION("IF(COUNTIFS($C$2:C1685, C1685, $A$2:A1685, ""&lt;="" &amp; A1685) &lt; 30, STDEV.P(FILTER($G$2:G1685, $C$2:C1685 = C1685)), STDEV.P(FILTER($G$2:G1685, $C$2:C1685 = C1685, $A$2:A1685 &gt;= A1685 - 30)))
"),"#DIV/0!")</f>
        <v>#DIV/0!</v>
      </c>
    </row>
    <row r="1686" spans="1:14" x14ac:dyDescent="0.2">
      <c r="A1686" s="41"/>
      <c r="B1686" s="40"/>
      <c r="C1686" s="40"/>
      <c r="D1686" s="31"/>
      <c r="E1686" s="31"/>
      <c r="F1686" s="31"/>
      <c r="G1686" s="19" t="e">
        <f t="shared" si="30"/>
        <v>#DIV/0!</v>
      </c>
      <c r="H1686" s="20" t="str">
        <f ca="1">IFERROR(__xludf.DUMMYFUNCTION("IF(COUNTIFS($C$2:C1686, C1686, $A$2:A1686, ""&lt;="" &amp; A1686) &lt; 30, AVERAGEIF($C$2:C1686, C1686, $G$2:G1686), AVERAGE(FILTER($G$2:G1686, $C$2:C1686 = C1686, $A$2:A1686 &gt;= A1686 - 30)))
"),"#DIV/0!")</f>
        <v>#DIV/0!</v>
      </c>
      <c r="I1686" s="20" t="e">
        <f t="shared" ca="1" si="31"/>
        <v>#DIV/0!</v>
      </c>
      <c r="J1686" s="20" t="str">
        <f ca="1">IFERROR(__xludf.DUMMYFUNCTION("IF(OR($I1686=2, $I1686=3), 0, IFERROR(COUNTIFS($C$2:C1686, $C1686, $A$2:A1686, ""&gt;""&amp;IFERROR(MAX(FILTER($A$2:A1686, $C$2:C1686=$C1686, $I$2:I1686&lt;&gt;1)), 0), $I$2:I1686, 1),1))
"),"#DIV/0!")</f>
        <v>#DIV/0!</v>
      </c>
      <c r="K1686" s="7" t="e">
        <f t="shared" ca="1" si="32"/>
        <v>#DIV/0!</v>
      </c>
      <c r="L1686" s="20" t="e">
        <f t="shared" ca="1" si="33"/>
        <v>#DIV/0!</v>
      </c>
      <c r="M1686" s="21" t="e">
        <f t="shared" ca="1" si="34"/>
        <v>#DIV/0!</v>
      </c>
      <c r="N1686" s="20" t="str">
        <f ca="1">IFERROR(__xludf.DUMMYFUNCTION("IF(COUNTIFS($C$2:C1686, C1686, $A$2:A1686, ""&lt;="" &amp; A1686) &lt; 30, STDEV.P(FILTER($G$2:G1686, $C$2:C1686 = C1686)), STDEV.P(FILTER($G$2:G1686, $C$2:C1686 = C1686, $A$2:A1686 &gt;= A1686 - 30)))
"),"#DIV/0!")</f>
        <v>#DIV/0!</v>
      </c>
    </row>
    <row r="1687" spans="1:14" x14ac:dyDescent="0.2">
      <c r="A1687" s="41"/>
      <c r="B1687" s="40"/>
      <c r="C1687" s="40"/>
      <c r="D1687" s="31"/>
      <c r="E1687" s="31"/>
      <c r="F1687" s="31"/>
      <c r="G1687" s="19" t="e">
        <f t="shared" si="30"/>
        <v>#DIV/0!</v>
      </c>
      <c r="H1687" s="20" t="str">
        <f ca="1">IFERROR(__xludf.DUMMYFUNCTION("IF(COUNTIFS($C$2:C1687, C1687, $A$2:A1687, ""&lt;="" &amp; A1687) &lt; 30, AVERAGEIF($C$2:C1687, C1687, $G$2:G1687), AVERAGE(FILTER($G$2:G1687, $C$2:C1687 = C1687, $A$2:A1687 &gt;= A1687 - 30)))
"),"#DIV/0!")</f>
        <v>#DIV/0!</v>
      </c>
      <c r="I1687" s="20" t="e">
        <f t="shared" ca="1" si="31"/>
        <v>#DIV/0!</v>
      </c>
      <c r="J1687" s="20" t="str">
        <f ca="1">IFERROR(__xludf.DUMMYFUNCTION("IF(OR($I1687=2, $I1687=3), 0, IFERROR(COUNTIFS($C$2:C1687, $C1687, $A$2:A1687, ""&gt;""&amp;IFERROR(MAX(FILTER($A$2:A1687, $C$2:C1687=$C1687, $I$2:I1687&lt;&gt;1)), 0), $I$2:I1687, 1),1))
"),"#DIV/0!")</f>
        <v>#DIV/0!</v>
      </c>
      <c r="K1687" s="7" t="e">
        <f t="shared" ca="1" si="32"/>
        <v>#DIV/0!</v>
      </c>
      <c r="L1687" s="20" t="e">
        <f t="shared" ca="1" si="33"/>
        <v>#DIV/0!</v>
      </c>
      <c r="M1687" s="21" t="e">
        <f t="shared" ca="1" si="34"/>
        <v>#DIV/0!</v>
      </c>
      <c r="N1687" s="20" t="str">
        <f ca="1">IFERROR(__xludf.DUMMYFUNCTION("IF(COUNTIFS($C$2:C1687, C1687, $A$2:A1687, ""&lt;="" &amp; A1687) &lt; 30, STDEV.P(FILTER($G$2:G1687, $C$2:C1687 = C1687)), STDEV.P(FILTER($G$2:G1687, $C$2:C1687 = C1687, $A$2:A1687 &gt;= A1687 - 30)))
"),"#DIV/0!")</f>
        <v>#DIV/0!</v>
      </c>
    </row>
    <row r="1688" spans="1:14" x14ac:dyDescent="0.2">
      <c r="A1688" s="41"/>
      <c r="B1688" s="40"/>
      <c r="C1688" s="40"/>
      <c r="D1688" s="31"/>
      <c r="E1688" s="31"/>
      <c r="F1688" s="31"/>
      <c r="G1688" s="19" t="e">
        <f t="shared" si="30"/>
        <v>#DIV/0!</v>
      </c>
      <c r="H1688" s="20" t="str">
        <f ca="1">IFERROR(__xludf.DUMMYFUNCTION("IF(COUNTIFS($C$2:C1688, C1688, $A$2:A1688, ""&lt;="" &amp; A1688) &lt; 30, AVERAGEIF($C$2:C1688, C1688, $G$2:G1688), AVERAGE(FILTER($G$2:G1688, $C$2:C1688 = C1688, $A$2:A1688 &gt;= A1688 - 30)))
"),"#DIV/0!")</f>
        <v>#DIV/0!</v>
      </c>
      <c r="I1688" s="20" t="e">
        <f t="shared" ca="1" si="31"/>
        <v>#DIV/0!</v>
      </c>
      <c r="J1688" s="20" t="str">
        <f ca="1">IFERROR(__xludf.DUMMYFUNCTION("IF(OR($I1688=2, $I1688=3), 0, IFERROR(COUNTIFS($C$2:C1688, $C1688, $A$2:A1688, ""&gt;""&amp;IFERROR(MAX(FILTER($A$2:A1688, $C$2:C1688=$C1688, $I$2:I1688&lt;&gt;1)), 0), $I$2:I1688, 1),1))
"),"#DIV/0!")</f>
        <v>#DIV/0!</v>
      </c>
      <c r="K1688" s="7" t="e">
        <f t="shared" ca="1" si="32"/>
        <v>#DIV/0!</v>
      </c>
      <c r="L1688" s="20" t="e">
        <f t="shared" ca="1" si="33"/>
        <v>#DIV/0!</v>
      </c>
      <c r="M1688" s="21" t="e">
        <f t="shared" ca="1" si="34"/>
        <v>#DIV/0!</v>
      </c>
      <c r="N1688" s="20" t="str">
        <f ca="1">IFERROR(__xludf.DUMMYFUNCTION("IF(COUNTIFS($C$2:C1688, C1688, $A$2:A1688, ""&lt;="" &amp; A1688) &lt; 30, STDEV.P(FILTER($G$2:G1688, $C$2:C1688 = C1688)), STDEV.P(FILTER($G$2:G1688, $C$2:C1688 = C1688, $A$2:A1688 &gt;= A1688 - 30)))
"),"#DIV/0!")</f>
        <v>#DIV/0!</v>
      </c>
    </row>
    <row r="1689" spans="1:14" x14ac:dyDescent="0.2">
      <c r="A1689" s="41"/>
      <c r="B1689" s="40"/>
      <c r="C1689" s="40"/>
      <c r="D1689" s="31"/>
      <c r="E1689" s="31"/>
      <c r="F1689" s="31"/>
      <c r="G1689" s="19" t="e">
        <f t="shared" si="30"/>
        <v>#DIV/0!</v>
      </c>
      <c r="H1689" s="20" t="str">
        <f ca="1">IFERROR(__xludf.DUMMYFUNCTION("IF(COUNTIFS($C$2:C1689, C1689, $A$2:A1689, ""&lt;="" &amp; A1689) &lt; 30, AVERAGEIF($C$2:C1689, C1689, $G$2:G1689), AVERAGE(FILTER($G$2:G1689, $C$2:C1689 = C1689, $A$2:A1689 &gt;= A1689 - 30)))
"),"#DIV/0!")</f>
        <v>#DIV/0!</v>
      </c>
      <c r="I1689" s="20" t="e">
        <f t="shared" ca="1" si="31"/>
        <v>#DIV/0!</v>
      </c>
      <c r="J1689" s="20" t="str">
        <f ca="1">IFERROR(__xludf.DUMMYFUNCTION("IF(OR($I1689=2, $I1689=3), 0, IFERROR(COUNTIFS($C$2:C1689, $C1689, $A$2:A1689, ""&gt;""&amp;IFERROR(MAX(FILTER($A$2:A1689, $C$2:C1689=$C1689, $I$2:I1689&lt;&gt;1)), 0), $I$2:I1689, 1),1))
"),"#DIV/0!")</f>
        <v>#DIV/0!</v>
      </c>
      <c r="K1689" s="7" t="e">
        <f t="shared" ca="1" si="32"/>
        <v>#DIV/0!</v>
      </c>
      <c r="L1689" s="20" t="e">
        <f t="shared" ca="1" si="33"/>
        <v>#DIV/0!</v>
      </c>
      <c r="M1689" s="21" t="e">
        <f t="shared" ca="1" si="34"/>
        <v>#DIV/0!</v>
      </c>
      <c r="N1689" s="20" t="str">
        <f ca="1">IFERROR(__xludf.DUMMYFUNCTION("IF(COUNTIFS($C$2:C1689, C1689, $A$2:A1689, ""&lt;="" &amp; A1689) &lt; 30, STDEV.P(FILTER($G$2:G1689, $C$2:C1689 = C1689)), STDEV.P(FILTER($G$2:G1689, $C$2:C1689 = C1689, $A$2:A1689 &gt;= A1689 - 30)))
"),"#DIV/0!")</f>
        <v>#DIV/0!</v>
      </c>
    </row>
    <row r="1690" spans="1:14" x14ac:dyDescent="0.2">
      <c r="A1690" s="41"/>
      <c r="B1690" s="40"/>
      <c r="C1690" s="40"/>
      <c r="D1690" s="31"/>
      <c r="E1690" s="31"/>
      <c r="F1690" s="31"/>
      <c r="G1690" s="19" t="e">
        <f t="shared" si="30"/>
        <v>#DIV/0!</v>
      </c>
      <c r="H1690" s="20" t="str">
        <f ca="1">IFERROR(__xludf.DUMMYFUNCTION("IF(COUNTIFS($C$2:C1690, C1690, $A$2:A1690, ""&lt;="" &amp; A1690) &lt; 30, AVERAGEIF($C$2:C1690, C1690, $G$2:G1690), AVERAGE(FILTER($G$2:G1690, $C$2:C1690 = C1690, $A$2:A1690 &gt;= A1690 - 30)))
"),"#DIV/0!")</f>
        <v>#DIV/0!</v>
      </c>
      <c r="I1690" s="20" t="e">
        <f t="shared" ca="1" si="31"/>
        <v>#DIV/0!</v>
      </c>
      <c r="J1690" s="20" t="str">
        <f ca="1">IFERROR(__xludf.DUMMYFUNCTION("IF(OR($I1690=2, $I1690=3), 0, IFERROR(COUNTIFS($C$2:C1690, $C1690, $A$2:A1690, ""&gt;""&amp;IFERROR(MAX(FILTER($A$2:A1690, $C$2:C1690=$C1690, $I$2:I1690&lt;&gt;1)), 0), $I$2:I1690, 1),1))
"),"#DIV/0!")</f>
        <v>#DIV/0!</v>
      </c>
      <c r="K1690" s="7" t="e">
        <f t="shared" ca="1" si="32"/>
        <v>#DIV/0!</v>
      </c>
      <c r="L1690" s="20" t="e">
        <f t="shared" ca="1" si="33"/>
        <v>#DIV/0!</v>
      </c>
      <c r="M1690" s="21" t="e">
        <f t="shared" ca="1" si="34"/>
        <v>#DIV/0!</v>
      </c>
      <c r="N1690" s="20" t="str">
        <f ca="1">IFERROR(__xludf.DUMMYFUNCTION("IF(COUNTIFS($C$2:C1690, C1690, $A$2:A1690, ""&lt;="" &amp; A1690) &lt; 30, STDEV.P(FILTER($G$2:G1690, $C$2:C1690 = C1690)), STDEV.P(FILTER($G$2:G1690, $C$2:C1690 = C1690, $A$2:A1690 &gt;= A1690 - 30)))
"),"#DIV/0!")</f>
        <v>#DIV/0!</v>
      </c>
    </row>
    <row r="1691" spans="1:14" x14ac:dyDescent="0.2">
      <c r="A1691" s="41"/>
      <c r="B1691" s="40"/>
      <c r="C1691" s="40"/>
      <c r="D1691" s="31"/>
      <c r="E1691" s="31"/>
      <c r="F1691" s="31"/>
      <c r="G1691" s="19" t="e">
        <f t="shared" si="30"/>
        <v>#DIV/0!</v>
      </c>
      <c r="H1691" s="20" t="str">
        <f ca="1">IFERROR(__xludf.DUMMYFUNCTION("IF(COUNTIFS($C$2:C1691, C1691, $A$2:A1691, ""&lt;="" &amp; A1691) &lt; 30, AVERAGEIF($C$2:C1691, C1691, $G$2:G1691), AVERAGE(FILTER($G$2:G1691, $C$2:C1691 = C1691, $A$2:A1691 &gt;= A1691 - 30)))
"),"#DIV/0!")</f>
        <v>#DIV/0!</v>
      </c>
      <c r="I1691" s="20" t="e">
        <f t="shared" ca="1" si="31"/>
        <v>#DIV/0!</v>
      </c>
      <c r="J1691" s="20" t="str">
        <f ca="1">IFERROR(__xludf.DUMMYFUNCTION("IF(OR($I1691=2, $I1691=3), 0, IFERROR(COUNTIFS($C$2:C1691, $C1691, $A$2:A1691, ""&gt;""&amp;IFERROR(MAX(FILTER($A$2:A1691, $C$2:C1691=$C1691, $I$2:I1691&lt;&gt;1)), 0), $I$2:I1691, 1),1))
"),"#DIV/0!")</f>
        <v>#DIV/0!</v>
      </c>
      <c r="K1691" s="7" t="e">
        <f t="shared" ca="1" si="32"/>
        <v>#DIV/0!</v>
      </c>
      <c r="L1691" s="20" t="e">
        <f t="shared" ca="1" si="33"/>
        <v>#DIV/0!</v>
      </c>
      <c r="M1691" s="21" t="e">
        <f t="shared" ca="1" si="34"/>
        <v>#DIV/0!</v>
      </c>
      <c r="N1691" s="20" t="str">
        <f ca="1">IFERROR(__xludf.DUMMYFUNCTION("IF(COUNTIFS($C$2:C1691, C1691, $A$2:A1691, ""&lt;="" &amp; A1691) &lt; 30, STDEV.P(FILTER($G$2:G1691, $C$2:C1691 = C1691)), STDEV.P(FILTER($G$2:G1691, $C$2:C1691 = C1691, $A$2:A1691 &gt;= A1691 - 30)))
"),"#DIV/0!")</f>
        <v>#DIV/0!</v>
      </c>
    </row>
    <row r="1692" spans="1:14" x14ac:dyDescent="0.2">
      <c r="A1692" s="41"/>
      <c r="B1692" s="40"/>
      <c r="C1692" s="40"/>
      <c r="D1692" s="31"/>
      <c r="E1692" s="31"/>
      <c r="F1692" s="31"/>
      <c r="G1692" s="19" t="e">
        <f t="shared" si="30"/>
        <v>#DIV/0!</v>
      </c>
      <c r="H1692" s="20" t="str">
        <f ca="1">IFERROR(__xludf.DUMMYFUNCTION("IF(COUNTIFS($C$2:C1692, C1692, $A$2:A1692, ""&lt;="" &amp; A1692) &lt; 30, AVERAGEIF($C$2:C1692, C1692, $G$2:G1692), AVERAGE(FILTER($G$2:G1692, $C$2:C1692 = C1692, $A$2:A1692 &gt;= A1692 - 30)))
"),"#DIV/0!")</f>
        <v>#DIV/0!</v>
      </c>
      <c r="I1692" s="20" t="e">
        <f t="shared" ca="1" si="31"/>
        <v>#DIV/0!</v>
      </c>
      <c r="J1692" s="20" t="str">
        <f ca="1">IFERROR(__xludf.DUMMYFUNCTION("IF(OR($I1692=2, $I1692=3), 0, IFERROR(COUNTIFS($C$2:C1692, $C1692, $A$2:A1692, ""&gt;""&amp;IFERROR(MAX(FILTER($A$2:A1692, $C$2:C1692=$C1692, $I$2:I1692&lt;&gt;1)), 0), $I$2:I1692, 1),1))
"),"#DIV/0!")</f>
        <v>#DIV/0!</v>
      </c>
      <c r="K1692" s="7" t="e">
        <f t="shared" ca="1" si="32"/>
        <v>#DIV/0!</v>
      </c>
      <c r="L1692" s="20" t="e">
        <f t="shared" ca="1" si="33"/>
        <v>#DIV/0!</v>
      </c>
      <c r="M1692" s="21" t="e">
        <f t="shared" ca="1" si="34"/>
        <v>#DIV/0!</v>
      </c>
      <c r="N1692" s="20" t="str">
        <f ca="1">IFERROR(__xludf.DUMMYFUNCTION("IF(COUNTIFS($C$2:C1692, C1692, $A$2:A1692, ""&lt;="" &amp; A1692) &lt; 30, STDEV.P(FILTER($G$2:G1692, $C$2:C1692 = C1692)), STDEV.P(FILTER($G$2:G1692, $C$2:C1692 = C1692, $A$2:A1692 &gt;= A1692 - 30)))
"),"#DIV/0!")</f>
        <v>#DIV/0!</v>
      </c>
    </row>
    <row r="1693" spans="1:14" x14ac:dyDescent="0.2">
      <c r="A1693" s="41"/>
      <c r="B1693" s="40"/>
      <c r="C1693" s="40"/>
      <c r="D1693" s="31"/>
      <c r="E1693" s="31"/>
      <c r="F1693" s="31"/>
      <c r="G1693" s="19" t="e">
        <f t="shared" si="30"/>
        <v>#DIV/0!</v>
      </c>
      <c r="H1693" s="20" t="str">
        <f ca="1">IFERROR(__xludf.DUMMYFUNCTION("IF(COUNTIFS($C$2:C1693, C1693, $A$2:A1693, ""&lt;="" &amp; A1693) &lt; 30, AVERAGEIF($C$2:C1693, C1693, $G$2:G1693), AVERAGE(FILTER($G$2:G1693, $C$2:C1693 = C1693, $A$2:A1693 &gt;= A1693 - 30)))
"),"#DIV/0!")</f>
        <v>#DIV/0!</v>
      </c>
      <c r="I1693" s="20" t="e">
        <f t="shared" ca="1" si="31"/>
        <v>#DIV/0!</v>
      </c>
      <c r="J1693" s="20" t="str">
        <f ca="1">IFERROR(__xludf.DUMMYFUNCTION("IF(OR($I1693=2, $I1693=3), 0, IFERROR(COUNTIFS($C$2:C1693, $C1693, $A$2:A1693, ""&gt;""&amp;IFERROR(MAX(FILTER($A$2:A1693, $C$2:C1693=$C1693, $I$2:I1693&lt;&gt;1)), 0), $I$2:I1693, 1),1))
"),"#DIV/0!")</f>
        <v>#DIV/0!</v>
      </c>
      <c r="K1693" s="7" t="e">
        <f t="shared" ca="1" si="32"/>
        <v>#DIV/0!</v>
      </c>
      <c r="L1693" s="20" t="e">
        <f t="shared" ca="1" si="33"/>
        <v>#DIV/0!</v>
      </c>
      <c r="M1693" s="21" t="e">
        <f t="shared" ca="1" si="34"/>
        <v>#DIV/0!</v>
      </c>
      <c r="N1693" s="20" t="str">
        <f ca="1">IFERROR(__xludf.DUMMYFUNCTION("IF(COUNTIFS($C$2:C1693, C1693, $A$2:A1693, ""&lt;="" &amp; A1693) &lt; 30, STDEV.P(FILTER($G$2:G1693, $C$2:C1693 = C1693)), STDEV.P(FILTER($G$2:G1693, $C$2:C1693 = C1693, $A$2:A1693 &gt;= A1693 - 30)))
"),"#DIV/0!")</f>
        <v>#DIV/0!</v>
      </c>
    </row>
    <row r="1694" spans="1:14" x14ac:dyDescent="0.2">
      <c r="A1694" s="41"/>
      <c r="B1694" s="40"/>
      <c r="C1694" s="40"/>
      <c r="D1694" s="31"/>
      <c r="E1694" s="31"/>
      <c r="F1694" s="31"/>
      <c r="G1694" s="19" t="e">
        <f t="shared" si="30"/>
        <v>#DIV/0!</v>
      </c>
      <c r="H1694" s="20" t="str">
        <f ca="1">IFERROR(__xludf.DUMMYFUNCTION("IF(COUNTIFS($C$2:C1694, C1694, $A$2:A1694, ""&lt;="" &amp; A1694) &lt; 30, AVERAGEIF($C$2:C1694, C1694, $G$2:G1694), AVERAGE(FILTER($G$2:G1694, $C$2:C1694 = C1694, $A$2:A1694 &gt;= A1694 - 30)))
"),"#DIV/0!")</f>
        <v>#DIV/0!</v>
      </c>
      <c r="I1694" s="20" t="e">
        <f t="shared" ca="1" si="31"/>
        <v>#DIV/0!</v>
      </c>
      <c r="J1694" s="20" t="str">
        <f ca="1">IFERROR(__xludf.DUMMYFUNCTION("IF(OR($I1694=2, $I1694=3), 0, IFERROR(COUNTIFS($C$2:C1694, $C1694, $A$2:A1694, ""&gt;""&amp;IFERROR(MAX(FILTER($A$2:A1694, $C$2:C1694=$C1694, $I$2:I1694&lt;&gt;1)), 0), $I$2:I1694, 1),1))
"),"#DIV/0!")</f>
        <v>#DIV/0!</v>
      </c>
      <c r="K1694" s="7" t="e">
        <f t="shared" ca="1" si="32"/>
        <v>#DIV/0!</v>
      </c>
      <c r="L1694" s="20" t="e">
        <f t="shared" ca="1" si="33"/>
        <v>#DIV/0!</v>
      </c>
      <c r="M1694" s="21" t="e">
        <f t="shared" ca="1" si="34"/>
        <v>#DIV/0!</v>
      </c>
      <c r="N1694" s="20" t="str">
        <f ca="1">IFERROR(__xludf.DUMMYFUNCTION("IF(COUNTIFS($C$2:C1694, C1694, $A$2:A1694, ""&lt;="" &amp; A1694) &lt; 30, STDEV.P(FILTER($G$2:G1694, $C$2:C1694 = C1694)), STDEV.P(FILTER($G$2:G1694, $C$2:C1694 = C1694, $A$2:A1694 &gt;= A1694 - 30)))
"),"#DIV/0!")</f>
        <v>#DIV/0!</v>
      </c>
    </row>
    <row r="1695" spans="1:14" x14ac:dyDescent="0.2">
      <c r="A1695" s="41"/>
      <c r="B1695" s="40"/>
      <c r="C1695" s="40"/>
      <c r="D1695" s="31"/>
      <c r="E1695" s="31"/>
      <c r="F1695" s="31"/>
      <c r="G1695" s="19" t="e">
        <f t="shared" si="30"/>
        <v>#DIV/0!</v>
      </c>
      <c r="H1695" s="20" t="str">
        <f ca="1">IFERROR(__xludf.DUMMYFUNCTION("IF(COUNTIFS($C$2:C1695, C1695, $A$2:A1695, ""&lt;="" &amp; A1695) &lt; 30, AVERAGEIF($C$2:C1695, C1695, $G$2:G1695), AVERAGE(FILTER($G$2:G1695, $C$2:C1695 = C1695, $A$2:A1695 &gt;= A1695 - 30)))
"),"#DIV/0!")</f>
        <v>#DIV/0!</v>
      </c>
      <c r="I1695" s="20" t="e">
        <f t="shared" ca="1" si="31"/>
        <v>#DIV/0!</v>
      </c>
      <c r="J1695" s="20" t="str">
        <f ca="1">IFERROR(__xludf.DUMMYFUNCTION("IF(OR($I1695=2, $I1695=3), 0, IFERROR(COUNTIFS($C$2:C1695, $C1695, $A$2:A1695, ""&gt;""&amp;IFERROR(MAX(FILTER($A$2:A1695, $C$2:C1695=$C1695, $I$2:I1695&lt;&gt;1)), 0), $I$2:I1695, 1),1))
"),"#DIV/0!")</f>
        <v>#DIV/0!</v>
      </c>
      <c r="K1695" s="7" t="e">
        <f t="shared" ca="1" si="32"/>
        <v>#DIV/0!</v>
      </c>
      <c r="L1695" s="20" t="e">
        <f t="shared" ca="1" si="33"/>
        <v>#DIV/0!</v>
      </c>
      <c r="M1695" s="21" t="e">
        <f t="shared" ca="1" si="34"/>
        <v>#DIV/0!</v>
      </c>
      <c r="N1695" s="20" t="str">
        <f ca="1">IFERROR(__xludf.DUMMYFUNCTION("IF(COUNTIFS($C$2:C1695, C1695, $A$2:A1695, ""&lt;="" &amp; A1695) &lt; 30, STDEV.P(FILTER($G$2:G1695, $C$2:C1695 = C1695)), STDEV.P(FILTER($G$2:G1695, $C$2:C1695 = C1695, $A$2:A1695 &gt;= A1695 - 30)))
"),"#DIV/0!")</f>
        <v>#DIV/0!</v>
      </c>
    </row>
    <row r="1696" spans="1:14" x14ac:dyDescent="0.2">
      <c r="A1696" s="41"/>
      <c r="B1696" s="40"/>
      <c r="C1696" s="40"/>
      <c r="D1696" s="31"/>
      <c r="E1696" s="31"/>
      <c r="F1696" s="31"/>
      <c r="G1696" s="19" t="e">
        <f t="shared" si="30"/>
        <v>#DIV/0!</v>
      </c>
      <c r="H1696" s="20" t="str">
        <f ca="1">IFERROR(__xludf.DUMMYFUNCTION("IF(COUNTIFS($C$2:C1696, C1696, $A$2:A1696, ""&lt;="" &amp; A1696) &lt; 30, AVERAGEIF($C$2:C1696, C1696, $G$2:G1696), AVERAGE(FILTER($G$2:G1696, $C$2:C1696 = C1696, $A$2:A1696 &gt;= A1696 - 30)))
"),"#DIV/0!")</f>
        <v>#DIV/0!</v>
      </c>
      <c r="I1696" s="20" t="e">
        <f t="shared" ca="1" si="31"/>
        <v>#DIV/0!</v>
      </c>
      <c r="J1696" s="20" t="str">
        <f ca="1">IFERROR(__xludf.DUMMYFUNCTION("IF(OR($I1696=2, $I1696=3), 0, IFERROR(COUNTIFS($C$2:C1696, $C1696, $A$2:A1696, ""&gt;""&amp;IFERROR(MAX(FILTER($A$2:A1696, $C$2:C1696=$C1696, $I$2:I1696&lt;&gt;1)), 0), $I$2:I1696, 1),1))
"),"#DIV/0!")</f>
        <v>#DIV/0!</v>
      </c>
      <c r="K1696" s="7" t="e">
        <f t="shared" ca="1" si="32"/>
        <v>#DIV/0!</v>
      </c>
      <c r="L1696" s="20" t="e">
        <f t="shared" ca="1" si="33"/>
        <v>#DIV/0!</v>
      </c>
      <c r="M1696" s="21" t="e">
        <f t="shared" ca="1" si="34"/>
        <v>#DIV/0!</v>
      </c>
      <c r="N1696" s="20" t="str">
        <f ca="1">IFERROR(__xludf.DUMMYFUNCTION("IF(COUNTIFS($C$2:C1696, C1696, $A$2:A1696, ""&lt;="" &amp; A1696) &lt; 30, STDEV.P(FILTER($G$2:G1696, $C$2:C1696 = C1696)), STDEV.P(FILTER($G$2:G1696, $C$2:C1696 = C1696, $A$2:A1696 &gt;= A1696 - 30)))
"),"#DIV/0!")</f>
        <v>#DIV/0!</v>
      </c>
    </row>
    <row r="1697" spans="1:14" x14ac:dyDescent="0.2">
      <c r="A1697" s="41"/>
      <c r="B1697" s="40"/>
      <c r="C1697" s="40"/>
      <c r="D1697" s="31"/>
      <c r="E1697" s="31"/>
      <c r="F1697" s="31"/>
      <c r="G1697" s="19" t="e">
        <f t="shared" si="30"/>
        <v>#DIV/0!</v>
      </c>
      <c r="H1697" s="20" t="str">
        <f ca="1">IFERROR(__xludf.DUMMYFUNCTION("IF(COUNTIFS($C$2:C1697, C1697, $A$2:A1697, ""&lt;="" &amp; A1697) &lt; 30, AVERAGEIF($C$2:C1697, C1697, $G$2:G1697), AVERAGE(FILTER($G$2:G1697, $C$2:C1697 = C1697, $A$2:A1697 &gt;= A1697 - 30)))
"),"#DIV/0!")</f>
        <v>#DIV/0!</v>
      </c>
      <c r="I1697" s="20" t="e">
        <f t="shared" ca="1" si="31"/>
        <v>#DIV/0!</v>
      </c>
      <c r="J1697" s="20" t="str">
        <f ca="1">IFERROR(__xludf.DUMMYFUNCTION("IF(OR($I1697=2, $I1697=3), 0, IFERROR(COUNTIFS($C$2:C1697, $C1697, $A$2:A1697, ""&gt;""&amp;IFERROR(MAX(FILTER($A$2:A1697, $C$2:C1697=$C1697, $I$2:I1697&lt;&gt;1)), 0), $I$2:I1697, 1),1))
"),"#DIV/0!")</f>
        <v>#DIV/0!</v>
      </c>
      <c r="K1697" s="7" t="e">
        <f t="shared" ca="1" si="32"/>
        <v>#DIV/0!</v>
      </c>
      <c r="L1697" s="20" t="e">
        <f t="shared" ca="1" si="33"/>
        <v>#DIV/0!</v>
      </c>
      <c r="M1697" s="21" t="e">
        <f t="shared" ca="1" si="34"/>
        <v>#DIV/0!</v>
      </c>
      <c r="N1697" s="20" t="str">
        <f ca="1">IFERROR(__xludf.DUMMYFUNCTION("IF(COUNTIFS($C$2:C1697, C1697, $A$2:A1697, ""&lt;="" &amp; A1697) &lt; 30, STDEV.P(FILTER($G$2:G1697, $C$2:C1697 = C1697)), STDEV.P(FILTER($G$2:G1697, $C$2:C1697 = C1697, $A$2:A1697 &gt;= A1697 - 30)))
"),"#DIV/0!")</f>
        <v>#DIV/0!</v>
      </c>
    </row>
    <row r="1698" spans="1:14" x14ac:dyDescent="0.2">
      <c r="A1698" s="41"/>
      <c r="B1698" s="40"/>
      <c r="C1698" s="40"/>
      <c r="D1698" s="31"/>
      <c r="E1698" s="31"/>
      <c r="F1698" s="31"/>
      <c r="G1698" s="19" t="e">
        <f t="shared" si="30"/>
        <v>#DIV/0!</v>
      </c>
      <c r="H1698" s="20" t="str">
        <f ca="1">IFERROR(__xludf.DUMMYFUNCTION("IF(COUNTIFS($C$2:C1698, C1698, $A$2:A1698, ""&lt;="" &amp; A1698) &lt; 30, AVERAGEIF($C$2:C1698, C1698, $G$2:G1698), AVERAGE(FILTER($G$2:G1698, $C$2:C1698 = C1698, $A$2:A1698 &gt;= A1698 - 30)))
"),"#DIV/0!")</f>
        <v>#DIV/0!</v>
      </c>
      <c r="I1698" s="20" t="e">
        <f t="shared" ca="1" si="31"/>
        <v>#DIV/0!</v>
      </c>
      <c r="J1698" s="20" t="str">
        <f ca="1">IFERROR(__xludf.DUMMYFUNCTION("IF(OR($I1698=2, $I1698=3), 0, IFERROR(COUNTIFS($C$2:C1698, $C1698, $A$2:A1698, ""&gt;""&amp;IFERROR(MAX(FILTER($A$2:A1698, $C$2:C1698=$C1698, $I$2:I1698&lt;&gt;1)), 0), $I$2:I1698, 1),1))
"),"#DIV/0!")</f>
        <v>#DIV/0!</v>
      </c>
      <c r="K1698" s="7" t="e">
        <f t="shared" ca="1" si="32"/>
        <v>#DIV/0!</v>
      </c>
      <c r="L1698" s="20" t="e">
        <f t="shared" ca="1" si="33"/>
        <v>#DIV/0!</v>
      </c>
      <c r="M1698" s="21" t="e">
        <f t="shared" ca="1" si="34"/>
        <v>#DIV/0!</v>
      </c>
      <c r="N1698" s="20" t="str">
        <f ca="1">IFERROR(__xludf.DUMMYFUNCTION("IF(COUNTIFS($C$2:C1698, C1698, $A$2:A1698, ""&lt;="" &amp; A1698) &lt; 30, STDEV.P(FILTER($G$2:G1698, $C$2:C1698 = C1698)), STDEV.P(FILTER($G$2:G1698, $C$2:C1698 = C1698, $A$2:A1698 &gt;= A1698 - 30)))
"),"#DIV/0!")</f>
        <v>#DIV/0!</v>
      </c>
    </row>
    <row r="1699" spans="1:14" x14ac:dyDescent="0.2">
      <c r="A1699" s="41"/>
      <c r="B1699" s="40"/>
      <c r="C1699" s="40"/>
      <c r="D1699" s="31"/>
      <c r="E1699" s="31"/>
      <c r="F1699" s="31"/>
      <c r="G1699" s="19" t="e">
        <f t="shared" si="30"/>
        <v>#DIV/0!</v>
      </c>
      <c r="H1699" s="20" t="str">
        <f ca="1">IFERROR(__xludf.DUMMYFUNCTION("IF(COUNTIFS($C$2:C1699, C1699, $A$2:A1699, ""&lt;="" &amp; A1699) &lt; 30, AVERAGEIF($C$2:C1699, C1699, $G$2:G1699), AVERAGE(FILTER($G$2:G1699, $C$2:C1699 = C1699, $A$2:A1699 &gt;= A1699 - 30)))
"),"#DIV/0!")</f>
        <v>#DIV/0!</v>
      </c>
      <c r="I1699" s="20" t="e">
        <f t="shared" ca="1" si="31"/>
        <v>#DIV/0!</v>
      </c>
      <c r="J1699" s="20" t="str">
        <f ca="1">IFERROR(__xludf.DUMMYFUNCTION("IF(OR($I1699=2, $I1699=3), 0, IFERROR(COUNTIFS($C$2:C1699, $C1699, $A$2:A1699, ""&gt;""&amp;IFERROR(MAX(FILTER($A$2:A1699, $C$2:C1699=$C1699, $I$2:I1699&lt;&gt;1)), 0), $I$2:I1699, 1),1))
"),"#DIV/0!")</f>
        <v>#DIV/0!</v>
      </c>
      <c r="K1699" s="7" t="e">
        <f t="shared" ca="1" si="32"/>
        <v>#DIV/0!</v>
      </c>
      <c r="L1699" s="20" t="e">
        <f t="shared" ca="1" si="33"/>
        <v>#DIV/0!</v>
      </c>
      <c r="M1699" s="21" t="e">
        <f t="shared" ca="1" si="34"/>
        <v>#DIV/0!</v>
      </c>
      <c r="N1699" s="20" t="str">
        <f ca="1">IFERROR(__xludf.DUMMYFUNCTION("IF(COUNTIFS($C$2:C1699, C1699, $A$2:A1699, ""&lt;="" &amp; A1699) &lt; 30, STDEV.P(FILTER($G$2:G1699, $C$2:C1699 = C1699)), STDEV.P(FILTER($G$2:G1699, $C$2:C1699 = C1699, $A$2:A1699 &gt;= A1699 - 30)))
"),"#DIV/0!")</f>
        <v>#DIV/0!</v>
      </c>
    </row>
    <row r="1700" spans="1:14" x14ac:dyDescent="0.2">
      <c r="A1700" s="41"/>
      <c r="B1700" s="40"/>
      <c r="C1700" s="40"/>
      <c r="D1700" s="31"/>
      <c r="E1700" s="31"/>
      <c r="F1700" s="31"/>
      <c r="G1700" s="19" t="e">
        <f t="shared" si="30"/>
        <v>#DIV/0!</v>
      </c>
      <c r="H1700" s="20" t="str">
        <f ca="1">IFERROR(__xludf.DUMMYFUNCTION("IF(COUNTIFS($C$2:C1700, C1700, $A$2:A1700, ""&lt;="" &amp; A1700) &lt; 30, AVERAGEIF($C$2:C1700, C1700, $G$2:G1700), AVERAGE(FILTER($G$2:G1700, $C$2:C1700 = C1700, $A$2:A1700 &gt;= A1700 - 30)))
"),"#DIV/0!")</f>
        <v>#DIV/0!</v>
      </c>
      <c r="I1700" s="20" t="e">
        <f t="shared" ca="1" si="31"/>
        <v>#DIV/0!</v>
      </c>
      <c r="J1700" s="20" t="str">
        <f ca="1">IFERROR(__xludf.DUMMYFUNCTION("IF(OR($I1700=2, $I1700=3), 0, IFERROR(COUNTIFS($C$2:C1700, $C1700, $A$2:A1700, ""&gt;""&amp;IFERROR(MAX(FILTER($A$2:A1700, $C$2:C1700=$C1700, $I$2:I1700&lt;&gt;1)), 0), $I$2:I1700, 1),1))
"),"#DIV/0!")</f>
        <v>#DIV/0!</v>
      </c>
      <c r="K1700" s="7" t="e">
        <f t="shared" ca="1" si="32"/>
        <v>#DIV/0!</v>
      </c>
      <c r="L1700" s="20" t="e">
        <f t="shared" ca="1" si="33"/>
        <v>#DIV/0!</v>
      </c>
      <c r="M1700" s="21" t="e">
        <f t="shared" ca="1" si="34"/>
        <v>#DIV/0!</v>
      </c>
      <c r="N1700" s="20" t="str">
        <f ca="1">IFERROR(__xludf.DUMMYFUNCTION("IF(COUNTIFS($C$2:C1700, C1700, $A$2:A1700, ""&lt;="" &amp; A1700) &lt; 30, STDEV.P(FILTER($G$2:G1700, $C$2:C1700 = C1700)), STDEV.P(FILTER($G$2:G1700, $C$2:C1700 = C1700, $A$2:A1700 &gt;= A1700 - 30)))
"),"#DIV/0!")</f>
        <v>#DIV/0!</v>
      </c>
    </row>
    <row r="1701" spans="1:14" x14ac:dyDescent="0.2">
      <c r="A1701" s="41"/>
      <c r="B1701" s="40"/>
      <c r="C1701" s="40"/>
      <c r="D1701" s="31"/>
      <c r="E1701" s="31"/>
      <c r="F1701" s="31"/>
      <c r="G1701" s="19" t="e">
        <f t="shared" si="30"/>
        <v>#DIV/0!</v>
      </c>
      <c r="H1701" s="20" t="str">
        <f ca="1">IFERROR(__xludf.DUMMYFUNCTION("IF(COUNTIFS($C$2:C1701, C1701, $A$2:A1701, ""&lt;="" &amp; A1701) &lt; 30, AVERAGEIF($C$2:C1701, C1701, $G$2:G1701), AVERAGE(FILTER($G$2:G1701, $C$2:C1701 = C1701, $A$2:A1701 &gt;= A1701 - 30)))
"),"#DIV/0!")</f>
        <v>#DIV/0!</v>
      </c>
      <c r="I1701" s="20" t="e">
        <f t="shared" ca="1" si="31"/>
        <v>#DIV/0!</v>
      </c>
      <c r="J1701" s="20" t="str">
        <f ca="1">IFERROR(__xludf.DUMMYFUNCTION("IF(OR($I1701=2, $I1701=3), 0, IFERROR(COUNTIFS($C$2:C1701, $C1701, $A$2:A1701, ""&gt;""&amp;IFERROR(MAX(FILTER($A$2:A1701, $C$2:C1701=$C1701, $I$2:I1701&lt;&gt;1)), 0), $I$2:I1701, 1),1))
"),"#DIV/0!")</f>
        <v>#DIV/0!</v>
      </c>
      <c r="K1701" s="7" t="e">
        <f t="shared" ca="1" si="32"/>
        <v>#DIV/0!</v>
      </c>
      <c r="L1701" s="20" t="e">
        <f t="shared" ca="1" si="33"/>
        <v>#DIV/0!</v>
      </c>
      <c r="M1701" s="21" t="e">
        <f t="shared" ca="1" si="34"/>
        <v>#DIV/0!</v>
      </c>
      <c r="N1701" s="20" t="str">
        <f ca="1">IFERROR(__xludf.DUMMYFUNCTION("IF(COUNTIFS($C$2:C1701, C1701, $A$2:A1701, ""&lt;="" &amp; A1701) &lt; 30, STDEV.P(FILTER($G$2:G1701, $C$2:C1701 = C1701)), STDEV.P(FILTER($G$2:G1701, $C$2:C1701 = C1701, $A$2:A1701 &gt;= A1701 - 30)))
"),"#DIV/0!")</f>
        <v>#DIV/0!</v>
      </c>
    </row>
    <row r="1702" spans="1:14" x14ac:dyDescent="0.2">
      <c r="A1702" s="41"/>
      <c r="B1702" s="40"/>
      <c r="C1702" s="40"/>
      <c r="D1702" s="31"/>
      <c r="E1702" s="31"/>
      <c r="F1702" s="31"/>
      <c r="G1702" s="19" t="e">
        <f t="shared" si="30"/>
        <v>#DIV/0!</v>
      </c>
      <c r="H1702" s="20" t="str">
        <f ca="1">IFERROR(__xludf.DUMMYFUNCTION("IF(COUNTIFS($C$2:C1702, C1702, $A$2:A1702, ""&lt;="" &amp; A1702) &lt; 30, AVERAGEIF($C$2:C1702, C1702, $G$2:G1702), AVERAGE(FILTER($G$2:G1702, $C$2:C1702 = C1702, $A$2:A1702 &gt;= A1702 - 30)))
"),"#DIV/0!")</f>
        <v>#DIV/0!</v>
      </c>
      <c r="I1702" s="20" t="e">
        <f t="shared" ca="1" si="31"/>
        <v>#DIV/0!</v>
      </c>
      <c r="J1702" s="20" t="str">
        <f ca="1">IFERROR(__xludf.DUMMYFUNCTION("IF(OR($I1702=2, $I1702=3), 0, IFERROR(COUNTIFS($C$2:C1702, $C1702, $A$2:A1702, ""&gt;""&amp;IFERROR(MAX(FILTER($A$2:A1702, $C$2:C1702=$C1702, $I$2:I1702&lt;&gt;1)), 0), $I$2:I1702, 1),1))
"),"#DIV/0!")</f>
        <v>#DIV/0!</v>
      </c>
      <c r="K1702" s="7" t="e">
        <f t="shared" ca="1" si="32"/>
        <v>#DIV/0!</v>
      </c>
      <c r="L1702" s="20" t="e">
        <f t="shared" ca="1" si="33"/>
        <v>#DIV/0!</v>
      </c>
      <c r="M1702" s="21" t="e">
        <f t="shared" ca="1" si="34"/>
        <v>#DIV/0!</v>
      </c>
      <c r="N1702" s="20" t="str">
        <f ca="1">IFERROR(__xludf.DUMMYFUNCTION("IF(COUNTIFS($C$2:C1702, C1702, $A$2:A1702, ""&lt;="" &amp; A1702) &lt; 30, STDEV.P(FILTER($G$2:G1702, $C$2:C1702 = C1702)), STDEV.P(FILTER($G$2:G1702, $C$2:C1702 = C1702, $A$2:A1702 &gt;= A1702 - 30)))
"),"#DIV/0!")</f>
        <v>#DIV/0!</v>
      </c>
    </row>
    <row r="1703" spans="1:14" x14ac:dyDescent="0.2">
      <c r="A1703" s="41"/>
      <c r="B1703" s="40"/>
      <c r="C1703" s="40"/>
      <c r="D1703" s="31"/>
      <c r="E1703" s="31"/>
      <c r="F1703" s="31"/>
      <c r="G1703" s="19" t="e">
        <f t="shared" si="30"/>
        <v>#DIV/0!</v>
      </c>
      <c r="H1703" s="20" t="str">
        <f ca="1">IFERROR(__xludf.DUMMYFUNCTION("IF(COUNTIFS($C$2:C1703, C1703, $A$2:A1703, ""&lt;="" &amp; A1703) &lt; 30, AVERAGEIF($C$2:C1703, C1703, $G$2:G1703), AVERAGE(FILTER($G$2:G1703, $C$2:C1703 = C1703, $A$2:A1703 &gt;= A1703 - 30)))
"),"#DIV/0!")</f>
        <v>#DIV/0!</v>
      </c>
      <c r="I1703" s="20" t="e">
        <f t="shared" ca="1" si="31"/>
        <v>#DIV/0!</v>
      </c>
      <c r="J1703" s="20" t="str">
        <f ca="1">IFERROR(__xludf.DUMMYFUNCTION("IF(OR($I1703=2, $I1703=3), 0, IFERROR(COUNTIFS($C$2:C1703, $C1703, $A$2:A1703, ""&gt;""&amp;IFERROR(MAX(FILTER($A$2:A1703, $C$2:C1703=$C1703, $I$2:I1703&lt;&gt;1)), 0), $I$2:I1703, 1),1))
"),"#DIV/0!")</f>
        <v>#DIV/0!</v>
      </c>
      <c r="K1703" s="7" t="e">
        <f t="shared" ca="1" si="32"/>
        <v>#DIV/0!</v>
      </c>
      <c r="L1703" s="20" t="e">
        <f t="shared" ca="1" si="33"/>
        <v>#DIV/0!</v>
      </c>
      <c r="M1703" s="21" t="e">
        <f t="shared" ca="1" si="34"/>
        <v>#DIV/0!</v>
      </c>
      <c r="N1703" s="20" t="str">
        <f ca="1">IFERROR(__xludf.DUMMYFUNCTION("IF(COUNTIFS($C$2:C1703, C1703, $A$2:A1703, ""&lt;="" &amp; A1703) &lt; 30, STDEV.P(FILTER($G$2:G1703, $C$2:C1703 = C1703)), STDEV.P(FILTER($G$2:G1703, $C$2:C1703 = C1703, $A$2:A1703 &gt;= A1703 - 30)))
"),"#DIV/0!")</f>
        <v>#DIV/0!</v>
      </c>
    </row>
    <row r="1704" spans="1:14" x14ac:dyDescent="0.2">
      <c r="A1704" s="41"/>
      <c r="B1704" s="40"/>
      <c r="C1704" s="40"/>
      <c r="D1704" s="31"/>
      <c r="E1704" s="31"/>
      <c r="F1704" s="31"/>
      <c r="G1704" s="19" t="e">
        <f t="shared" si="30"/>
        <v>#DIV/0!</v>
      </c>
      <c r="H1704" s="20" t="str">
        <f ca="1">IFERROR(__xludf.DUMMYFUNCTION("IF(COUNTIFS($C$2:C1704, C1704, $A$2:A1704, ""&lt;="" &amp; A1704) &lt; 30, AVERAGEIF($C$2:C1704, C1704, $G$2:G1704), AVERAGE(FILTER($G$2:G1704, $C$2:C1704 = C1704, $A$2:A1704 &gt;= A1704 - 30)))
"),"#DIV/0!")</f>
        <v>#DIV/0!</v>
      </c>
      <c r="I1704" s="20" t="e">
        <f t="shared" ca="1" si="31"/>
        <v>#DIV/0!</v>
      </c>
      <c r="J1704" s="20" t="str">
        <f ca="1">IFERROR(__xludf.DUMMYFUNCTION("IF(OR($I1704=2, $I1704=3), 0, IFERROR(COUNTIFS($C$2:C1704, $C1704, $A$2:A1704, ""&gt;""&amp;IFERROR(MAX(FILTER($A$2:A1704, $C$2:C1704=$C1704, $I$2:I1704&lt;&gt;1)), 0), $I$2:I1704, 1),1))
"),"#DIV/0!")</f>
        <v>#DIV/0!</v>
      </c>
      <c r="K1704" s="7" t="e">
        <f t="shared" ca="1" si="32"/>
        <v>#DIV/0!</v>
      </c>
      <c r="L1704" s="20" t="e">
        <f t="shared" ca="1" si="33"/>
        <v>#DIV/0!</v>
      </c>
      <c r="M1704" s="21" t="e">
        <f t="shared" ca="1" si="34"/>
        <v>#DIV/0!</v>
      </c>
      <c r="N1704" s="20" t="str">
        <f ca="1">IFERROR(__xludf.DUMMYFUNCTION("IF(COUNTIFS($C$2:C1704, C1704, $A$2:A1704, ""&lt;="" &amp; A1704) &lt; 30, STDEV.P(FILTER($G$2:G1704, $C$2:C1704 = C1704)), STDEV.P(FILTER($G$2:G1704, $C$2:C1704 = C1704, $A$2:A1704 &gt;= A1704 - 30)))
"),"#DIV/0!")</f>
        <v>#DIV/0!</v>
      </c>
    </row>
    <row r="1705" spans="1:14" x14ac:dyDescent="0.2">
      <c r="A1705" s="41"/>
      <c r="B1705" s="40"/>
      <c r="C1705" s="40"/>
      <c r="D1705" s="31"/>
      <c r="E1705" s="31"/>
      <c r="F1705" s="31"/>
      <c r="G1705" s="19" t="e">
        <f t="shared" si="30"/>
        <v>#DIV/0!</v>
      </c>
      <c r="H1705" s="20" t="str">
        <f ca="1">IFERROR(__xludf.DUMMYFUNCTION("IF(COUNTIFS($C$2:C1705, C1705, $A$2:A1705, ""&lt;="" &amp; A1705) &lt; 30, AVERAGEIF($C$2:C1705, C1705, $G$2:G1705), AVERAGE(FILTER($G$2:G1705, $C$2:C1705 = C1705, $A$2:A1705 &gt;= A1705 - 30)))
"),"#DIV/0!")</f>
        <v>#DIV/0!</v>
      </c>
      <c r="I1705" s="20" t="e">
        <f t="shared" ca="1" si="31"/>
        <v>#DIV/0!</v>
      </c>
      <c r="J1705" s="20" t="str">
        <f ca="1">IFERROR(__xludf.DUMMYFUNCTION("IF(OR($I1705=2, $I1705=3), 0, IFERROR(COUNTIFS($C$2:C1705, $C1705, $A$2:A1705, ""&gt;""&amp;IFERROR(MAX(FILTER($A$2:A1705, $C$2:C1705=$C1705, $I$2:I1705&lt;&gt;1)), 0), $I$2:I1705, 1),1))
"),"#DIV/0!")</f>
        <v>#DIV/0!</v>
      </c>
      <c r="K1705" s="7" t="e">
        <f t="shared" ca="1" si="32"/>
        <v>#DIV/0!</v>
      </c>
      <c r="L1705" s="20" t="e">
        <f t="shared" ca="1" si="33"/>
        <v>#DIV/0!</v>
      </c>
      <c r="M1705" s="21" t="e">
        <f t="shared" ca="1" si="34"/>
        <v>#DIV/0!</v>
      </c>
      <c r="N1705" s="20" t="str">
        <f ca="1">IFERROR(__xludf.DUMMYFUNCTION("IF(COUNTIFS($C$2:C1705, C1705, $A$2:A1705, ""&lt;="" &amp; A1705) &lt; 30, STDEV.P(FILTER($G$2:G1705, $C$2:C1705 = C1705)), STDEV.P(FILTER($G$2:G1705, $C$2:C1705 = C1705, $A$2:A1705 &gt;= A1705 - 30)))
"),"#DIV/0!")</f>
        <v>#DIV/0!</v>
      </c>
    </row>
    <row r="1706" spans="1:14" x14ac:dyDescent="0.2">
      <c r="A1706" s="41"/>
      <c r="B1706" s="40"/>
      <c r="C1706" s="40"/>
      <c r="D1706" s="31"/>
      <c r="E1706" s="31"/>
      <c r="F1706" s="31"/>
      <c r="G1706" s="19" t="e">
        <f t="shared" si="30"/>
        <v>#DIV/0!</v>
      </c>
      <c r="H1706" s="20" t="str">
        <f ca="1">IFERROR(__xludf.DUMMYFUNCTION("IF(COUNTIFS($C$2:C1706, C1706, $A$2:A1706, ""&lt;="" &amp; A1706) &lt; 30, AVERAGEIF($C$2:C1706, C1706, $G$2:G1706), AVERAGE(FILTER($G$2:G1706, $C$2:C1706 = C1706, $A$2:A1706 &gt;= A1706 - 30)))
"),"#DIV/0!")</f>
        <v>#DIV/0!</v>
      </c>
      <c r="I1706" s="20" t="e">
        <f t="shared" ca="1" si="31"/>
        <v>#DIV/0!</v>
      </c>
      <c r="J1706" s="20" t="str">
        <f ca="1">IFERROR(__xludf.DUMMYFUNCTION("IF(OR($I1706=2, $I1706=3), 0, IFERROR(COUNTIFS($C$2:C1706, $C1706, $A$2:A1706, ""&gt;""&amp;IFERROR(MAX(FILTER($A$2:A1706, $C$2:C1706=$C1706, $I$2:I1706&lt;&gt;1)), 0), $I$2:I1706, 1),1))
"),"#DIV/0!")</f>
        <v>#DIV/0!</v>
      </c>
      <c r="K1706" s="7" t="e">
        <f t="shared" ca="1" si="32"/>
        <v>#DIV/0!</v>
      </c>
      <c r="L1706" s="20" t="e">
        <f t="shared" ca="1" si="33"/>
        <v>#DIV/0!</v>
      </c>
      <c r="M1706" s="21" t="e">
        <f t="shared" ca="1" si="34"/>
        <v>#DIV/0!</v>
      </c>
      <c r="N1706" s="20" t="str">
        <f ca="1">IFERROR(__xludf.DUMMYFUNCTION("IF(COUNTIFS($C$2:C1706, C1706, $A$2:A1706, ""&lt;="" &amp; A1706) &lt; 30, STDEV.P(FILTER($G$2:G1706, $C$2:C1706 = C1706)), STDEV.P(FILTER($G$2:G1706, $C$2:C1706 = C1706, $A$2:A1706 &gt;= A1706 - 30)))
"),"#DIV/0!")</f>
        <v>#DIV/0!</v>
      </c>
    </row>
    <row r="1707" spans="1:14" x14ac:dyDescent="0.2">
      <c r="A1707" s="41"/>
      <c r="B1707" s="40"/>
      <c r="C1707" s="40"/>
      <c r="D1707" s="31"/>
      <c r="E1707" s="31"/>
      <c r="F1707" s="31"/>
      <c r="G1707" s="19" t="e">
        <f t="shared" si="30"/>
        <v>#DIV/0!</v>
      </c>
      <c r="H1707" s="20" t="str">
        <f ca="1">IFERROR(__xludf.DUMMYFUNCTION("IF(COUNTIFS($C$2:C1707, C1707, $A$2:A1707, ""&lt;="" &amp; A1707) &lt; 30, AVERAGEIF($C$2:C1707, C1707, $G$2:G1707), AVERAGE(FILTER($G$2:G1707, $C$2:C1707 = C1707, $A$2:A1707 &gt;= A1707 - 30)))
"),"#DIV/0!")</f>
        <v>#DIV/0!</v>
      </c>
      <c r="I1707" s="20" t="e">
        <f t="shared" ca="1" si="31"/>
        <v>#DIV/0!</v>
      </c>
      <c r="J1707" s="20" t="str">
        <f ca="1">IFERROR(__xludf.DUMMYFUNCTION("IF(OR($I1707=2, $I1707=3), 0, IFERROR(COUNTIFS($C$2:C1707, $C1707, $A$2:A1707, ""&gt;""&amp;IFERROR(MAX(FILTER($A$2:A1707, $C$2:C1707=$C1707, $I$2:I1707&lt;&gt;1)), 0), $I$2:I1707, 1),1))
"),"#DIV/0!")</f>
        <v>#DIV/0!</v>
      </c>
      <c r="K1707" s="7" t="e">
        <f t="shared" ca="1" si="32"/>
        <v>#DIV/0!</v>
      </c>
      <c r="L1707" s="20" t="e">
        <f t="shared" ca="1" si="33"/>
        <v>#DIV/0!</v>
      </c>
      <c r="M1707" s="21" t="e">
        <f t="shared" ca="1" si="34"/>
        <v>#DIV/0!</v>
      </c>
      <c r="N1707" s="20" t="str">
        <f ca="1">IFERROR(__xludf.DUMMYFUNCTION("IF(COUNTIFS($C$2:C1707, C1707, $A$2:A1707, ""&lt;="" &amp; A1707) &lt; 30, STDEV.P(FILTER($G$2:G1707, $C$2:C1707 = C1707)), STDEV.P(FILTER($G$2:G1707, $C$2:C1707 = C1707, $A$2:A1707 &gt;= A1707 - 30)))
"),"#DIV/0!")</f>
        <v>#DIV/0!</v>
      </c>
    </row>
    <row r="1708" spans="1:14" x14ac:dyDescent="0.2">
      <c r="A1708" s="41"/>
      <c r="B1708" s="40"/>
      <c r="C1708" s="40"/>
      <c r="D1708" s="31"/>
      <c r="E1708" s="31"/>
      <c r="F1708" s="31"/>
      <c r="G1708" s="19" t="e">
        <f t="shared" si="30"/>
        <v>#DIV/0!</v>
      </c>
      <c r="H1708" s="20" t="str">
        <f ca="1">IFERROR(__xludf.DUMMYFUNCTION("IF(COUNTIFS($C$2:C1708, C1708, $A$2:A1708, ""&lt;="" &amp; A1708) &lt; 30, AVERAGEIF($C$2:C1708, C1708, $G$2:G1708), AVERAGE(FILTER($G$2:G1708, $C$2:C1708 = C1708, $A$2:A1708 &gt;= A1708 - 30)))
"),"#DIV/0!")</f>
        <v>#DIV/0!</v>
      </c>
      <c r="I1708" s="20" t="e">
        <f t="shared" ca="1" si="31"/>
        <v>#DIV/0!</v>
      </c>
      <c r="J1708" s="20" t="str">
        <f ca="1">IFERROR(__xludf.DUMMYFUNCTION("IF(OR($I1708=2, $I1708=3), 0, IFERROR(COUNTIFS($C$2:C1708, $C1708, $A$2:A1708, ""&gt;""&amp;IFERROR(MAX(FILTER($A$2:A1708, $C$2:C1708=$C1708, $I$2:I1708&lt;&gt;1)), 0), $I$2:I1708, 1),1))
"),"#DIV/0!")</f>
        <v>#DIV/0!</v>
      </c>
      <c r="K1708" s="7" t="e">
        <f t="shared" ca="1" si="32"/>
        <v>#DIV/0!</v>
      </c>
      <c r="L1708" s="20" t="e">
        <f t="shared" ca="1" si="33"/>
        <v>#DIV/0!</v>
      </c>
      <c r="M1708" s="21" t="e">
        <f t="shared" ca="1" si="34"/>
        <v>#DIV/0!</v>
      </c>
      <c r="N1708" s="20" t="str">
        <f ca="1">IFERROR(__xludf.DUMMYFUNCTION("IF(COUNTIFS($C$2:C1708, C1708, $A$2:A1708, ""&lt;="" &amp; A1708) &lt; 30, STDEV.P(FILTER($G$2:G1708, $C$2:C1708 = C1708)), STDEV.P(FILTER($G$2:G1708, $C$2:C1708 = C1708, $A$2:A1708 &gt;= A1708 - 30)))
"),"#DIV/0!")</f>
        <v>#DIV/0!</v>
      </c>
    </row>
    <row r="1709" spans="1:14" x14ac:dyDescent="0.2">
      <c r="A1709" s="41"/>
      <c r="B1709" s="40"/>
      <c r="C1709" s="40"/>
      <c r="D1709" s="31"/>
      <c r="E1709" s="31"/>
      <c r="F1709" s="31"/>
      <c r="G1709" s="19" t="e">
        <f t="shared" si="30"/>
        <v>#DIV/0!</v>
      </c>
      <c r="H1709" s="20" t="str">
        <f ca="1">IFERROR(__xludf.DUMMYFUNCTION("IF(COUNTIFS($C$2:C1709, C1709, $A$2:A1709, ""&lt;="" &amp; A1709) &lt; 30, AVERAGEIF($C$2:C1709, C1709, $G$2:G1709), AVERAGE(FILTER($G$2:G1709, $C$2:C1709 = C1709, $A$2:A1709 &gt;= A1709 - 30)))
"),"#DIV/0!")</f>
        <v>#DIV/0!</v>
      </c>
      <c r="I1709" s="20" t="e">
        <f t="shared" ca="1" si="31"/>
        <v>#DIV/0!</v>
      </c>
      <c r="J1709" s="20" t="str">
        <f ca="1">IFERROR(__xludf.DUMMYFUNCTION("IF(OR($I1709=2, $I1709=3), 0, IFERROR(COUNTIFS($C$2:C1709, $C1709, $A$2:A1709, ""&gt;""&amp;IFERROR(MAX(FILTER($A$2:A1709, $C$2:C1709=$C1709, $I$2:I1709&lt;&gt;1)), 0), $I$2:I1709, 1),1))
"),"#DIV/0!")</f>
        <v>#DIV/0!</v>
      </c>
      <c r="K1709" s="7" t="e">
        <f t="shared" ca="1" si="32"/>
        <v>#DIV/0!</v>
      </c>
      <c r="L1709" s="20" t="e">
        <f t="shared" ca="1" si="33"/>
        <v>#DIV/0!</v>
      </c>
      <c r="M1709" s="21" t="e">
        <f t="shared" ca="1" si="34"/>
        <v>#DIV/0!</v>
      </c>
      <c r="N1709" s="20" t="str">
        <f ca="1">IFERROR(__xludf.DUMMYFUNCTION("IF(COUNTIFS($C$2:C1709, C1709, $A$2:A1709, ""&lt;="" &amp; A1709) &lt; 30, STDEV.P(FILTER($G$2:G1709, $C$2:C1709 = C1709)), STDEV.P(FILTER($G$2:G1709, $C$2:C1709 = C1709, $A$2:A1709 &gt;= A1709 - 30)))
"),"#DIV/0!")</f>
        <v>#DIV/0!</v>
      </c>
    </row>
    <row r="1710" spans="1:14" x14ac:dyDescent="0.2">
      <c r="A1710" s="41"/>
      <c r="B1710" s="40"/>
      <c r="C1710" s="40"/>
      <c r="D1710" s="31"/>
      <c r="E1710" s="31"/>
      <c r="F1710" s="31"/>
      <c r="G1710" s="19" t="e">
        <f t="shared" si="30"/>
        <v>#DIV/0!</v>
      </c>
      <c r="H1710" s="20" t="str">
        <f ca="1">IFERROR(__xludf.DUMMYFUNCTION("IF(COUNTIFS($C$2:C1710, C1710, $A$2:A1710, ""&lt;="" &amp; A1710) &lt; 30, AVERAGEIF($C$2:C1710, C1710, $G$2:G1710), AVERAGE(FILTER($G$2:G1710, $C$2:C1710 = C1710, $A$2:A1710 &gt;= A1710 - 30)))
"),"#DIV/0!")</f>
        <v>#DIV/0!</v>
      </c>
      <c r="I1710" s="20" t="e">
        <f t="shared" ca="1" si="31"/>
        <v>#DIV/0!</v>
      </c>
      <c r="J1710" s="20" t="str">
        <f ca="1">IFERROR(__xludf.DUMMYFUNCTION("IF(OR($I1710=2, $I1710=3), 0, IFERROR(COUNTIFS($C$2:C1710, $C1710, $A$2:A1710, ""&gt;""&amp;IFERROR(MAX(FILTER($A$2:A1710, $C$2:C1710=$C1710, $I$2:I1710&lt;&gt;1)), 0), $I$2:I1710, 1),1))
"),"#DIV/0!")</f>
        <v>#DIV/0!</v>
      </c>
      <c r="K1710" s="7" t="e">
        <f t="shared" ca="1" si="32"/>
        <v>#DIV/0!</v>
      </c>
      <c r="L1710" s="20" t="e">
        <f t="shared" ca="1" si="33"/>
        <v>#DIV/0!</v>
      </c>
      <c r="M1710" s="21" t="e">
        <f t="shared" ca="1" si="34"/>
        <v>#DIV/0!</v>
      </c>
      <c r="N1710" s="20" t="str">
        <f ca="1">IFERROR(__xludf.DUMMYFUNCTION("IF(COUNTIFS($C$2:C1710, C1710, $A$2:A1710, ""&lt;="" &amp; A1710) &lt; 30, STDEV.P(FILTER($G$2:G1710, $C$2:C1710 = C1710)), STDEV.P(FILTER($G$2:G1710, $C$2:C1710 = C1710, $A$2:A1710 &gt;= A1710 - 30)))
"),"#DIV/0!")</f>
        <v>#DIV/0!</v>
      </c>
    </row>
    <row r="1711" spans="1:14" x14ac:dyDescent="0.2">
      <c r="A1711" s="41"/>
      <c r="B1711" s="40"/>
      <c r="C1711" s="40"/>
      <c r="D1711" s="31"/>
      <c r="E1711" s="31"/>
      <c r="F1711" s="31"/>
      <c r="G1711" s="19" t="e">
        <f t="shared" si="30"/>
        <v>#DIV/0!</v>
      </c>
      <c r="H1711" s="20" t="str">
        <f ca="1">IFERROR(__xludf.DUMMYFUNCTION("IF(COUNTIFS($C$2:C1711, C1711, $A$2:A1711, ""&lt;="" &amp; A1711) &lt; 30, AVERAGEIF($C$2:C1711, C1711, $G$2:G1711), AVERAGE(FILTER($G$2:G1711, $C$2:C1711 = C1711, $A$2:A1711 &gt;= A1711 - 30)))
"),"#DIV/0!")</f>
        <v>#DIV/0!</v>
      </c>
      <c r="I1711" s="20" t="e">
        <f t="shared" ca="1" si="31"/>
        <v>#DIV/0!</v>
      </c>
      <c r="J1711" s="20" t="str">
        <f ca="1">IFERROR(__xludf.DUMMYFUNCTION("IF(OR($I1711=2, $I1711=3), 0, IFERROR(COUNTIFS($C$2:C1711, $C1711, $A$2:A1711, ""&gt;""&amp;IFERROR(MAX(FILTER($A$2:A1711, $C$2:C1711=$C1711, $I$2:I1711&lt;&gt;1)), 0), $I$2:I1711, 1),1))
"),"#DIV/0!")</f>
        <v>#DIV/0!</v>
      </c>
      <c r="K1711" s="7" t="e">
        <f t="shared" ca="1" si="32"/>
        <v>#DIV/0!</v>
      </c>
      <c r="L1711" s="20" t="e">
        <f t="shared" ca="1" si="33"/>
        <v>#DIV/0!</v>
      </c>
      <c r="M1711" s="21" t="e">
        <f t="shared" ca="1" si="34"/>
        <v>#DIV/0!</v>
      </c>
      <c r="N1711" s="20" t="str">
        <f ca="1">IFERROR(__xludf.DUMMYFUNCTION("IF(COUNTIFS($C$2:C1711, C1711, $A$2:A1711, ""&lt;="" &amp; A1711) &lt; 30, STDEV.P(FILTER($G$2:G1711, $C$2:C1711 = C1711)), STDEV.P(FILTER($G$2:G1711, $C$2:C1711 = C1711, $A$2:A1711 &gt;= A1711 - 30)))
"),"#DIV/0!")</f>
        <v>#DIV/0!</v>
      </c>
    </row>
    <row r="1712" spans="1:14" x14ac:dyDescent="0.2">
      <c r="A1712" s="41"/>
      <c r="B1712" s="40"/>
      <c r="C1712" s="40"/>
      <c r="D1712" s="31"/>
      <c r="E1712" s="31"/>
      <c r="F1712" s="31"/>
      <c r="G1712" s="19" t="e">
        <f t="shared" si="30"/>
        <v>#DIV/0!</v>
      </c>
      <c r="H1712" s="20" t="str">
        <f ca="1">IFERROR(__xludf.DUMMYFUNCTION("IF(COUNTIFS($C$2:C1712, C1712, $A$2:A1712, ""&lt;="" &amp; A1712) &lt; 30, AVERAGEIF($C$2:C1712, C1712, $G$2:G1712), AVERAGE(FILTER($G$2:G1712, $C$2:C1712 = C1712, $A$2:A1712 &gt;= A1712 - 30)))
"),"#DIV/0!")</f>
        <v>#DIV/0!</v>
      </c>
      <c r="I1712" s="20" t="e">
        <f t="shared" ca="1" si="31"/>
        <v>#DIV/0!</v>
      </c>
      <c r="J1712" s="20" t="str">
        <f ca="1">IFERROR(__xludf.DUMMYFUNCTION("IF(OR($I1712=2, $I1712=3), 0, IFERROR(COUNTIFS($C$2:C1712, $C1712, $A$2:A1712, ""&gt;""&amp;IFERROR(MAX(FILTER($A$2:A1712, $C$2:C1712=$C1712, $I$2:I1712&lt;&gt;1)), 0), $I$2:I1712, 1),1))
"),"#DIV/0!")</f>
        <v>#DIV/0!</v>
      </c>
      <c r="K1712" s="7" t="e">
        <f t="shared" ca="1" si="32"/>
        <v>#DIV/0!</v>
      </c>
      <c r="L1712" s="20" t="e">
        <f t="shared" ca="1" si="33"/>
        <v>#DIV/0!</v>
      </c>
      <c r="M1712" s="21" t="e">
        <f t="shared" ca="1" si="34"/>
        <v>#DIV/0!</v>
      </c>
      <c r="N1712" s="20" t="str">
        <f ca="1">IFERROR(__xludf.DUMMYFUNCTION("IF(COUNTIFS($C$2:C1712, C1712, $A$2:A1712, ""&lt;="" &amp; A1712) &lt; 30, STDEV.P(FILTER($G$2:G1712, $C$2:C1712 = C1712)), STDEV.P(FILTER($G$2:G1712, $C$2:C1712 = C1712, $A$2:A1712 &gt;= A1712 - 30)))
"),"#DIV/0!")</f>
        <v>#DIV/0!</v>
      </c>
    </row>
    <row r="1713" spans="1:14" x14ac:dyDescent="0.2">
      <c r="A1713" s="41"/>
      <c r="B1713" s="40"/>
      <c r="C1713" s="40"/>
      <c r="D1713" s="31"/>
      <c r="E1713" s="31"/>
      <c r="F1713" s="31"/>
      <c r="G1713" s="19" t="e">
        <f t="shared" si="30"/>
        <v>#DIV/0!</v>
      </c>
      <c r="H1713" s="20" t="str">
        <f ca="1">IFERROR(__xludf.DUMMYFUNCTION("IF(COUNTIFS($C$2:C1713, C1713, $A$2:A1713, ""&lt;="" &amp; A1713) &lt; 30, AVERAGEIF($C$2:C1713, C1713, $G$2:G1713), AVERAGE(FILTER($G$2:G1713, $C$2:C1713 = C1713, $A$2:A1713 &gt;= A1713 - 30)))
"),"#DIV/0!")</f>
        <v>#DIV/0!</v>
      </c>
      <c r="I1713" s="20" t="e">
        <f t="shared" ca="1" si="31"/>
        <v>#DIV/0!</v>
      </c>
      <c r="J1713" s="20" t="str">
        <f ca="1">IFERROR(__xludf.DUMMYFUNCTION("IF(OR($I1713=2, $I1713=3), 0, IFERROR(COUNTIFS($C$2:C1713, $C1713, $A$2:A1713, ""&gt;""&amp;IFERROR(MAX(FILTER($A$2:A1713, $C$2:C1713=$C1713, $I$2:I1713&lt;&gt;1)), 0), $I$2:I1713, 1),1))
"),"#DIV/0!")</f>
        <v>#DIV/0!</v>
      </c>
      <c r="K1713" s="7" t="e">
        <f t="shared" ca="1" si="32"/>
        <v>#DIV/0!</v>
      </c>
      <c r="L1713" s="20" t="e">
        <f t="shared" ca="1" si="33"/>
        <v>#DIV/0!</v>
      </c>
      <c r="M1713" s="21" t="e">
        <f t="shared" ca="1" si="34"/>
        <v>#DIV/0!</v>
      </c>
      <c r="N1713" s="20" t="str">
        <f ca="1">IFERROR(__xludf.DUMMYFUNCTION("IF(COUNTIFS($C$2:C1713, C1713, $A$2:A1713, ""&lt;="" &amp; A1713) &lt; 30, STDEV.P(FILTER($G$2:G1713, $C$2:C1713 = C1713)), STDEV.P(FILTER($G$2:G1713, $C$2:C1713 = C1713, $A$2:A1713 &gt;= A1713 - 30)))
"),"#DIV/0!")</f>
        <v>#DIV/0!</v>
      </c>
    </row>
    <row r="1714" spans="1:14" x14ac:dyDescent="0.2">
      <c r="A1714" s="41"/>
      <c r="B1714" s="40"/>
      <c r="C1714" s="40"/>
      <c r="D1714" s="31"/>
      <c r="E1714" s="31"/>
      <c r="F1714" s="31"/>
      <c r="G1714" s="19" t="e">
        <f t="shared" si="30"/>
        <v>#DIV/0!</v>
      </c>
      <c r="H1714" s="20" t="str">
        <f ca="1">IFERROR(__xludf.DUMMYFUNCTION("IF(COUNTIFS($C$2:C1714, C1714, $A$2:A1714, ""&lt;="" &amp; A1714) &lt; 30, AVERAGEIF($C$2:C1714, C1714, $G$2:G1714), AVERAGE(FILTER($G$2:G1714, $C$2:C1714 = C1714, $A$2:A1714 &gt;= A1714 - 30)))
"),"#DIV/0!")</f>
        <v>#DIV/0!</v>
      </c>
      <c r="I1714" s="20" t="e">
        <f t="shared" ca="1" si="31"/>
        <v>#DIV/0!</v>
      </c>
      <c r="J1714" s="20" t="str">
        <f ca="1">IFERROR(__xludf.DUMMYFUNCTION("IF(OR($I1714=2, $I1714=3), 0, IFERROR(COUNTIFS($C$2:C1714, $C1714, $A$2:A1714, ""&gt;""&amp;IFERROR(MAX(FILTER($A$2:A1714, $C$2:C1714=$C1714, $I$2:I1714&lt;&gt;1)), 0), $I$2:I1714, 1),1))
"),"#DIV/0!")</f>
        <v>#DIV/0!</v>
      </c>
      <c r="K1714" s="7" t="e">
        <f t="shared" ca="1" si="32"/>
        <v>#DIV/0!</v>
      </c>
      <c r="L1714" s="20" t="e">
        <f t="shared" ca="1" si="33"/>
        <v>#DIV/0!</v>
      </c>
      <c r="M1714" s="21" t="e">
        <f t="shared" ca="1" si="34"/>
        <v>#DIV/0!</v>
      </c>
      <c r="N1714" s="20" t="str">
        <f ca="1">IFERROR(__xludf.DUMMYFUNCTION("IF(COUNTIFS($C$2:C1714, C1714, $A$2:A1714, ""&lt;="" &amp; A1714) &lt; 30, STDEV.P(FILTER($G$2:G1714, $C$2:C1714 = C1714)), STDEV.P(FILTER($G$2:G1714, $C$2:C1714 = C1714, $A$2:A1714 &gt;= A1714 - 30)))
"),"#DIV/0!")</f>
        <v>#DIV/0!</v>
      </c>
    </row>
    <row r="1715" spans="1:14" x14ac:dyDescent="0.2">
      <c r="A1715" s="41"/>
      <c r="B1715" s="40"/>
      <c r="C1715" s="40"/>
      <c r="D1715" s="31"/>
      <c r="E1715" s="31"/>
      <c r="F1715" s="31"/>
      <c r="G1715" s="19" t="e">
        <f t="shared" si="30"/>
        <v>#DIV/0!</v>
      </c>
      <c r="H1715" s="20" t="str">
        <f ca="1">IFERROR(__xludf.DUMMYFUNCTION("IF(COUNTIFS($C$2:C1715, C1715, $A$2:A1715, ""&lt;="" &amp; A1715) &lt; 30, AVERAGEIF($C$2:C1715, C1715, $G$2:G1715), AVERAGE(FILTER($G$2:G1715, $C$2:C1715 = C1715, $A$2:A1715 &gt;= A1715 - 30)))
"),"#DIV/0!")</f>
        <v>#DIV/0!</v>
      </c>
      <c r="I1715" s="20" t="e">
        <f t="shared" ca="1" si="31"/>
        <v>#DIV/0!</v>
      </c>
      <c r="J1715" s="20" t="str">
        <f ca="1">IFERROR(__xludf.DUMMYFUNCTION("IF(OR($I1715=2, $I1715=3), 0, IFERROR(COUNTIFS($C$2:C1715, $C1715, $A$2:A1715, ""&gt;""&amp;IFERROR(MAX(FILTER($A$2:A1715, $C$2:C1715=$C1715, $I$2:I1715&lt;&gt;1)), 0), $I$2:I1715, 1),1))
"),"#DIV/0!")</f>
        <v>#DIV/0!</v>
      </c>
      <c r="K1715" s="7" t="e">
        <f t="shared" ca="1" si="32"/>
        <v>#DIV/0!</v>
      </c>
      <c r="L1715" s="20" t="e">
        <f t="shared" ca="1" si="33"/>
        <v>#DIV/0!</v>
      </c>
      <c r="M1715" s="21" t="e">
        <f t="shared" ca="1" si="34"/>
        <v>#DIV/0!</v>
      </c>
      <c r="N1715" s="20" t="str">
        <f ca="1">IFERROR(__xludf.DUMMYFUNCTION("IF(COUNTIFS($C$2:C1715, C1715, $A$2:A1715, ""&lt;="" &amp; A1715) &lt; 30, STDEV.P(FILTER($G$2:G1715, $C$2:C1715 = C1715)), STDEV.P(FILTER($G$2:G1715, $C$2:C1715 = C1715, $A$2:A1715 &gt;= A1715 - 30)))
"),"#DIV/0!")</f>
        <v>#DIV/0!</v>
      </c>
    </row>
    <row r="1716" spans="1:14" x14ac:dyDescent="0.2">
      <c r="A1716" s="41"/>
      <c r="B1716" s="40"/>
      <c r="C1716" s="40"/>
      <c r="D1716" s="31"/>
      <c r="E1716" s="31"/>
      <c r="F1716" s="31"/>
      <c r="G1716" s="19" t="e">
        <f t="shared" si="30"/>
        <v>#DIV/0!</v>
      </c>
      <c r="H1716" s="20" t="str">
        <f ca="1">IFERROR(__xludf.DUMMYFUNCTION("IF(COUNTIFS($C$2:C1716, C1716, $A$2:A1716, ""&lt;="" &amp; A1716) &lt; 30, AVERAGEIF($C$2:C1716, C1716, $G$2:G1716), AVERAGE(FILTER($G$2:G1716, $C$2:C1716 = C1716, $A$2:A1716 &gt;= A1716 - 30)))
"),"#DIV/0!")</f>
        <v>#DIV/0!</v>
      </c>
      <c r="I1716" s="20" t="e">
        <f t="shared" ca="1" si="31"/>
        <v>#DIV/0!</v>
      </c>
      <c r="J1716" s="20" t="str">
        <f ca="1">IFERROR(__xludf.DUMMYFUNCTION("IF(OR($I1716=2, $I1716=3), 0, IFERROR(COUNTIFS($C$2:C1716, $C1716, $A$2:A1716, ""&gt;""&amp;IFERROR(MAX(FILTER($A$2:A1716, $C$2:C1716=$C1716, $I$2:I1716&lt;&gt;1)), 0), $I$2:I1716, 1),1))
"),"#DIV/0!")</f>
        <v>#DIV/0!</v>
      </c>
      <c r="K1716" s="7" t="e">
        <f t="shared" ca="1" si="32"/>
        <v>#DIV/0!</v>
      </c>
      <c r="L1716" s="20" t="e">
        <f t="shared" ca="1" si="33"/>
        <v>#DIV/0!</v>
      </c>
      <c r="M1716" s="21" t="e">
        <f t="shared" ca="1" si="34"/>
        <v>#DIV/0!</v>
      </c>
      <c r="N1716" s="20" t="str">
        <f ca="1">IFERROR(__xludf.DUMMYFUNCTION("IF(COUNTIFS($C$2:C1716, C1716, $A$2:A1716, ""&lt;="" &amp; A1716) &lt; 30, STDEV.P(FILTER($G$2:G1716, $C$2:C1716 = C1716)), STDEV.P(FILTER($G$2:G1716, $C$2:C1716 = C1716, $A$2:A1716 &gt;= A1716 - 30)))
"),"#DIV/0!")</f>
        <v>#DIV/0!</v>
      </c>
    </row>
    <row r="1717" spans="1:14" x14ac:dyDescent="0.2">
      <c r="A1717" s="41"/>
      <c r="B1717" s="40"/>
      <c r="C1717" s="40"/>
      <c r="D1717" s="31"/>
      <c r="E1717" s="31"/>
      <c r="F1717" s="31"/>
      <c r="G1717" s="19" t="e">
        <f t="shared" si="30"/>
        <v>#DIV/0!</v>
      </c>
      <c r="H1717" s="20" t="str">
        <f ca="1">IFERROR(__xludf.DUMMYFUNCTION("IF(COUNTIFS($C$2:C1717, C1717, $A$2:A1717, ""&lt;="" &amp; A1717) &lt; 30, AVERAGEIF($C$2:C1717, C1717, $G$2:G1717), AVERAGE(FILTER($G$2:G1717, $C$2:C1717 = C1717, $A$2:A1717 &gt;= A1717 - 30)))
"),"#DIV/0!")</f>
        <v>#DIV/0!</v>
      </c>
      <c r="I1717" s="20" t="e">
        <f t="shared" ca="1" si="31"/>
        <v>#DIV/0!</v>
      </c>
      <c r="J1717" s="20" t="str">
        <f ca="1">IFERROR(__xludf.DUMMYFUNCTION("IF(OR($I1717=2, $I1717=3), 0, IFERROR(COUNTIFS($C$2:C1717, $C1717, $A$2:A1717, ""&gt;""&amp;IFERROR(MAX(FILTER($A$2:A1717, $C$2:C1717=$C1717, $I$2:I1717&lt;&gt;1)), 0), $I$2:I1717, 1),1))
"),"#DIV/0!")</f>
        <v>#DIV/0!</v>
      </c>
      <c r="K1717" s="7" t="e">
        <f t="shared" ca="1" si="32"/>
        <v>#DIV/0!</v>
      </c>
      <c r="L1717" s="20" t="e">
        <f t="shared" ca="1" si="33"/>
        <v>#DIV/0!</v>
      </c>
      <c r="M1717" s="21" t="e">
        <f t="shared" ca="1" si="34"/>
        <v>#DIV/0!</v>
      </c>
      <c r="N1717" s="20" t="str">
        <f ca="1">IFERROR(__xludf.DUMMYFUNCTION("IF(COUNTIFS($C$2:C1717, C1717, $A$2:A1717, ""&lt;="" &amp; A1717) &lt; 30, STDEV.P(FILTER($G$2:G1717, $C$2:C1717 = C1717)), STDEV.P(FILTER($G$2:G1717, $C$2:C1717 = C1717, $A$2:A1717 &gt;= A1717 - 30)))
"),"#DIV/0!")</f>
        <v>#DIV/0!</v>
      </c>
    </row>
    <row r="1718" spans="1:14" x14ac:dyDescent="0.2">
      <c r="A1718" s="41"/>
      <c r="B1718" s="40"/>
      <c r="C1718" s="40"/>
      <c r="D1718" s="31"/>
      <c r="E1718" s="31"/>
      <c r="F1718" s="31"/>
      <c r="G1718" s="19" t="e">
        <f t="shared" si="30"/>
        <v>#DIV/0!</v>
      </c>
      <c r="H1718" s="20" t="str">
        <f ca="1">IFERROR(__xludf.DUMMYFUNCTION("IF(COUNTIFS($C$2:C1718, C1718, $A$2:A1718, ""&lt;="" &amp; A1718) &lt; 30, AVERAGEIF($C$2:C1718, C1718, $G$2:G1718), AVERAGE(FILTER($G$2:G1718, $C$2:C1718 = C1718, $A$2:A1718 &gt;= A1718 - 30)))
"),"#DIV/0!")</f>
        <v>#DIV/0!</v>
      </c>
      <c r="I1718" s="20" t="e">
        <f t="shared" ca="1" si="31"/>
        <v>#DIV/0!</v>
      </c>
      <c r="J1718" s="20" t="str">
        <f ca="1">IFERROR(__xludf.DUMMYFUNCTION("IF(OR($I1718=2, $I1718=3), 0, IFERROR(COUNTIFS($C$2:C1718, $C1718, $A$2:A1718, ""&gt;""&amp;IFERROR(MAX(FILTER($A$2:A1718, $C$2:C1718=$C1718, $I$2:I1718&lt;&gt;1)), 0), $I$2:I1718, 1),1))
"),"#DIV/0!")</f>
        <v>#DIV/0!</v>
      </c>
      <c r="K1718" s="7" t="e">
        <f t="shared" ca="1" si="32"/>
        <v>#DIV/0!</v>
      </c>
      <c r="L1718" s="20" t="e">
        <f t="shared" ca="1" si="33"/>
        <v>#DIV/0!</v>
      </c>
      <c r="M1718" s="21" t="e">
        <f t="shared" ca="1" si="34"/>
        <v>#DIV/0!</v>
      </c>
      <c r="N1718" s="20" t="str">
        <f ca="1">IFERROR(__xludf.DUMMYFUNCTION("IF(COUNTIFS($C$2:C1718, C1718, $A$2:A1718, ""&lt;="" &amp; A1718) &lt; 30, STDEV.P(FILTER($G$2:G1718, $C$2:C1718 = C1718)), STDEV.P(FILTER($G$2:G1718, $C$2:C1718 = C1718, $A$2:A1718 &gt;= A1718 - 30)))
"),"#DIV/0!")</f>
        <v>#DIV/0!</v>
      </c>
    </row>
    <row r="1719" spans="1:14" x14ac:dyDescent="0.2">
      <c r="A1719" s="41"/>
      <c r="B1719" s="40"/>
      <c r="C1719" s="40"/>
      <c r="D1719" s="31"/>
      <c r="E1719" s="31"/>
      <c r="F1719" s="31"/>
      <c r="G1719" s="19" t="e">
        <f t="shared" si="30"/>
        <v>#DIV/0!</v>
      </c>
      <c r="H1719" s="20" t="str">
        <f ca="1">IFERROR(__xludf.DUMMYFUNCTION("IF(COUNTIFS($C$2:C1719, C1719, $A$2:A1719, ""&lt;="" &amp; A1719) &lt; 30, AVERAGEIF($C$2:C1719, C1719, $G$2:G1719), AVERAGE(FILTER($G$2:G1719, $C$2:C1719 = C1719, $A$2:A1719 &gt;= A1719 - 30)))
"),"#DIV/0!")</f>
        <v>#DIV/0!</v>
      </c>
      <c r="I1719" s="20" t="e">
        <f t="shared" ca="1" si="31"/>
        <v>#DIV/0!</v>
      </c>
      <c r="J1719" s="20" t="str">
        <f ca="1">IFERROR(__xludf.DUMMYFUNCTION("IF(OR($I1719=2, $I1719=3), 0, IFERROR(COUNTIFS($C$2:C1719, $C1719, $A$2:A1719, ""&gt;""&amp;IFERROR(MAX(FILTER($A$2:A1719, $C$2:C1719=$C1719, $I$2:I1719&lt;&gt;1)), 0), $I$2:I1719, 1),1))
"),"#DIV/0!")</f>
        <v>#DIV/0!</v>
      </c>
      <c r="K1719" s="7" t="e">
        <f t="shared" ca="1" si="32"/>
        <v>#DIV/0!</v>
      </c>
      <c r="L1719" s="20" t="e">
        <f t="shared" ca="1" si="33"/>
        <v>#DIV/0!</v>
      </c>
      <c r="M1719" s="21" t="e">
        <f t="shared" ca="1" si="34"/>
        <v>#DIV/0!</v>
      </c>
      <c r="N1719" s="20" t="str">
        <f ca="1">IFERROR(__xludf.DUMMYFUNCTION("IF(COUNTIFS($C$2:C1719, C1719, $A$2:A1719, ""&lt;="" &amp; A1719) &lt; 30, STDEV.P(FILTER($G$2:G1719, $C$2:C1719 = C1719)), STDEV.P(FILTER($G$2:G1719, $C$2:C1719 = C1719, $A$2:A1719 &gt;= A1719 - 30)))
"),"#DIV/0!")</f>
        <v>#DIV/0!</v>
      </c>
    </row>
    <row r="1720" spans="1:14" x14ac:dyDescent="0.2">
      <c r="A1720" s="41"/>
      <c r="B1720" s="40"/>
      <c r="C1720" s="40"/>
      <c r="D1720" s="31"/>
      <c r="E1720" s="31"/>
      <c r="F1720" s="31"/>
      <c r="G1720" s="19" t="e">
        <f t="shared" si="30"/>
        <v>#DIV/0!</v>
      </c>
      <c r="H1720" s="20" t="str">
        <f ca="1">IFERROR(__xludf.DUMMYFUNCTION("IF(COUNTIFS($C$2:C1720, C1720, $A$2:A1720, ""&lt;="" &amp; A1720) &lt; 30, AVERAGEIF($C$2:C1720, C1720, $G$2:G1720), AVERAGE(FILTER($G$2:G1720, $C$2:C1720 = C1720, $A$2:A1720 &gt;= A1720 - 30)))
"),"#DIV/0!")</f>
        <v>#DIV/0!</v>
      </c>
      <c r="I1720" s="20" t="e">
        <f t="shared" ca="1" si="31"/>
        <v>#DIV/0!</v>
      </c>
      <c r="J1720" s="20" t="str">
        <f ca="1">IFERROR(__xludf.DUMMYFUNCTION("IF(OR($I1720=2, $I1720=3), 0, IFERROR(COUNTIFS($C$2:C1720, $C1720, $A$2:A1720, ""&gt;""&amp;IFERROR(MAX(FILTER($A$2:A1720, $C$2:C1720=$C1720, $I$2:I1720&lt;&gt;1)), 0), $I$2:I1720, 1),1))
"),"#DIV/0!")</f>
        <v>#DIV/0!</v>
      </c>
      <c r="K1720" s="7" t="e">
        <f t="shared" ca="1" si="32"/>
        <v>#DIV/0!</v>
      </c>
      <c r="L1720" s="20" t="e">
        <f t="shared" ca="1" si="33"/>
        <v>#DIV/0!</v>
      </c>
      <c r="M1720" s="21" t="e">
        <f t="shared" ca="1" si="34"/>
        <v>#DIV/0!</v>
      </c>
      <c r="N1720" s="20" t="str">
        <f ca="1">IFERROR(__xludf.DUMMYFUNCTION("IF(COUNTIFS($C$2:C1720, C1720, $A$2:A1720, ""&lt;="" &amp; A1720) &lt; 30, STDEV.P(FILTER($G$2:G1720, $C$2:C1720 = C1720)), STDEV.P(FILTER($G$2:G1720, $C$2:C1720 = C1720, $A$2:A1720 &gt;= A1720 - 30)))
"),"#DIV/0!")</f>
        <v>#DIV/0!</v>
      </c>
    </row>
    <row r="1721" spans="1:14" x14ac:dyDescent="0.2">
      <c r="A1721" s="41"/>
      <c r="B1721" s="40"/>
      <c r="C1721" s="40"/>
      <c r="D1721" s="31"/>
      <c r="E1721" s="31"/>
      <c r="F1721" s="31"/>
      <c r="G1721" s="19" t="e">
        <f t="shared" si="30"/>
        <v>#DIV/0!</v>
      </c>
      <c r="H1721" s="20" t="str">
        <f ca="1">IFERROR(__xludf.DUMMYFUNCTION("IF(COUNTIFS($C$2:C1721, C1721, $A$2:A1721, ""&lt;="" &amp; A1721) &lt; 30, AVERAGEIF($C$2:C1721, C1721, $G$2:G1721), AVERAGE(FILTER($G$2:G1721, $C$2:C1721 = C1721, $A$2:A1721 &gt;= A1721 - 30)))
"),"#DIV/0!")</f>
        <v>#DIV/0!</v>
      </c>
      <c r="I1721" s="20" t="e">
        <f t="shared" ca="1" si="31"/>
        <v>#DIV/0!</v>
      </c>
      <c r="J1721" s="20" t="str">
        <f ca="1">IFERROR(__xludf.DUMMYFUNCTION("IF(OR($I1721=2, $I1721=3), 0, IFERROR(COUNTIFS($C$2:C1721, $C1721, $A$2:A1721, ""&gt;""&amp;IFERROR(MAX(FILTER($A$2:A1721, $C$2:C1721=$C1721, $I$2:I1721&lt;&gt;1)), 0), $I$2:I1721, 1),1))
"),"#DIV/0!")</f>
        <v>#DIV/0!</v>
      </c>
      <c r="K1721" s="7" t="e">
        <f t="shared" ca="1" si="32"/>
        <v>#DIV/0!</v>
      </c>
      <c r="L1721" s="20" t="e">
        <f t="shared" ca="1" si="33"/>
        <v>#DIV/0!</v>
      </c>
      <c r="M1721" s="21" t="e">
        <f t="shared" ca="1" si="34"/>
        <v>#DIV/0!</v>
      </c>
      <c r="N1721" s="20" t="str">
        <f ca="1">IFERROR(__xludf.DUMMYFUNCTION("IF(COUNTIFS($C$2:C1721, C1721, $A$2:A1721, ""&lt;="" &amp; A1721) &lt; 30, STDEV.P(FILTER($G$2:G1721, $C$2:C1721 = C1721)), STDEV.P(FILTER($G$2:G1721, $C$2:C1721 = C1721, $A$2:A1721 &gt;= A1721 - 30)))
"),"#DIV/0!")</f>
        <v>#DIV/0!</v>
      </c>
    </row>
    <row r="1722" spans="1:14" x14ac:dyDescent="0.2">
      <c r="A1722" s="41"/>
      <c r="B1722" s="40"/>
      <c r="C1722" s="40"/>
      <c r="D1722" s="31"/>
      <c r="E1722" s="31"/>
      <c r="F1722" s="31"/>
      <c r="G1722" s="19" t="e">
        <f t="shared" si="30"/>
        <v>#DIV/0!</v>
      </c>
      <c r="H1722" s="20" t="str">
        <f ca="1">IFERROR(__xludf.DUMMYFUNCTION("IF(COUNTIFS($C$2:C1722, C1722, $A$2:A1722, ""&lt;="" &amp; A1722) &lt; 30, AVERAGEIF($C$2:C1722, C1722, $G$2:G1722), AVERAGE(FILTER($G$2:G1722, $C$2:C1722 = C1722, $A$2:A1722 &gt;= A1722 - 30)))
"),"#DIV/0!")</f>
        <v>#DIV/0!</v>
      </c>
      <c r="I1722" s="20" t="e">
        <f t="shared" ca="1" si="31"/>
        <v>#DIV/0!</v>
      </c>
      <c r="J1722" s="20" t="str">
        <f ca="1">IFERROR(__xludf.DUMMYFUNCTION("IF(OR($I1722=2, $I1722=3), 0, IFERROR(COUNTIFS($C$2:C1722, $C1722, $A$2:A1722, ""&gt;""&amp;IFERROR(MAX(FILTER($A$2:A1722, $C$2:C1722=$C1722, $I$2:I1722&lt;&gt;1)), 0), $I$2:I1722, 1),1))
"),"#DIV/0!")</f>
        <v>#DIV/0!</v>
      </c>
      <c r="K1722" s="7" t="e">
        <f t="shared" ca="1" si="32"/>
        <v>#DIV/0!</v>
      </c>
      <c r="L1722" s="20" t="e">
        <f t="shared" ca="1" si="33"/>
        <v>#DIV/0!</v>
      </c>
      <c r="M1722" s="21" t="e">
        <f t="shared" ca="1" si="34"/>
        <v>#DIV/0!</v>
      </c>
      <c r="N1722" s="20" t="str">
        <f ca="1">IFERROR(__xludf.DUMMYFUNCTION("IF(COUNTIFS($C$2:C1722, C1722, $A$2:A1722, ""&lt;="" &amp; A1722) &lt; 30, STDEV.P(FILTER($G$2:G1722, $C$2:C1722 = C1722)), STDEV.P(FILTER($G$2:G1722, $C$2:C1722 = C1722, $A$2:A1722 &gt;= A1722 - 30)))
"),"#DIV/0!")</f>
        <v>#DIV/0!</v>
      </c>
    </row>
    <row r="1723" spans="1:14" x14ac:dyDescent="0.2">
      <c r="A1723" s="41"/>
      <c r="B1723" s="40"/>
      <c r="C1723" s="40"/>
      <c r="D1723" s="31"/>
      <c r="E1723" s="31"/>
      <c r="F1723" s="31"/>
      <c r="G1723" s="19" t="e">
        <f t="shared" si="30"/>
        <v>#DIV/0!</v>
      </c>
      <c r="H1723" s="20" t="str">
        <f ca="1">IFERROR(__xludf.DUMMYFUNCTION("IF(COUNTIFS($C$2:C1723, C1723, $A$2:A1723, ""&lt;="" &amp; A1723) &lt; 30, AVERAGEIF($C$2:C1723, C1723, $G$2:G1723), AVERAGE(FILTER($G$2:G1723, $C$2:C1723 = C1723, $A$2:A1723 &gt;= A1723 - 30)))
"),"#DIV/0!")</f>
        <v>#DIV/0!</v>
      </c>
      <c r="I1723" s="20" t="e">
        <f t="shared" ca="1" si="31"/>
        <v>#DIV/0!</v>
      </c>
      <c r="J1723" s="20" t="str">
        <f ca="1">IFERROR(__xludf.DUMMYFUNCTION("IF(OR($I1723=2, $I1723=3), 0, IFERROR(COUNTIFS($C$2:C1723, $C1723, $A$2:A1723, ""&gt;""&amp;IFERROR(MAX(FILTER($A$2:A1723, $C$2:C1723=$C1723, $I$2:I1723&lt;&gt;1)), 0), $I$2:I1723, 1),1))
"),"#DIV/0!")</f>
        <v>#DIV/0!</v>
      </c>
      <c r="K1723" s="7" t="e">
        <f t="shared" ca="1" si="32"/>
        <v>#DIV/0!</v>
      </c>
      <c r="L1723" s="20" t="e">
        <f t="shared" ca="1" si="33"/>
        <v>#DIV/0!</v>
      </c>
      <c r="M1723" s="21" t="e">
        <f t="shared" ca="1" si="34"/>
        <v>#DIV/0!</v>
      </c>
      <c r="N1723" s="20" t="str">
        <f ca="1">IFERROR(__xludf.DUMMYFUNCTION("IF(COUNTIFS($C$2:C1723, C1723, $A$2:A1723, ""&lt;="" &amp; A1723) &lt; 30, STDEV.P(FILTER($G$2:G1723, $C$2:C1723 = C1723)), STDEV.P(FILTER($G$2:G1723, $C$2:C1723 = C1723, $A$2:A1723 &gt;= A1723 - 30)))
"),"#DIV/0!")</f>
        <v>#DIV/0!</v>
      </c>
    </row>
    <row r="1724" spans="1:14" x14ac:dyDescent="0.2">
      <c r="A1724" s="41"/>
      <c r="B1724" s="40"/>
      <c r="C1724" s="40"/>
      <c r="D1724" s="31"/>
      <c r="E1724" s="31"/>
      <c r="F1724" s="31"/>
      <c r="G1724" s="19" t="e">
        <f t="shared" si="30"/>
        <v>#DIV/0!</v>
      </c>
      <c r="H1724" s="20" t="str">
        <f ca="1">IFERROR(__xludf.DUMMYFUNCTION("IF(COUNTIFS($C$2:C1724, C1724, $A$2:A1724, ""&lt;="" &amp; A1724) &lt; 30, AVERAGEIF($C$2:C1724, C1724, $G$2:G1724), AVERAGE(FILTER($G$2:G1724, $C$2:C1724 = C1724, $A$2:A1724 &gt;= A1724 - 30)))
"),"#DIV/0!")</f>
        <v>#DIV/0!</v>
      </c>
      <c r="I1724" s="20" t="e">
        <f t="shared" ca="1" si="31"/>
        <v>#DIV/0!</v>
      </c>
      <c r="J1724" s="20" t="str">
        <f ca="1">IFERROR(__xludf.DUMMYFUNCTION("IF(OR($I1724=2, $I1724=3), 0, IFERROR(COUNTIFS($C$2:C1724, $C1724, $A$2:A1724, ""&gt;""&amp;IFERROR(MAX(FILTER($A$2:A1724, $C$2:C1724=$C1724, $I$2:I1724&lt;&gt;1)), 0), $I$2:I1724, 1),1))
"),"#DIV/0!")</f>
        <v>#DIV/0!</v>
      </c>
      <c r="K1724" s="7" t="e">
        <f t="shared" ca="1" si="32"/>
        <v>#DIV/0!</v>
      </c>
      <c r="L1724" s="20" t="e">
        <f t="shared" ca="1" si="33"/>
        <v>#DIV/0!</v>
      </c>
      <c r="M1724" s="21" t="e">
        <f t="shared" ca="1" si="34"/>
        <v>#DIV/0!</v>
      </c>
      <c r="N1724" s="20" t="str">
        <f ca="1">IFERROR(__xludf.DUMMYFUNCTION("IF(COUNTIFS($C$2:C1724, C1724, $A$2:A1724, ""&lt;="" &amp; A1724) &lt; 30, STDEV.P(FILTER($G$2:G1724, $C$2:C1724 = C1724)), STDEV.P(FILTER($G$2:G1724, $C$2:C1724 = C1724, $A$2:A1724 &gt;= A1724 - 30)))
"),"#DIV/0!")</f>
        <v>#DIV/0!</v>
      </c>
    </row>
    <row r="1725" spans="1:14" x14ac:dyDescent="0.2">
      <c r="A1725" s="41"/>
      <c r="B1725" s="40"/>
      <c r="C1725" s="40"/>
      <c r="D1725" s="31"/>
      <c r="E1725" s="31"/>
      <c r="F1725" s="31"/>
      <c r="G1725" s="19" t="e">
        <f t="shared" si="30"/>
        <v>#DIV/0!</v>
      </c>
      <c r="H1725" s="20" t="str">
        <f ca="1">IFERROR(__xludf.DUMMYFUNCTION("IF(COUNTIFS($C$2:C1725, C1725, $A$2:A1725, ""&lt;="" &amp; A1725) &lt; 30, AVERAGEIF($C$2:C1725, C1725, $G$2:G1725), AVERAGE(FILTER($G$2:G1725, $C$2:C1725 = C1725, $A$2:A1725 &gt;= A1725 - 30)))
"),"#DIV/0!")</f>
        <v>#DIV/0!</v>
      </c>
      <c r="I1725" s="20" t="e">
        <f t="shared" ca="1" si="31"/>
        <v>#DIV/0!</v>
      </c>
      <c r="J1725" s="20" t="str">
        <f ca="1">IFERROR(__xludf.DUMMYFUNCTION("IF(OR($I1725=2, $I1725=3), 0, IFERROR(COUNTIFS($C$2:C1725, $C1725, $A$2:A1725, ""&gt;""&amp;IFERROR(MAX(FILTER($A$2:A1725, $C$2:C1725=$C1725, $I$2:I1725&lt;&gt;1)), 0), $I$2:I1725, 1),1))
"),"#DIV/0!")</f>
        <v>#DIV/0!</v>
      </c>
      <c r="K1725" s="7" t="e">
        <f t="shared" ca="1" si="32"/>
        <v>#DIV/0!</v>
      </c>
      <c r="L1725" s="20" t="e">
        <f t="shared" ca="1" si="33"/>
        <v>#DIV/0!</v>
      </c>
      <c r="M1725" s="21" t="e">
        <f t="shared" ca="1" si="34"/>
        <v>#DIV/0!</v>
      </c>
      <c r="N1725" s="20" t="str">
        <f ca="1">IFERROR(__xludf.DUMMYFUNCTION("IF(COUNTIFS($C$2:C1725, C1725, $A$2:A1725, ""&lt;="" &amp; A1725) &lt; 30, STDEV.P(FILTER($G$2:G1725, $C$2:C1725 = C1725)), STDEV.P(FILTER($G$2:G1725, $C$2:C1725 = C1725, $A$2:A1725 &gt;= A1725 - 30)))
"),"#DIV/0!")</f>
        <v>#DIV/0!</v>
      </c>
    </row>
    <row r="1726" spans="1:14" x14ac:dyDescent="0.2">
      <c r="A1726" s="41"/>
      <c r="B1726" s="40"/>
      <c r="C1726" s="40"/>
      <c r="D1726" s="31"/>
      <c r="E1726" s="31"/>
      <c r="F1726" s="31"/>
      <c r="G1726" s="19" t="e">
        <f t="shared" si="30"/>
        <v>#DIV/0!</v>
      </c>
      <c r="H1726" s="20" t="str">
        <f ca="1">IFERROR(__xludf.DUMMYFUNCTION("IF(COUNTIFS($C$2:C1726, C1726, $A$2:A1726, ""&lt;="" &amp; A1726) &lt; 30, AVERAGEIF($C$2:C1726, C1726, $G$2:G1726), AVERAGE(FILTER($G$2:G1726, $C$2:C1726 = C1726, $A$2:A1726 &gt;= A1726 - 30)))
"),"#DIV/0!")</f>
        <v>#DIV/0!</v>
      </c>
      <c r="I1726" s="20" t="e">
        <f t="shared" ca="1" si="31"/>
        <v>#DIV/0!</v>
      </c>
      <c r="J1726" s="20" t="str">
        <f ca="1">IFERROR(__xludf.DUMMYFUNCTION("IF(OR($I1726=2, $I1726=3), 0, IFERROR(COUNTIFS($C$2:C1726, $C1726, $A$2:A1726, ""&gt;""&amp;IFERROR(MAX(FILTER($A$2:A1726, $C$2:C1726=$C1726, $I$2:I1726&lt;&gt;1)), 0), $I$2:I1726, 1),1))
"),"#DIV/0!")</f>
        <v>#DIV/0!</v>
      </c>
      <c r="K1726" s="7" t="e">
        <f t="shared" ca="1" si="32"/>
        <v>#DIV/0!</v>
      </c>
      <c r="L1726" s="20" t="e">
        <f t="shared" ca="1" si="33"/>
        <v>#DIV/0!</v>
      </c>
      <c r="M1726" s="21" t="e">
        <f t="shared" ca="1" si="34"/>
        <v>#DIV/0!</v>
      </c>
      <c r="N1726" s="20" t="str">
        <f ca="1">IFERROR(__xludf.DUMMYFUNCTION("IF(COUNTIFS($C$2:C1726, C1726, $A$2:A1726, ""&lt;="" &amp; A1726) &lt; 30, STDEV.P(FILTER($G$2:G1726, $C$2:C1726 = C1726)), STDEV.P(FILTER($G$2:G1726, $C$2:C1726 = C1726, $A$2:A1726 &gt;= A1726 - 30)))
"),"#DIV/0!")</f>
        <v>#DIV/0!</v>
      </c>
    </row>
    <row r="1727" spans="1:14" x14ac:dyDescent="0.2">
      <c r="A1727" s="41"/>
      <c r="B1727" s="40"/>
      <c r="C1727" s="40"/>
      <c r="D1727" s="31"/>
      <c r="E1727" s="31"/>
      <c r="F1727" s="31"/>
      <c r="G1727" s="19" t="e">
        <f t="shared" si="30"/>
        <v>#DIV/0!</v>
      </c>
      <c r="H1727" s="20" t="str">
        <f ca="1">IFERROR(__xludf.DUMMYFUNCTION("IF(COUNTIFS($C$2:C1727, C1727, $A$2:A1727, ""&lt;="" &amp; A1727) &lt; 30, AVERAGEIF($C$2:C1727, C1727, $G$2:G1727), AVERAGE(FILTER($G$2:G1727, $C$2:C1727 = C1727, $A$2:A1727 &gt;= A1727 - 30)))
"),"#DIV/0!")</f>
        <v>#DIV/0!</v>
      </c>
      <c r="I1727" s="20" t="e">
        <f t="shared" ca="1" si="31"/>
        <v>#DIV/0!</v>
      </c>
      <c r="J1727" s="20" t="str">
        <f ca="1">IFERROR(__xludf.DUMMYFUNCTION("IF(OR($I1727=2, $I1727=3), 0, IFERROR(COUNTIFS($C$2:C1727, $C1727, $A$2:A1727, ""&gt;""&amp;IFERROR(MAX(FILTER($A$2:A1727, $C$2:C1727=$C1727, $I$2:I1727&lt;&gt;1)), 0), $I$2:I1727, 1),1))
"),"#DIV/0!")</f>
        <v>#DIV/0!</v>
      </c>
      <c r="K1727" s="7" t="e">
        <f t="shared" ca="1" si="32"/>
        <v>#DIV/0!</v>
      </c>
      <c r="L1727" s="20" t="e">
        <f t="shared" ca="1" si="33"/>
        <v>#DIV/0!</v>
      </c>
      <c r="M1727" s="21" t="e">
        <f t="shared" ca="1" si="34"/>
        <v>#DIV/0!</v>
      </c>
      <c r="N1727" s="20" t="str">
        <f ca="1">IFERROR(__xludf.DUMMYFUNCTION("IF(COUNTIFS($C$2:C1727, C1727, $A$2:A1727, ""&lt;="" &amp; A1727) &lt; 30, STDEV.P(FILTER($G$2:G1727, $C$2:C1727 = C1727)), STDEV.P(FILTER($G$2:G1727, $C$2:C1727 = C1727, $A$2:A1727 &gt;= A1727 - 30)))
"),"#DIV/0!")</f>
        <v>#DIV/0!</v>
      </c>
    </row>
    <row r="1728" spans="1:14" x14ac:dyDescent="0.2">
      <c r="A1728" s="41"/>
      <c r="B1728" s="40"/>
      <c r="C1728" s="40"/>
      <c r="D1728" s="31"/>
      <c r="E1728" s="31"/>
      <c r="F1728" s="31"/>
      <c r="G1728" s="19" t="e">
        <f t="shared" si="30"/>
        <v>#DIV/0!</v>
      </c>
      <c r="H1728" s="20" t="str">
        <f ca="1">IFERROR(__xludf.DUMMYFUNCTION("IF(COUNTIFS($C$2:C1728, C1728, $A$2:A1728, ""&lt;="" &amp; A1728) &lt; 30, AVERAGEIF($C$2:C1728, C1728, $G$2:G1728), AVERAGE(FILTER($G$2:G1728, $C$2:C1728 = C1728, $A$2:A1728 &gt;= A1728 - 30)))
"),"#DIV/0!")</f>
        <v>#DIV/0!</v>
      </c>
      <c r="I1728" s="20" t="e">
        <f t="shared" ca="1" si="31"/>
        <v>#DIV/0!</v>
      </c>
      <c r="J1728" s="20" t="str">
        <f ca="1">IFERROR(__xludf.DUMMYFUNCTION("IF(OR($I1728=2, $I1728=3), 0, IFERROR(COUNTIFS($C$2:C1728, $C1728, $A$2:A1728, ""&gt;""&amp;IFERROR(MAX(FILTER($A$2:A1728, $C$2:C1728=$C1728, $I$2:I1728&lt;&gt;1)), 0), $I$2:I1728, 1),1))
"),"#DIV/0!")</f>
        <v>#DIV/0!</v>
      </c>
      <c r="K1728" s="7" t="e">
        <f t="shared" ca="1" si="32"/>
        <v>#DIV/0!</v>
      </c>
      <c r="L1728" s="20" t="e">
        <f t="shared" ca="1" si="33"/>
        <v>#DIV/0!</v>
      </c>
      <c r="M1728" s="21" t="e">
        <f t="shared" ca="1" si="34"/>
        <v>#DIV/0!</v>
      </c>
      <c r="N1728" s="20" t="str">
        <f ca="1">IFERROR(__xludf.DUMMYFUNCTION("IF(COUNTIFS($C$2:C1728, C1728, $A$2:A1728, ""&lt;="" &amp; A1728) &lt; 30, STDEV.P(FILTER($G$2:G1728, $C$2:C1728 = C1728)), STDEV.P(FILTER($G$2:G1728, $C$2:C1728 = C1728, $A$2:A1728 &gt;= A1728 - 30)))
"),"#DIV/0!")</f>
        <v>#DIV/0!</v>
      </c>
    </row>
    <row r="1729" spans="1:14" x14ac:dyDescent="0.2">
      <c r="A1729" s="41"/>
      <c r="B1729" s="40"/>
      <c r="C1729" s="40"/>
      <c r="D1729" s="31"/>
      <c r="E1729" s="31"/>
      <c r="F1729" s="31"/>
      <c r="G1729" s="19" t="e">
        <f t="shared" si="30"/>
        <v>#DIV/0!</v>
      </c>
      <c r="H1729" s="20" t="str">
        <f ca="1">IFERROR(__xludf.DUMMYFUNCTION("IF(COUNTIFS($C$2:C1729, C1729, $A$2:A1729, ""&lt;="" &amp; A1729) &lt; 30, AVERAGEIF($C$2:C1729, C1729, $G$2:G1729), AVERAGE(FILTER($G$2:G1729, $C$2:C1729 = C1729, $A$2:A1729 &gt;= A1729 - 30)))
"),"#DIV/0!")</f>
        <v>#DIV/0!</v>
      </c>
      <c r="I1729" s="20" t="e">
        <f t="shared" ca="1" si="31"/>
        <v>#DIV/0!</v>
      </c>
      <c r="J1729" s="20" t="str">
        <f ca="1">IFERROR(__xludf.DUMMYFUNCTION("IF(OR($I1729=2, $I1729=3), 0, IFERROR(COUNTIFS($C$2:C1729, $C1729, $A$2:A1729, ""&gt;""&amp;IFERROR(MAX(FILTER($A$2:A1729, $C$2:C1729=$C1729, $I$2:I1729&lt;&gt;1)), 0), $I$2:I1729, 1),1))
"),"#DIV/0!")</f>
        <v>#DIV/0!</v>
      </c>
      <c r="K1729" s="7" t="e">
        <f t="shared" ca="1" si="32"/>
        <v>#DIV/0!</v>
      </c>
      <c r="L1729" s="20" t="e">
        <f t="shared" ca="1" si="33"/>
        <v>#DIV/0!</v>
      </c>
      <c r="M1729" s="21" t="e">
        <f t="shared" ca="1" si="34"/>
        <v>#DIV/0!</v>
      </c>
      <c r="N1729" s="20" t="str">
        <f ca="1">IFERROR(__xludf.DUMMYFUNCTION("IF(COUNTIFS($C$2:C1729, C1729, $A$2:A1729, ""&lt;="" &amp; A1729) &lt; 30, STDEV.P(FILTER($G$2:G1729, $C$2:C1729 = C1729)), STDEV.P(FILTER($G$2:G1729, $C$2:C1729 = C1729, $A$2:A1729 &gt;= A1729 - 30)))
"),"#DIV/0!")</f>
        <v>#DIV/0!</v>
      </c>
    </row>
    <row r="1730" spans="1:14" x14ac:dyDescent="0.2">
      <c r="A1730" s="41"/>
      <c r="B1730" s="40"/>
      <c r="C1730" s="40"/>
      <c r="D1730" s="31"/>
      <c r="E1730" s="31"/>
      <c r="F1730" s="31"/>
      <c r="G1730" s="19" t="e">
        <f t="shared" si="30"/>
        <v>#DIV/0!</v>
      </c>
      <c r="H1730" s="20" t="str">
        <f ca="1">IFERROR(__xludf.DUMMYFUNCTION("IF(COUNTIFS($C$2:C1730, C1730, $A$2:A1730, ""&lt;="" &amp; A1730) &lt; 30, AVERAGEIF($C$2:C1730, C1730, $G$2:G1730), AVERAGE(FILTER($G$2:G1730, $C$2:C1730 = C1730, $A$2:A1730 &gt;= A1730 - 30)))
"),"#DIV/0!")</f>
        <v>#DIV/0!</v>
      </c>
      <c r="I1730" s="20" t="e">
        <f t="shared" ca="1" si="31"/>
        <v>#DIV/0!</v>
      </c>
      <c r="J1730" s="20" t="str">
        <f ca="1">IFERROR(__xludf.DUMMYFUNCTION("IF(OR($I1730=2, $I1730=3), 0, IFERROR(COUNTIFS($C$2:C1730, $C1730, $A$2:A1730, ""&gt;""&amp;IFERROR(MAX(FILTER($A$2:A1730, $C$2:C1730=$C1730, $I$2:I1730&lt;&gt;1)), 0), $I$2:I1730, 1),1))
"),"#DIV/0!")</f>
        <v>#DIV/0!</v>
      </c>
      <c r="K1730" s="7" t="e">
        <f t="shared" ca="1" si="32"/>
        <v>#DIV/0!</v>
      </c>
      <c r="L1730" s="20" t="e">
        <f t="shared" ca="1" si="33"/>
        <v>#DIV/0!</v>
      </c>
      <c r="M1730" s="21" t="e">
        <f t="shared" ca="1" si="34"/>
        <v>#DIV/0!</v>
      </c>
      <c r="N1730" s="20" t="str">
        <f ca="1">IFERROR(__xludf.DUMMYFUNCTION("IF(COUNTIFS($C$2:C1730, C1730, $A$2:A1730, ""&lt;="" &amp; A1730) &lt; 30, STDEV.P(FILTER($G$2:G1730, $C$2:C1730 = C1730)), STDEV.P(FILTER($G$2:G1730, $C$2:C1730 = C1730, $A$2:A1730 &gt;= A1730 - 30)))
"),"#DIV/0!")</f>
        <v>#DIV/0!</v>
      </c>
    </row>
    <row r="1731" spans="1:14" x14ac:dyDescent="0.2">
      <c r="A1731" s="41"/>
      <c r="B1731" s="40"/>
      <c r="C1731" s="40"/>
      <c r="D1731" s="31"/>
      <c r="E1731" s="31"/>
      <c r="F1731" s="31"/>
      <c r="G1731" s="19" t="e">
        <f t="shared" si="30"/>
        <v>#DIV/0!</v>
      </c>
      <c r="H1731" s="20" t="str">
        <f ca="1">IFERROR(__xludf.DUMMYFUNCTION("IF(COUNTIFS($C$2:C1731, C1731, $A$2:A1731, ""&lt;="" &amp; A1731) &lt; 30, AVERAGEIF($C$2:C1731, C1731, $G$2:G1731), AVERAGE(FILTER($G$2:G1731, $C$2:C1731 = C1731, $A$2:A1731 &gt;= A1731 - 30)))
"),"#DIV/0!")</f>
        <v>#DIV/0!</v>
      </c>
      <c r="I1731" s="20" t="e">
        <f t="shared" ca="1" si="31"/>
        <v>#DIV/0!</v>
      </c>
      <c r="J1731" s="20" t="str">
        <f ca="1">IFERROR(__xludf.DUMMYFUNCTION("IF(OR($I1731=2, $I1731=3), 0, IFERROR(COUNTIFS($C$2:C1731, $C1731, $A$2:A1731, ""&gt;""&amp;IFERROR(MAX(FILTER($A$2:A1731, $C$2:C1731=$C1731, $I$2:I1731&lt;&gt;1)), 0), $I$2:I1731, 1),1))
"),"#DIV/0!")</f>
        <v>#DIV/0!</v>
      </c>
      <c r="K1731" s="7" t="e">
        <f t="shared" ca="1" si="32"/>
        <v>#DIV/0!</v>
      </c>
      <c r="L1731" s="20" t="e">
        <f t="shared" ca="1" si="33"/>
        <v>#DIV/0!</v>
      </c>
      <c r="M1731" s="21" t="e">
        <f t="shared" ca="1" si="34"/>
        <v>#DIV/0!</v>
      </c>
      <c r="N1731" s="20" t="str">
        <f ca="1">IFERROR(__xludf.DUMMYFUNCTION("IF(COUNTIFS($C$2:C1731, C1731, $A$2:A1731, ""&lt;="" &amp; A1731) &lt; 30, STDEV.P(FILTER($G$2:G1731, $C$2:C1731 = C1731)), STDEV.P(FILTER($G$2:G1731, $C$2:C1731 = C1731, $A$2:A1731 &gt;= A1731 - 30)))
"),"#DIV/0!")</f>
        <v>#DIV/0!</v>
      </c>
    </row>
    <row r="1732" spans="1:14" x14ac:dyDescent="0.2">
      <c r="A1732" s="41"/>
      <c r="B1732" s="40"/>
      <c r="C1732" s="40"/>
      <c r="D1732" s="31"/>
      <c r="E1732" s="31"/>
      <c r="F1732" s="31"/>
      <c r="G1732" s="19" t="e">
        <f t="shared" si="30"/>
        <v>#DIV/0!</v>
      </c>
      <c r="H1732" s="20" t="str">
        <f ca="1">IFERROR(__xludf.DUMMYFUNCTION("IF(COUNTIFS($C$2:C1732, C1732, $A$2:A1732, ""&lt;="" &amp; A1732) &lt; 30, AVERAGEIF($C$2:C1732, C1732, $G$2:G1732), AVERAGE(FILTER($G$2:G1732, $C$2:C1732 = C1732, $A$2:A1732 &gt;= A1732 - 30)))
"),"#DIV/0!")</f>
        <v>#DIV/0!</v>
      </c>
      <c r="I1732" s="20" t="e">
        <f t="shared" ca="1" si="31"/>
        <v>#DIV/0!</v>
      </c>
      <c r="J1732" s="20" t="str">
        <f ca="1">IFERROR(__xludf.DUMMYFUNCTION("IF(OR($I1732=2, $I1732=3), 0, IFERROR(COUNTIFS($C$2:C1732, $C1732, $A$2:A1732, ""&gt;""&amp;IFERROR(MAX(FILTER($A$2:A1732, $C$2:C1732=$C1732, $I$2:I1732&lt;&gt;1)), 0), $I$2:I1732, 1),1))
"),"#DIV/0!")</f>
        <v>#DIV/0!</v>
      </c>
      <c r="K1732" s="7" t="e">
        <f t="shared" ca="1" si="32"/>
        <v>#DIV/0!</v>
      </c>
      <c r="L1732" s="20" t="e">
        <f t="shared" ca="1" si="33"/>
        <v>#DIV/0!</v>
      </c>
      <c r="M1732" s="21" t="e">
        <f t="shared" ca="1" si="34"/>
        <v>#DIV/0!</v>
      </c>
      <c r="N1732" s="20" t="str">
        <f ca="1">IFERROR(__xludf.DUMMYFUNCTION("IF(COUNTIFS($C$2:C1732, C1732, $A$2:A1732, ""&lt;="" &amp; A1732) &lt; 30, STDEV.P(FILTER($G$2:G1732, $C$2:C1732 = C1732)), STDEV.P(FILTER($G$2:G1732, $C$2:C1732 = C1732, $A$2:A1732 &gt;= A1732 - 30)))
"),"#DIV/0!")</f>
        <v>#DIV/0!</v>
      </c>
    </row>
    <row r="1733" spans="1:14" x14ac:dyDescent="0.2">
      <c r="A1733" s="41"/>
      <c r="B1733" s="40"/>
      <c r="C1733" s="40"/>
      <c r="D1733" s="31"/>
      <c r="E1733" s="31"/>
      <c r="F1733" s="31"/>
      <c r="G1733" s="19" t="e">
        <f t="shared" si="30"/>
        <v>#DIV/0!</v>
      </c>
      <c r="H1733" s="20" t="str">
        <f ca="1">IFERROR(__xludf.DUMMYFUNCTION("IF(COUNTIFS($C$2:C1733, C1733, $A$2:A1733, ""&lt;="" &amp; A1733) &lt; 30, AVERAGEIF($C$2:C1733, C1733, $G$2:G1733), AVERAGE(FILTER($G$2:G1733, $C$2:C1733 = C1733, $A$2:A1733 &gt;= A1733 - 30)))
"),"#DIV/0!")</f>
        <v>#DIV/0!</v>
      </c>
      <c r="I1733" s="20" t="e">
        <f t="shared" ca="1" si="31"/>
        <v>#DIV/0!</v>
      </c>
      <c r="J1733" s="20" t="str">
        <f ca="1">IFERROR(__xludf.DUMMYFUNCTION("IF(OR($I1733=2, $I1733=3), 0, IFERROR(COUNTIFS($C$2:C1733, $C1733, $A$2:A1733, ""&gt;""&amp;IFERROR(MAX(FILTER($A$2:A1733, $C$2:C1733=$C1733, $I$2:I1733&lt;&gt;1)), 0), $I$2:I1733, 1),1))
"),"#DIV/0!")</f>
        <v>#DIV/0!</v>
      </c>
      <c r="K1733" s="7" t="e">
        <f t="shared" ca="1" si="32"/>
        <v>#DIV/0!</v>
      </c>
      <c r="L1733" s="20" t="e">
        <f t="shared" ca="1" si="33"/>
        <v>#DIV/0!</v>
      </c>
      <c r="M1733" s="21" t="e">
        <f t="shared" ca="1" si="34"/>
        <v>#DIV/0!</v>
      </c>
      <c r="N1733" s="20" t="str">
        <f ca="1">IFERROR(__xludf.DUMMYFUNCTION("IF(COUNTIFS($C$2:C1733, C1733, $A$2:A1733, ""&lt;="" &amp; A1733) &lt; 30, STDEV.P(FILTER($G$2:G1733, $C$2:C1733 = C1733)), STDEV.P(FILTER($G$2:G1733, $C$2:C1733 = C1733, $A$2:A1733 &gt;= A1733 - 30)))
"),"#DIV/0!")</f>
        <v>#DIV/0!</v>
      </c>
    </row>
    <row r="1734" spans="1:14" x14ac:dyDescent="0.2">
      <c r="A1734" s="41"/>
      <c r="B1734" s="40"/>
      <c r="C1734" s="40"/>
      <c r="D1734" s="31"/>
      <c r="E1734" s="31"/>
      <c r="F1734" s="31"/>
      <c r="G1734" s="19" t="e">
        <f t="shared" si="30"/>
        <v>#DIV/0!</v>
      </c>
      <c r="H1734" s="20" t="str">
        <f ca="1">IFERROR(__xludf.DUMMYFUNCTION("IF(COUNTIFS($C$2:C1734, C1734, $A$2:A1734, ""&lt;="" &amp; A1734) &lt; 30, AVERAGEIF($C$2:C1734, C1734, $G$2:G1734), AVERAGE(FILTER($G$2:G1734, $C$2:C1734 = C1734, $A$2:A1734 &gt;= A1734 - 30)))
"),"#DIV/0!")</f>
        <v>#DIV/0!</v>
      </c>
      <c r="I1734" s="20" t="e">
        <f t="shared" ca="1" si="31"/>
        <v>#DIV/0!</v>
      </c>
      <c r="J1734" s="20" t="str">
        <f ca="1">IFERROR(__xludf.DUMMYFUNCTION("IF(OR($I1734=2, $I1734=3), 0, IFERROR(COUNTIFS($C$2:C1734, $C1734, $A$2:A1734, ""&gt;""&amp;IFERROR(MAX(FILTER($A$2:A1734, $C$2:C1734=$C1734, $I$2:I1734&lt;&gt;1)), 0), $I$2:I1734, 1),1))
"),"#DIV/0!")</f>
        <v>#DIV/0!</v>
      </c>
      <c r="K1734" s="7" t="e">
        <f t="shared" ca="1" si="32"/>
        <v>#DIV/0!</v>
      </c>
      <c r="L1734" s="20" t="e">
        <f t="shared" ca="1" si="33"/>
        <v>#DIV/0!</v>
      </c>
      <c r="M1734" s="21" t="e">
        <f t="shared" ca="1" si="34"/>
        <v>#DIV/0!</v>
      </c>
      <c r="N1734" s="20" t="str">
        <f ca="1">IFERROR(__xludf.DUMMYFUNCTION("IF(COUNTIFS($C$2:C1734, C1734, $A$2:A1734, ""&lt;="" &amp; A1734) &lt; 30, STDEV.P(FILTER($G$2:G1734, $C$2:C1734 = C1734)), STDEV.P(FILTER($G$2:G1734, $C$2:C1734 = C1734, $A$2:A1734 &gt;= A1734 - 30)))
"),"#DIV/0!")</f>
        <v>#DIV/0!</v>
      </c>
    </row>
    <row r="1735" spans="1:14" x14ac:dyDescent="0.2">
      <c r="A1735" s="41"/>
      <c r="B1735" s="40"/>
      <c r="C1735" s="40"/>
      <c r="D1735" s="31"/>
      <c r="E1735" s="31"/>
      <c r="F1735" s="31"/>
      <c r="G1735" s="19" t="e">
        <f t="shared" si="30"/>
        <v>#DIV/0!</v>
      </c>
      <c r="H1735" s="20" t="str">
        <f ca="1">IFERROR(__xludf.DUMMYFUNCTION("IF(COUNTIFS($C$2:C1735, C1735, $A$2:A1735, ""&lt;="" &amp; A1735) &lt; 30, AVERAGEIF($C$2:C1735, C1735, $G$2:G1735), AVERAGE(FILTER($G$2:G1735, $C$2:C1735 = C1735, $A$2:A1735 &gt;= A1735 - 30)))
"),"#DIV/0!")</f>
        <v>#DIV/0!</v>
      </c>
      <c r="I1735" s="20" t="e">
        <f t="shared" ca="1" si="31"/>
        <v>#DIV/0!</v>
      </c>
      <c r="J1735" s="20" t="str">
        <f ca="1">IFERROR(__xludf.DUMMYFUNCTION("IF(OR($I1735=2, $I1735=3), 0, IFERROR(COUNTIFS($C$2:C1735, $C1735, $A$2:A1735, ""&gt;""&amp;IFERROR(MAX(FILTER($A$2:A1735, $C$2:C1735=$C1735, $I$2:I1735&lt;&gt;1)), 0), $I$2:I1735, 1),1))
"),"#DIV/0!")</f>
        <v>#DIV/0!</v>
      </c>
      <c r="K1735" s="7" t="e">
        <f t="shared" ca="1" si="32"/>
        <v>#DIV/0!</v>
      </c>
      <c r="L1735" s="20" t="e">
        <f t="shared" ca="1" si="33"/>
        <v>#DIV/0!</v>
      </c>
      <c r="M1735" s="21" t="e">
        <f t="shared" ca="1" si="34"/>
        <v>#DIV/0!</v>
      </c>
      <c r="N1735" s="20" t="str">
        <f ca="1">IFERROR(__xludf.DUMMYFUNCTION("IF(COUNTIFS($C$2:C1735, C1735, $A$2:A1735, ""&lt;="" &amp; A1735) &lt; 30, STDEV.P(FILTER($G$2:G1735, $C$2:C1735 = C1735)), STDEV.P(FILTER($G$2:G1735, $C$2:C1735 = C1735, $A$2:A1735 &gt;= A1735 - 30)))
"),"#DIV/0!")</f>
        <v>#DIV/0!</v>
      </c>
    </row>
    <row r="1736" spans="1:14" x14ac:dyDescent="0.2">
      <c r="A1736" s="41"/>
      <c r="B1736" s="40"/>
      <c r="C1736" s="40"/>
      <c r="D1736" s="31"/>
      <c r="E1736" s="31"/>
      <c r="F1736" s="31"/>
      <c r="G1736" s="19" t="e">
        <f t="shared" si="30"/>
        <v>#DIV/0!</v>
      </c>
      <c r="H1736" s="20" t="str">
        <f ca="1">IFERROR(__xludf.DUMMYFUNCTION("IF(COUNTIFS($C$2:C1736, C1736, $A$2:A1736, ""&lt;="" &amp; A1736) &lt; 30, AVERAGEIF($C$2:C1736, C1736, $G$2:G1736), AVERAGE(FILTER($G$2:G1736, $C$2:C1736 = C1736, $A$2:A1736 &gt;= A1736 - 30)))
"),"#DIV/0!")</f>
        <v>#DIV/0!</v>
      </c>
      <c r="I1736" s="20" t="e">
        <f t="shared" ca="1" si="31"/>
        <v>#DIV/0!</v>
      </c>
      <c r="J1736" s="20" t="str">
        <f ca="1">IFERROR(__xludf.DUMMYFUNCTION("IF(OR($I1736=2, $I1736=3), 0, IFERROR(COUNTIFS($C$2:C1736, $C1736, $A$2:A1736, ""&gt;""&amp;IFERROR(MAX(FILTER($A$2:A1736, $C$2:C1736=$C1736, $I$2:I1736&lt;&gt;1)), 0), $I$2:I1736, 1),1))
"),"#DIV/0!")</f>
        <v>#DIV/0!</v>
      </c>
      <c r="K1736" s="7" t="e">
        <f t="shared" ca="1" si="32"/>
        <v>#DIV/0!</v>
      </c>
      <c r="L1736" s="20" t="e">
        <f t="shared" ca="1" si="33"/>
        <v>#DIV/0!</v>
      </c>
      <c r="M1736" s="21" t="e">
        <f t="shared" ca="1" si="34"/>
        <v>#DIV/0!</v>
      </c>
      <c r="N1736" s="20" t="str">
        <f ca="1">IFERROR(__xludf.DUMMYFUNCTION("IF(COUNTIFS($C$2:C1736, C1736, $A$2:A1736, ""&lt;="" &amp; A1736) &lt; 30, STDEV.P(FILTER($G$2:G1736, $C$2:C1736 = C1736)), STDEV.P(FILTER($G$2:G1736, $C$2:C1736 = C1736, $A$2:A1736 &gt;= A1736 - 30)))
"),"#DIV/0!")</f>
        <v>#DIV/0!</v>
      </c>
    </row>
    <row r="1737" spans="1:14" x14ac:dyDescent="0.2">
      <c r="A1737" s="41"/>
      <c r="B1737" s="40"/>
      <c r="C1737" s="40"/>
      <c r="D1737" s="31"/>
      <c r="E1737" s="31"/>
      <c r="F1737" s="31"/>
      <c r="G1737" s="19" t="e">
        <f t="shared" si="30"/>
        <v>#DIV/0!</v>
      </c>
      <c r="H1737" s="20" t="str">
        <f ca="1">IFERROR(__xludf.DUMMYFUNCTION("IF(COUNTIFS($C$2:C1737, C1737, $A$2:A1737, ""&lt;="" &amp; A1737) &lt; 30, AVERAGEIF($C$2:C1737, C1737, $G$2:G1737), AVERAGE(FILTER($G$2:G1737, $C$2:C1737 = C1737, $A$2:A1737 &gt;= A1737 - 30)))
"),"#DIV/0!")</f>
        <v>#DIV/0!</v>
      </c>
      <c r="I1737" s="20" t="e">
        <f t="shared" ca="1" si="31"/>
        <v>#DIV/0!</v>
      </c>
      <c r="J1737" s="20" t="str">
        <f ca="1">IFERROR(__xludf.DUMMYFUNCTION("IF(OR($I1737=2, $I1737=3), 0, IFERROR(COUNTIFS($C$2:C1737, $C1737, $A$2:A1737, ""&gt;""&amp;IFERROR(MAX(FILTER($A$2:A1737, $C$2:C1737=$C1737, $I$2:I1737&lt;&gt;1)), 0), $I$2:I1737, 1),1))
"),"#DIV/0!")</f>
        <v>#DIV/0!</v>
      </c>
      <c r="K1737" s="7" t="e">
        <f t="shared" ca="1" si="32"/>
        <v>#DIV/0!</v>
      </c>
      <c r="L1737" s="20" t="e">
        <f t="shared" ca="1" si="33"/>
        <v>#DIV/0!</v>
      </c>
      <c r="M1737" s="21" t="e">
        <f t="shared" ca="1" si="34"/>
        <v>#DIV/0!</v>
      </c>
      <c r="N1737" s="20" t="str">
        <f ca="1">IFERROR(__xludf.DUMMYFUNCTION("IF(COUNTIFS($C$2:C1737, C1737, $A$2:A1737, ""&lt;="" &amp; A1737) &lt; 30, STDEV.P(FILTER($G$2:G1737, $C$2:C1737 = C1737)), STDEV.P(FILTER($G$2:G1737, $C$2:C1737 = C1737, $A$2:A1737 &gt;= A1737 - 30)))
"),"#DIV/0!")</f>
        <v>#DIV/0!</v>
      </c>
    </row>
    <row r="1738" spans="1:14" x14ac:dyDescent="0.2">
      <c r="A1738" s="41"/>
      <c r="B1738" s="40"/>
      <c r="C1738" s="40"/>
      <c r="D1738" s="31"/>
      <c r="E1738" s="31"/>
      <c r="F1738" s="31"/>
      <c r="G1738" s="19" t="e">
        <f t="shared" si="30"/>
        <v>#DIV/0!</v>
      </c>
      <c r="H1738" s="20" t="str">
        <f ca="1">IFERROR(__xludf.DUMMYFUNCTION("IF(COUNTIFS($C$2:C1738, C1738, $A$2:A1738, ""&lt;="" &amp; A1738) &lt; 30, AVERAGEIF($C$2:C1738, C1738, $G$2:G1738), AVERAGE(FILTER($G$2:G1738, $C$2:C1738 = C1738, $A$2:A1738 &gt;= A1738 - 30)))
"),"#DIV/0!")</f>
        <v>#DIV/0!</v>
      </c>
      <c r="I1738" s="20" t="e">
        <f t="shared" ca="1" si="31"/>
        <v>#DIV/0!</v>
      </c>
      <c r="J1738" s="20" t="str">
        <f ca="1">IFERROR(__xludf.DUMMYFUNCTION("IF(OR($I1738=2, $I1738=3), 0, IFERROR(COUNTIFS($C$2:C1738, $C1738, $A$2:A1738, ""&gt;""&amp;IFERROR(MAX(FILTER($A$2:A1738, $C$2:C1738=$C1738, $I$2:I1738&lt;&gt;1)), 0), $I$2:I1738, 1),1))
"),"#DIV/0!")</f>
        <v>#DIV/0!</v>
      </c>
      <c r="K1738" s="7" t="e">
        <f t="shared" ca="1" si="32"/>
        <v>#DIV/0!</v>
      </c>
      <c r="L1738" s="20" t="e">
        <f t="shared" ca="1" si="33"/>
        <v>#DIV/0!</v>
      </c>
      <c r="M1738" s="21" t="e">
        <f t="shared" ca="1" si="34"/>
        <v>#DIV/0!</v>
      </c>
      <c r="N1738" s="20" t="str">
        <f ca="1">IFERROR(__xludf.DUMMYFUNCTION("IF(COUNTIFS($C$2:C1738, C1738, $A$2:A1738, ""&lt;="" &amp; A1738) &lt; 30, STDEV.P(FILTER($G$2:G1738, $C$2:C1738 = C1738)), STDEV.P(FILTER($G$2:G1738, $C$2:C1738 = C1738, $A$2:A1738 &gt;= A1738 - 30)))
"),"#DIV/0!")</f>
        <v>#DIV/0!</v>
      </c>
    </row>
    <row r="1739" spans="1:14" x14ac:dyDescent="0.2">
      <c r="A1739" s="41"/>
      <c r="B1739" s="40"/>
      <c r="C1739" s="40"/>
      <c r="D1739" s="31"/>
      <c r="E1739" s="31"/>
      <c r="F1739" s="31"/>
      <c r="G1739" s="19" t="e">
        <f t="shared" si="30"/>
        <v>#DIV/0!</v>
      </c>
      <c r="H1739" s="20" t="str">
        <f ca="1">IFERROR(__xludf.DUMMYFUNCTION("IF(COUNTIFS($C$2:C1739, C1739, $A$2:A1739, ""&lt;="" &amp; A1739) &lt; 30, AVERAGEIF($C$2:C1739, C1739, $G$2:G1739), AVERAGE(FILTER($G$2:G1739, $C$2:C1739 = C1739, $A$2:A1739 &gt;= A1739 - 30)))
"),"#DIV/0!")</f>
        <v>#DIV/0!</v>
      </c>
      <c r="I1739" s="20" t="e">
        <f t="shared" ca="1" si="31"/>
        <v>#DIV/0!</v>
      </c>
      <c r="J1739" s="20" t="str">
        <f ca="1">IFERROR(__xludf.DUMMYFUNCTION("IF(OR($I1739=2, $I1739=3), 0, IFERROR(COUNTIFS($C$2:C1739, $C1739, $A$2:A1739, ""&gt;""&amp;IFERROR(MAX(FILTER($A$2:A1739, $C$2:C1739=$C1739, $I$2:I1739&lt;&gt;1)), 0), $I$2:I1739, 1),1))
"),"#DIV/0!")</f>
        <v>#DIV/0!</v>
      </c>
      <c r="K1739" s="7" t="e">
        <f t="shared" ca="1" si="32"/>
        <v>#DIV/0!</v>
      </c>
      <c r="L1739" s="20" t="e">
        <f t="shared" ca="1" si="33"/>
        <v>#DIV/0!</v>
      </c>
      <c r="M1739" s="21" t="e">
        <f t="shared" ca="1" si="34"/>
        <v>#DIV/0!</v>
      </c>
      <c r="N1739" s="20" t="str">
        <f ca="1">IFERROR(__xludf.DUMMYFUNCTION("IF(COUNTIFS($C$2:C1739, C1739, $A$2:A1739, ""&lt;="" &amp; A1739) &lt; 30, STDEV.P(FILTER($G$2:G1739, $C$2:C1739 = C1739)), STDEV.P(FILTER($G$2:G1739, $C$2:C1739 = C1739, $A$2:A1739 &gt;= A1739 - 30)))
"),"#DIV/0!")</f>
        <v>#DIV/0!</v>
      </c>
    </row>
    <row r="1740" spans="1:14" x14ac:dyDescent="0.2">
      <c r="A1740" s="41"/>
      <c r="B1740" s="40"/>
      <c r="C1740" s="40"/>
      <c r="D1740" s="31"/>
      <c r="E1740" s="31"/>
      <c r="F1740" s="31"/>
      <c r="G1740" s="19" t="e">
        <f t="shared" si="30"/>
        <v>#DIV/0!</v>
      </c>
      <c r="H1740" s="20" t="str">
        <f ca="1">IFERROR(__xludf.DUMMYFUNCTION("IF(COUNTIFS($C$2:C1740, C1740, $A$2:A1740, ""&lt;="" &amp; A1740) &lt; 30, AVERAGEIF($C$2:C1740, C1740, $G$2:G1740), AVERAGE(FILTER($G$2:G1740, $C$2:C1740 = C1740, $A$2:A1740 &gt;= A1740 - 30)))
"),"#DIV/0!")</f>
        <v>#DIV/0!</v>
      </c>
      <c r="I1740" s="20" t="e">
        <f t="shared" ca="1" si="31"/>
        <v>#DIV/0!</v>
      </c>
      <c r="J1740" s="20" t="str">
        <f ca="1">IFERROR(__xludf.DUMMYFUNCTION("IF(OR($I1740=2, $I1740=3), 0, IFERROR(COUNTIFS($C$2:C1740, $C1740, $A$2:A1740, ""&gt;""&amp;IFERROR(MAX(FILTER($A$2:A1740, $C$2:C1740=$C1740, $I$2:I1740&lt;&gt;1)), 0), $I$2:I1740, 1),1))
"),"#DIV/0!")</f>
        <v>#DIV/0!</v>
      </c>
      <c r="K1740" s="7" t="e">
        <f t="shared" ca="1" si="32"/>
        <v>#DIV/0!</v>
      </c>
      <c r="L1740" s="20" t="e">
        <f t="shared" ca="1" si="33"/>
        <v>#DIV/0!</v>
      </c>
      <c r="M1740" s="21" t="e">
        <f t="shared" ca="1" si="34"/>
        <v>#DIV/0!</v>
      </c>
      <c r="N1740" s="20" t="str">
        <f ca="1">IFERROR(__xludf.DUMMYFUNCTION("IF(COUNTIFS($C$2:C1740, C1740, $A$2:A1740, ""&lt;="" &amp; A1740) &lt; 30, STDEV.P(FILTER($G$2:G1740, $C$2:C1740 = C1740)), STDEV.P(FILTER($G$2:G1740, $C$2:C1740 = C1740, $A$2:A1740 &gt;= A1740 - 30)))
"),"#DIV/0!")</f>
        <v>#DIV/0!</v>
      </c>
    </row>
    <row r="1741" spans="1:14" x14ac:dyDescent="0.2">
      <c r="A1741" s="41"/>
      <c r="B1741" s="40"/>
      <c r="C1741" s="40"/>
      <c r="D1741" s="31"/>
      <c r="E1741" s="31"/>
      <c r="F1741" s="31"/>
      <c r="G1741" s="19" t="e">
        <f t="shared" si="30"/>
        <v>#DIV/0!</v>
      </c>
      <c r="H1741" s="20" t="str">
        <f ca="1">IFERROR(__xludf.DUMMYFUNCTION("IF(COUNTIFS($C$2:C1741, C1741, $A$2:A1741, ""&lt;="" &amp; A1741) &lt; 30, AVERAGEIF($C$2:C1741, C1741, $G$2:G1741), AVERAGE(FILTER($G$2:G1741, $C$2:C1741 = C1741, $A$2:A1741 &gt;= A1741 - 30)))
"),"#DIV/0!")</f>
        <v>#DIV/0!</v>
      </c>
      <c r="I1741" s="20" t="e">
        <f t="shared" ca="1" si="31"/>
        <v>#DIV/0!</v>
      </c>
      <c r="J1741" s="20" t="str">
        <f ca="1">IFERROR(__xludf.DUMMYFUNCTION("IF(OR($I1741=2, $I1741=3), 0, IFERROR(COUNTIFS($C$2:C1741, $C1741, $A$2:A1741, ""&gt;""&amp;IFERROR(MAX(FILTER($A$2:A1741, $C$2:C1741=$C1741, $I$2:I1741&lt;&gt;1)), 0), $I$2:I1741, 1),1))
"),"#DIV/0!")</f>
        <v>#DIV/0!</v>
      </c>
      <c r="K1741" s="7" t="e">
        <f t="shared" ca="1" si="32"/>
        <v>#DIV/0!</v>
      </c>
      <c r="L1741" s="20" t="e">
        <f t="shared" ca="1" si="33"/>
        <v>#DIV/0!</v>
      </c>
      <c r="M1741" s="21" t="e">
        <f t="shared" ca="1" si="34"/>
        <v>#DIV/0!</v>
      </c>
      <c r="N1741" s="20" t="str">
        <f ca="1">IFERROR(__xludf.DUMMYFUNCTION("IF(COUNTIFS($C$2:C1741, C1741, $A$2:A1741, ""&lt;="" &amp; A1741) &lt; 30, STDEV.P(FILTER($G$2:G1741, $C$2:C1741 = C1741)), STDEV.P(FILTER($G$2:G1741, $C$2:C1741 = C1741, $A$2:A1741 &gt;= A1741 - 30)))
"),"#DIV/0!")</f>
        <v>#DIV/0!</v>
      </c>
    </row>
    <row r="1742" spans="1:14" x14ac:dyDescent="0.2">
      <c r="A1742" s="41"/>
      <c r="B1742" s="40"/>
      <c r="C1742" s="40"/>
      <c r="D1742" s="31"/>
      <c r="E1742" s="31"/>
      <c r="F1742" s="31"/>
      <c r="G1742" s="19" t="e">
        <f t="shared" si="30"/>
        <v>#DIV/0!</v>
      </c>
      <c r="H1742" s="20" t="str">
        <f ca="1">IFERROR(__xludf.DUMMYFUNCTION("IF(COUNTIFS($C$2:C1742, C1742, $A$2:A1742, ""&lt;="" &amp; A1742) &lt; 30, AVERAGEIF($C$2:C1742, C1742, $G$2:G1742), AVERAGE(FILTER($G$2:G1742, $C$2:C1742 = C1742, $A$2:A1742 &gt;= A1742 - 30)))
"),"#DIV/0!")</f>
        <v>#DIV/0!</v>
      </c>
      <c r="I1742" s="20" t="e">
        <f t="shared" ca="1" si="31"/>
        <v>#DIV/0!</v>
      </c>
      <c r="J1742" s="20" t="str">
        <f ca="1">IFERROR(__xludf.DUMMYFUNCTION("IF(OR($I1742=2, $I1742=3), 0, IFERROR(COUNTIFS($C$2:C1742, $C1742, $A$2:A1742, ""&gt;""&amp;IFERROR(MAX(FILTER($A$2:A1742, $C$2:C1742=$C1742, $I$2:I1742&lt;&gt;1)), 0), $I$2:I1742, 1),1))
"),"#DIV/0!")</f>
        <v>#DIV/0!</v>
      </c>
      <c r="K1742" s="7" t="e">
        <f t="shared" ca="1" si="32"/>
        <v>#DIV/0!</v>
      </c>
      <c r="L1742" s="20" t="e">
        <f t="shared" ca="1" si="33"/>
        <v>#DIV/0!</v>
      </c>
      <c r="M1742" s="21" t="e">
        <f t="shared" ca="1" si="34"/>
        <v>#DIV/0!</v>
      </c>
      <c r="N1742" s="20" t="str">
        <f ca="1">IFERROR(__xludf.DUMMYFUNCTION("IF(COUNTIFS($C$2:C1742, C1742, $A$2:A1742, ""&lt;="" &amp; A1742) &lt; 30, STDEV.P(FILTER($G$2:G1742, $C$2:C1742 = C1742)), STDEV.P(FILTER($G$2:G1742, $C$2:C1742 = C1742, $A$2:A1742 &gt;= A1742 - 30)))
"),"#DIV/0!")</f>
        <v>#DIV/0!</v>
      </c>
    </row>
    <row r="1743" spans="1:14" x14ac:dyDescent="0.2">
      <c r="A1743" s="41"/>
      <c r="B1743" s="40"/>
      <c r="C1743" s="40"/>
      <c r="D1743" s="31"/>
      <c r="E1743" s="31"/>
      <c r="F1743" s="31"/>
      <c r="G1743" s="19" t="e">
        <f t="shared" si="30"/>
        <v>#DIV/0!</v>
      </c>
      <c r="H1743" s="20" t="str">
        <f ca="1">IFERROR(__xludf.DUMMYFUNCTION("IF(COUNTIFS($C$2:C1743, C1743, $A$2:A1743, ""&lt;="" &amp; A1743) &lt; 30, AVERAGEIF($C$2:C1743, C1743, $G$2:G1743), AVERAGE(FILTER($G$2:G1743, $C$2:C1743 = C1743, $A$2:A1743 &gt;= A1743 - 30)))
"),"#DIV/0!")</f>
        <v>#DIV/0!</v>
      </c>
      <c r="I1743" s="20" t="e">
        <f t="shared" ca="1" si="31"/>
        <v>#DIV/0!</v>
      </c>
      <c r="J1743" s="20" t="str">
        <f ca="1">IFERROR(__xludf.DUMMYFUNCTION("IF(OR($I1743=2, $I1743=3), 0, IFERROR(COUNTIFS($C$2:C1743, $C1743, $A$2:A1743, ""&gt;""&amp;IFERROR(MAX(FILTER($A$2:A1743, $C$2:C1743=$C1743, $I$2:I1743&lt;&gt;1)), 0), $I$2:I1743, 1),1))
"),"#DIV/0!")</f>
        <v>#DIV/0!</v>
      </c>
      <c r="K1743" s="7" t="e">
        <f t="shared" ca="1" si="32"/>
        <v>#DIV/0!</v>
      </c>
      <c r="L1743" s="20" t="e">
        <f t="shared" ca="1" si="33"/>
        <v>#DIV/0!</v>
      </c>
      <c r="M1743" s="21" t="e">
        <f t="shared" ca="1" si="34"/>
        <v>#DIV/0!</v>
      </c>
      <c r="N1743" s="20" t="str">
        <f ca="1">IFERROR(__xludf.DUMMYFUNCTION("IF(COUNTIFS($C$2:C1743, C1743, $A$2:A1743, ""&lt;="" &amp; A1743) &lt; 30, STDEV.P(FILTER($G$2:G1743, $C$2:C1743 = C1743)), STDEV.P(FILTER($G$2:G1743, $C$2:C1743 = C1743, $A$2:A1743 &gt;= A1743 - 30)))
"),"#DIV/0!")</f>
        <v>#DIV/0!</v>
      </c>
    </row>
    <row r="1744" spans="1:14" x14ac:dyDescent="0.2">
      <c r="A1744" s="41"/>
      <c r="B1744" s="40"/>
      <c r="C1744" s="40"/>
      <c r="D1744" s="31"/>
      <c r="E1744" s="31"/>
      <c r="F1744" s="31"/>
      <c r="G1744" s="19" t="e">
        <f t="shared" si="30"/>
        <v>#DIV/0!</v>
      </c>
      <c r="H1744" s="20" t="str">
        <f ca="1">IFERROR(__xludf.DUMMYFUNCTION("IF(COUNTIFS($C$2:C1744, C1744, $A$2:A1744, ""&lt;="" &amp; A1744) &lt; 30, AVERAGEIF($C$2:C1744, C1744, $G$2:G1744), AVERAGE(FILTER($G$2:G1744, $C$2:C1744 = C1744, $A$2:A1744 &gt;= A1744 - 30)))
"),"#DIV/0!")</f>
        <v>#DIV/0!</v>
      </c>
      <c r="I1744" s="20" t="e">
        <f t="shared" ca="1" si="31"/>
        <v>#DIV/0!</v>
      </c>
      <c r="J1744" s="20" t="str">
        <f ca="1">IFERROR(__xludf.DUMMYFUNCTION("IF(OR($I1744=2, $I1744=3), 0, IFERROR(COUNTIFS($C$2:C1744, $C1744, $A$2:A1744, ""&gt;""&amp;IFERROR(MAX(FILTER($A$2:A1744, $C$2:C1744=$C1744, $I$2:I1744&lt;&gt;1)), 0), $I$2:I1744, 1),1))
"),"#DIV/0!")</f>
        <v>#DIV/0!</v>
      </c>
      <c r="K1744" s="7" t="e">
        <f t="shared" ca="1" si="32"/>
        <v>#DIV/0!</v>
      </c>
      <c r="L1744" s="20" t="e">
        <f t="shared" ca="1" si="33"/>
        <v>#DIV/0!</v>
      </c>
      <c r="M1744" s="21" t="e">
        <f t="shared" ca="1" si="34"/>
        <v>#DIV/0!</v>
      </c>
      <c r="N1744" s="20" t="str">
        <f ca="1">IFERROR(__xludf.DUMMYFUNCTION("IF(COUNTIFS($C$2:C1744, C1744, $A$2:A1744, ""&lt;="" &amp; A1744) &lt; 30, STDEV.P(FILTER($G$2:G1744, $C$2:C1744 = C1744)), STDEV.P(FILTER($G$2:G1744, $C$2:C1744 = C1744, $A$2:A1744 &gt;= A1744 - 30)))
"),"#DIV/0!")</f>
        <v>#DIV/0!</v>
      </c>
    </row>
    <row r="1745" spans="1:14" x14ac:dyDescent="0.2">
      <c r="A1745" s="41"/>
      <c r="B1745" s="40"/>
      <c r="C1745" s="40"/>
      <c r="D1745" s="31"/>
      <c r="E1745" s="31"/>
      <c r="F1745" s="31"/>
      <c r="G1745" s="19" t="e">
        <f t="shared" si="30"/>
        <v>#DIV/0!</v>
      </c>
      <c r="H1745" s="20" t="str">
        <f ca="1">IFERROR(__xludf.DUMMYFUNCTION("IF(COUNTIFS($C$2:C1745, C1745, $A$2:A1745, ""&lt;="" &amp; A1745) &lt; 30, AVERAGEIF($C$2:C1745, C1745, $G$2:G1745), AVERAGE(FILTER($G$2:G1745, $C$2:C1745 = C1745, $A$2:A1745 &gt;= A1745 - 30)))
"),"#DIV/0!")</f>
        <v>#DIV/0!</v>
      </c>
      <c r="I1745" s="20" t="e">
        <f t="shared" ca="1" si="31"/>
        <v>#DIV/0!</v>
      </c>
      <c r="J1745" s="20" t="str">
        <f ca="1">IFERROR(__xludf.DUMMYFUNCTION("IF(OR($I1745=2, $I1745=3), 0, IFERROR(COUNTIFS($C$2:C1745, $C1745, $A$2:A1745, ""&gt;""&amp;IFERROR(MAX(FILTER($A$2:A1745, $C$2:C1745=$C1745, $I$2:I1745&lt;&gt;1)), 0), $I$2:I1745, 1),1))
"),"#DIV/0!")</f>
        <v>#DIV/0!</v>
      </c>
      <c r="K1745" s="7" t="e">
        <f t="shared" ca="1" si="32"/>
        <v>#DIV/0!</v>
      </c>
      <c r="L1745" s="20" t="e">
        <f t="shared" ca="1" si="33"/>
        <v>#DIV/0!</v>
      </c>
      <c r="M1745" s="21" t="e">
        <f t="shared" ca="1" si="34"/>
        <v>#DIV/0!</v>
      </c>
      <c r="N1745" s="20" t="str">
        <f ca="1">IFERROR(__xludf.DUMMYFUNCTION("IF(COUNTIFS($C$2:C1745, C1745, $A$2:A1745, ""&lt;="" &amp; A1745) &lt; 30, STDEV.P(FILTER($G$2:G1745, $C$2:C1745 = C1745)), STDEV.P(FILTER($G$2:G1745, $C$2:C1745 = C1745, $A$2:A1745 &gt;= A1745 - 30)))
"),"#DIV/0!")</f>
        <v>#DIV/0!</v>
      </c>
    </row>
    <row r="1746" spans="1:14" x14ac:dyDescent="0.2">
      <c r="A1746" s="41"/>
      <c r="B1746" s="40"/>
      <c r="C1746" s="40"/>
      <c r="D1746" s="31"/>
      <c r="E1746" s="31"/>
      <c r="F1746" s="31"/>
      <c r="G1746" s="19" t="e">
        <f t="shared" si="30"/>
        <v>#DIV/0!</v>
      </c>
      <c r="H1746" s="20" t="str">
        <f ca="1">IFERROR(__xludf.DUMMYFUNCTION("IF(COUNTIFS($C$2:C1746, C1746, $A$2:A1746, ""&lt;="" &amp; A1746) &lt; 30, AVERAGEIF($C$2:C1746, C1746, $G$2:G1746), AVERAGE(FILTER($G$2:G1746, $C$2:C1746 = C1746, $A$2:A1746 &gt;= A1746 - 30)))
"),"#DIV/0!")</f>
        <v>#DIV/0!</v>
      </c>
      <c r="I1746" s="20" t="e">
        <f t="shared" ca="1" si="31"/>
        <v>#DIV/0!</v>
      </c>
      <c r="J1746" s="20" t="str">
        <f ca="1">IFERROR(__xludf.DUMMYFUNCTION("IF(OR($I1746=2, $I1746=3), 0, IFERROR(COUNTIFS($C$2:C1746, $C1746, $A$2:A1746, ""&gt;""&amp;IFERROR(MAX(FILTER($A$2:A1746, $C$2:C1746=$C1746, $I$2:I1746&lt;&gt;1)), 0), $I$2:I1746, 1),1))
"),"#DIV/0!")</f>
        <v>#DIV/0!</v>
      </c>
      <c r="K1746" s="7" t="e">
        <f t="shared" ca="1" si="32"/>
        <v>#DIV/0!</v>
      </c>
      <c r="L1746" s="20" t="e">
        <f t="shared" ca="1" si="33"/>
        <v>#DIV/0!</v>
      </c>
      <c r="M1746" s="21" t="e">
        <f t="shared" ca="1" si="34"/>
        <v>#DIV/0!</v>
      </c>
      <c r="N1746" s="20" t="str">
        <f ca="1">IFERROR(__xludf.DUMMYFUNCTION("IF(COUNTIFS($C$2:C1746, C1746, $A$2:A1746, ""&lt;="" &amp; A1746) &lt; 30, STDEV.P(FILTER($G$2:G1746, $C$2:C1746 = C1746)), STDEV.P(FILTER($G$2:G1746, $C$2:C1746 = C1746, $A$2:A1746 &gt;= A1746 - 30)))
"),"#DIV/0!")</f>
        <v>#DIV/0!</v>
      </c>
    </row>
    <row r="1747" spans="1:14" x14ac:dyDescent="0.2">
      <c r="A1747" s="41"/>
      <c r="B1747" s="40"/>
      <c r="C1747" s="40"/>
      <c r="D1747" s="31"/>
      <c r="E1747" s="31"/>
      <c r="F1747" s="31"/>
      <c r="G1747" s="19" t="e">
        <f t="shared" si="30"/>
        <v>#DIV/0!</v>
      </c>
      <c r="H1747" s="20" t="str">
        <f ca="1">IFERROR(__xludf.DUMMYFUNCTION("IF(COUNTIFS($C$2:C1747, C1747, $A$2:A1747, ""&lt;="" &amp; A1747) &lt; 30, AVERAGEIF($C$2:C1747, C1747, $G$2:G1747), AVERAGE(FILTER($G$2:G1747, $C$2:C1747 = C1747, $A$2:A1747 &gt;= A1747 - 30)))
"),"#DIV/0!")</f>
        <v>#DIV/0!</v>
      </c>
      <c r="I1747" s="20" t="e">
        <f t="shared" ca="1" si="31"/>
        <v>#DIV/0!</v>
      </c>
      <c r="J1747" s="20" t="str">
        <f ca="1">IFERROR(__xludf.DUMMYFUNCTION("IF(OR($I1747=2, $I1747=3), 0, IFERROR(COUNTIFS($C$2:C1747, $C1747, $A$2:A1747, ""&gt;""&amp;IFERROR(MAX(FILTER($A$2:A1747, $C$2:C1747=$C1747, $I$2:I1747&lt;&gt;1)), 0), $I$2:I1747, 1),1))
"),"#DIV/0!")</f>
        <v>#DIV/0!</v>
      </c>
      <c r="K1747" s="7" t="e">
        <f t="shared" ca="1" si="32"/>
        <v>#DIV/0!</v>
      </c>
      <c r="L1747" s="20" t="e">
        <f t="shared" ca="1" si="33"/>
        <v>#DIV/0!</v>
      </c>
      <c r="M1747" s="21" t="e">
        <f t="shared" ca="1" si="34"/>
        <v>#DIV/0!</v>
      </c>
      <c r="N1747" s="20" t="str">
        <f ca="1">IFERROR(__xludf.DUMMYFUNCTION("IF(COUNTIFS($C$2:C1747, C1747, $A$2:A1747, ""&lt;="" &amp; A1747) &lt; 30, STDEV.P(FILTER($G$2:G1747, $C$2:C1747 = C1747)), STDEV.P(FILTER($G$2:G1747, $C$2:C1747 = C1747, $A$2:A1747 &gt;= A1747 - 30)))
"),"#DIV/0!")</f>
        <v>#DIV/0!</v>
      </c>
    </row>
    <row r="1748" spans="1:14" x14ac:dyDescent="0.2">
      <c r="A1748" s="41"/>
      <c r="B1748" s="40"/>
      <c r="C1748" s="40"/>
      <c r="D1748" s="31"/>
      <c r="E1748" s="31"/>
      <c r="F1748" s="31"/>
      <c r="G1748" s="19" t="e">
        <f t="shared" si="30"/>
        <v>#DIV/0!</v>
      </c>
      <c r="H1748" s="20" t="str">
        <f ca="1">IFERROR(__xludf.DUMMYFUNCTION("IF(COUNTIFS($C$2:C1748, C1748, $A$2:A1748, ""&lt;="" &amp; A1748) &lt; 30, AVERAGEIF($C$2:C1748, C1748, $G$2:G1748), AVERAGE(FILTER($G$2:G1748, $C$2:C1748 = C1748, $A$2:A1748 &gt;= A1748 - 30)))
"),"#DIV/0!")</f>
        <v>#DIV/0!</v>
      </c>
      <c r="I1748" s="20" t="e">
        <f t="shared" ca="1" si="31"/>
        <v>#DIV/0!</v>
      </c>
      <c r="J1748" s="20" t="str">
        <f ca="1">IFERROR(__xludf.DUMMYFUNCTION("IF(OR($I1748=2, $I1748=3), 0, IFERROR(COUNTIFS($C$2:C1748, $C1748, $A$2:A1748, ""&gt;""&amp;IFERROR(MAX(FILTER($A$2:A1748, $C$2:C1748=$C1748, $I$2:I1748&lt;&gt;1)), 0), $I$2:I1748, 1),1))
"),"#DIV/0!")</f>
        <v>#DIV/0!</v>
      </c>
      <c r="K1748" s="7" t="e">
        <f t="shared" ca="1" si="32"/>
        <v>#DIV/0!</v>
      </c>
      <c r="L1748" s="20" t="e">
        <f t="shared" ca="1" si="33"/>
        <v>#DIV/0!</v>
      </c>
      <c r="M1748" s="21" t="e">
        <f t="shared" ca="1" si="34"/>
        <v>#DIV/0!</v>
      </c>
      <c r="N1748" s="20" t="str">
        <f ca="1">IFERROR(__xludf.DUMMYFUNCTION("IF(COUNTIFS($C$2:C1748, C1748, $A$2:A1748, ""&lt;="" &amp; A1748) &lt; 30, STDEV.P(FILTER($G$2:G1748, $C$2:C1748 = C1748)), STDEV.P(FILTER($G$2:G1748, $C$2:C1748 = C1748, $A$2:A1748 &gt;= A1748 - 30)))
"),"#DIV/0!")</f>
        <v>#DIV/0!</v>
      </c>
    </row>
    <row r="1749" spans="1:14" x14ac:dyDescent="0.2">
      <c r="A1749" s="41"/>
      <c r="B1749" s="40"/>
      <c r="C1749" s="40"/>
      <c r="D1749" s="31"/>
      <c r="E1749" s="31"/>
      <c r="F1749" s="31"/>
      <c r="G1749" s="19" t="e">
        <f t="shared" si="30"/>
        <v>#DIV/0!</v>
      </c>
      <c r="H1749" s="20" t="str">
        <f ca="1">IFERROR(__xludf.DUMMYFUNCTION("IF(COUNTIFS($C$2:C1749, C1749, $A$2:A1749, ""&lt;="" &amp; A1749) &lt; 30, AVERAGEIF($C$2:C1749, C1749, $G$2:G1749), AVERAGE(FILTER($G$2:G1749, $C$2:C1749 = C1749, $A$2:A1749 &gt;= A1749 - 30)))
"),"#DIV/0!")</f>
        <v>#DIV/0!</v>
      </c>
      <c r="I1749" s="20" t="e">
        <f t="shared" ca="1" si="31"/>
        <v>#DIV/0!</v>
      </c>
      <c r="J1749" s="20" t="str">
        <f ca="1">IFERROR(__xludf.DUMMYFUNCTION("IF(OR($I1749=2, $I1749=3), 0, IFERROR(COUNTIFS($C$2:C1749, $C1749, $A$2:A1749, ""&gt;""&amp;IFERROR(MAX(FILTER($A$2:A1749, $C$2:C1749=$C1749, $I$2:I1749&lt;&gt;1)), 0), $I$2:I1749, 1),1))
"),"#DIV/0!")</f>
        <v>#DIV/0!</v>
      </c>
      <c r="K1749" s="7" t="e">
        <f t="shared" ca="1" si="32"/>
        <v>#DIV/0!</v>
      </c>
      <c r="L1749" s="20" t="e">
        <f t="shared" ca="1" si="33"/>
        <v>#DIV/0!</v>
      </c>
      <c r="M1749" s="21" t="e">
        <f t="shared" ca="1" si="34"/>
        <v>#DIV/0!</v>
      </c>
      <c r="N1749" s="20" t="str">
        <f ca="1">IFERROR(__xludf.DUMMYFUNCTION("IF(COUNTIFS($C$2:C1749, C1749, $A$2:A1749, ""&lt;="" &amp; A1749) &lt; 30, STDEV.P(FILTER($G$2:G1749, $C$2:C1749 = C1749)), STDEV.P(FILTER($G$2:G1749, $C$2:C1749 = C1749, $A$2:A1749 &gt;= A1749 - 30)))
"),"#DIV/0!")</f>
        <v>#DIV/0!</v>
      </c>
    </row>
    <row r="1750" spans="1:14" x14ac:dyDescent="0.2">
      <c r="A1750" s="41"/>
      <c r="B1750" s="40"/>
      <c r="C1750" s="40"/>
      <c r="D1750" s="31"/>
      <c r="E1750" s="31"/>
      <c r="F1750" s="31"/>
      <c r="G1750" s="19" t="e">
        <f t="shared" si="30"/>
        <v>#DIV/0!</v>
      </c>
      <c r="H1750" s="20" t="str">
        <f ca="1">IFERROR(__xludf.DUMMYFUNCTION("IF(COUNTIFS($C$2:C1750, C1750, $A$2:A1750, ""&lt;="" &amp; A1750) &lt; 30, AVERAGEIF($C$2:C1750, C1750, $G$2:G1750), AVERAGE(FILTER($G$2:G1750, $C$2:C1750 = C1750, $A$2:A1750 &gt;= A1750 - 30)))
"),"#DIV/0!")</f>
        <v>#DIV/0!</v>
      </c>
      <c r="I1750" s="20" t="e">
        <f t="shared" ca="1" si="31"/>
        <v>#DIV/0!</v>
      </c>
      <c r="J1750" s="20" t="str">
        <f ca="1">IFERROR(__xludf.DUMMYFUNCTION("IF(OR($I1750=2, $I1750=3), 0, IFERROR(COUNTIFS($C$2:C1750, $C1750, $A$2:A1750, ""&gt;""&amp;IFERROR(MAX(FILTER($A$2:A1750, $C$2:C1750=$C1750, $I$2:I1750&lt;&gt;1)), 0), $I$2:I1750, 1),1))
"),"#DIV/0!")</f>
        <v>#DIV/0!</v>
      </c>
      <c r="K1750" s="7" t="e">
        <f t="shared" ca="1" si="32"/>
        <v>#DIV/0!</v>
      </c>
      <c r="L1750" s="20" t="e">
        <f t="shared" ca="1" si="33"/>
        <v>#DIV/0!</v>
      </c>
      <c r="M1750" s="21" t="e">
        <f t="shared" ca="1" si="34"/>
        <v>#DIV/0!</v>
      </c>
      <c r="N1750" s="20" t="str">
        <f ca="1">IFERROR(__xludf.DUMMYFUNCTION("IF(COUNTIFS($C$2:C1750, C1750, $A$2:A1750, ""&lt;="" &amp; A1750) &lt; 30, STDEV.P(FILTER($G$2:G1750, $C$2:C1750 = C1750)), STDEV.P(FILTER($G$2:G1750, $C$2:C1750 = C1750, $A$2:A1750 &gt;= A1750 - 30)))
"),"#DIV/0!")</f>
        <v>#DIV/0!</v>
      </c>
    </row>
    <row r="1751" spans="1:14" x14ac:dyDescent="0.2">
      <c r="A1751" s="41"/>
      <c r="B1751" s="40"/>
      <c r="C1751" s="40"/>
      <c r="D1751" s="31"/>
      <c r="E1751" s="31"/>
      <c r="F1751" s="31"/>
      <c r="G1751" s="19" t="e">
        <f t="shared" si="30"/>
        <v>#DIV/0!</v>
      </c>
      <c r="H1751" s="20" t="str">
        <f ca="1">IFERROR(__xludf.DUMMYFUNCTION("IF(COUNTIFS($C$2:C1751, C1751, $A$2:A1751, ""&lt;="" &amp; A1751) &lt; 30, AVERAGEIF($C$2:C1751, C1751, $G$2:G1751), AVERAGE(FILTER($G$2:G1751, $C$2:C1751 = C1751, $A$2:A1751 &gt;= A1751 - 30)))
"),"#DIV/0!")</f>
        <v>#DIV/0!</v>
      </c>
      <c r="I1751" s="20" t="e">
        <f t="shared" ca="1" si="31"/>
        <v>#DIV/0!</v>
      </c>
      <c r="J1751" s="20" t="str">
        <f ca="1">IFERROR(__xludf.DUMMYFUNCTION("IF(OR($I1751=2, $I1751=3), 0, IFERROR(COUNTIFS($C$2:C1751, $C1751, $A$2:A1751, ""&gt;""&amp;IFERROR(MAX(FILTER($A$2:A1751, $C$2:C1751=$C1751, $I$2:I1751&lt;&gt;1)), 0), $I$2:I1751, 1),1))
"),"#DIV/0!")</f>
        <v>#DIV/0!</v>
      </c>
      <c r="K1751" s="7" t="e">
        <f t="shared" ca="1" si="32"/>
        <v>#DIV/0!</v>
      </c>
      <c r="L1751" s="20" t="e">
        <f t="shared" ca="1" si="33"/>
        <v>#DIV/0!</v>
      </c>
      <c r="M1751" s="21" t="e">
        <f t="shared" ca="1" si="34"/>
        <v>#DIV/0!</v>
      </c>
      <c r="N1751" s="20" t="str">
        <f ca="1">IFERROR(__xludf.DUMMYFUNCTION("IF(COUNTIFS($C$2:C1751, C1751, $A$2:A1751, ""&lt;="" &amp; A1751) &lt; 30, STDEV.P(FILTER($G$2:G1751, $C$2:C1751 = C1751)), STDEV.P(FILTER($G$2:G1751, $C$2:C1751 = C1751, $A$2:A1751 &gt;= A1751 - 30)))
"),"#DIV/0!")</f>
        <v>#DIV/0!</v>
      </c>
    </row>
    <row r="1752" spans="1:14" x14ac:dyDescent="0.2">
      <c r="A1752" s="41"/>
      <c r="B1752" s="40"/>
      <c r="C1752" s="40"/>
      <c r="D1752" s="31"/>
      <c r="E1752" s="31"/>
      <c r="F1752" s="31"/>
      <c r="G1752" s="19" t="e">
        <f t="shared" si="30"/>
        <v>#DIV/0!</v>
      </c>
      <c r="H1752" s="20" t="str">
        <f ca="1">IFERROR(__xludf.DUMMYFUNCTION("IF(COUNTIFS($C$2:C1752, C1752, $A$2:A1752, ""&lt;="" &amp; A1752) &lt; 30, AVERAGEIF($C$2:C1752, C1752, $G$2:G1752), AVERAGE(FILTER($G$2:G1752, $C$2:C1752 = C1752, $A$2:A1752 &gt;= A1752 - 30)))
"),"#DIV/0!")</f>
        <v>#DIV/0!</v>
      </c>
      <c r="I1752" s="20" t="e">
        <f t="shared" ca="1" si="31"/>
        <v>#DIV/0!</v>
      </c>
      <c r="J1752" s="20" t="str">
        <f ca="1">IFERROR(__xludf.DUMMYFUNCTION("IF(OR($I1752=2, $I1752=3), 0, IFERROR(COUNTIFS($C$2:C1752, $C1752, $A$2:A1752, ""&gt;""&amp;IFERROR(MAX(FILTER($A$2:A1752, $C$2:C1752=$C1752, $I$2:I1752&lt;&gt;1)), 0), $I$2:I1752, 1),1))
"),"#DIV/0!")</f>
        <v>#DIV/0!</v>
      </c>
      <c r="K1752" s="7" t="e">
        <f t="shared" ca="1" si="32"/>
        <v>#DIV/0!</v>
      </c>
      <c r="L1752" s="20" t="e">
        <f t="shared" ca="1" si="33"/>
        <v>#DIV/0!</v>
      </c>
      <c r="M1752" s="21" t="e">
        <f t="shared" ca="1" si="34"/>
        <v>#DIV/0!</v>
      </c>
      <c r="N1752" s="20" t="str">
        <f ca="1">IFERROR(__xludf.DUMMYFUNCTION("IF(COUNTIFS($C$2:C1752, C1752, $A$2:A1752, ""&lt;="" &amp; A1752) &lt; 30, STDEV.P(FILTER($G$2:G1752, $C$2:C1752 = C1752)), STDEV.P(FILTER($G$2:G1752, $C$2:C1752 = C1752, $A$2:A1752 &gt;= A1752 - 30)))
"),"#DIV/0!")</f>
        <v>#DIV/0!</v>
      </c>
    </row>
    <row r="1753" spans="1:14" x14ac:dyDescent="0.2">
      <c r="A1753" s="41"/>
      <c r="B1753" s="40"/>
      <c r="C1753" s="40"/>
      <c r="D1753" s="31"/>
      <c r="E1753" s="31"/>
      <c r="F1753" s="31"/>
      <c r="G1753" s="19" t="e">
        <f t="shared" si="30"/>
        <v>#DIV/0!</v>
      </c>
      <c r="H1753" s="20" t="str">
        <f ca="1">IFERROR(__xludf.DUMMYFUNCTION("IF(COUNTIFS($C$2:C1753, C1753, $A$2:A1753, ""&lt;="" &amp; A1753) &lt; 30, AVERAGEIF($C$2:C1753, C1753, $G$2:G1753), AVERAGE(FILTER($G$2:G1753, $C$2:C1753 = C1753, $A$2:A1753 &gt;= A1753 - 30)))
"),"#DIV/0!")</f>
        <v>#DIV/0!</v>
      </c>
      <c r="I1753" s="20" t="e">
        <f t="shared" ca="1" si="31"/>
        <v>#DIV/0!</v>
      </c>
      <c r="J1753" s="20" t="str">
        <f ca="1">IFERROR(__xludf.DUMMYFUNCTION("IF(OR($I1753=2, $I1753=3), 0, IFERROR(COUNTIFS($C$2:C1753, $C1753, $A$2:A1753, ""&gt;""&amp;IFERROR(MAX(FILTER($A$2:A1753, $C$2:C1753=$C1753, $I$2:I1753&lt;&gt;1)), 0), $I$2:I1753, 1),1))
"),"#DIV/0!")</f>
        <v>#DIV/0!</v>
      </c>
      <c r="K1753" s="7" t="e">
        <f t="shared" ca="1" si="32"/>
        <v>#DIV/0!</v>
      </c>
      <c r="L1753" s="20" t="e">
        <f t="shared" ca="1" si="33"/>
        <v>#DIV/0!</v>
      </c>
      <c r="M1753" s="21" t="e">
        <f t="shared" ca="1" si="34"/>
        <v>#DIV/0!</v>
      </c>
      <c r="N1753" s="20" t="str">
        <f ca="1">IFERROR(__xludf.DUMMYFUNCTION("IF(COUNTIFS($C$2:C1753, C1753, $A$2:A1753, ""&lt;="" &amp; A1753) &lt; 30, STDEV.P(FILTER($G$2:G1753, $C$2:C1753 = C1753)), STDEV.P(FILTER($G$2:G1753, $C$2:C1753 = C1753, $A$2:A1753 &gt;= A1753 - 30)))
"),"#DIV/0!")</f>
        <v>#DIV/0!</v>
      </c>
    </row>
    <row r="1754" spans="1:14" x14ac:dyDescent="0.2">
      <c r="A1754" s="41"/>
      <c r="B1754" s="40"/>
      <c r="C1754" s="40"/>
      <c r="D1754" s="31"/>
      <c r="E1754" s="31"/>
      <c r="F1754" s="31"/>
      <c r="G1754" s="19" t="e">
        <f t="shared" si="30"/>
        <v>#DIV/0!</v>
      </c>
      <c r="H1754" s="20" t="str">
        <f ca="1">IFERROR(__xludf.DUMMYFUNCTION("IF(COUNTIFS($C$2:C1754, C1754, $A$2:A1754, ""&lt;="" &amp; A1754) &lt; 30, AVERAGEIF($C$2:C1754, C1754, $G$2:G1754), AVERAGE(FILTER($G$2:G1754, $C$2:C1754 = C1754, $A$2:A1754 &gt;= A1754 - 30)))
"),"#DIV/0!")</f>
        <v>#DIV/0!</v>
      </c>
      <c r="I1754" s="20" t="e">
        <f t="shared" ca="1" si="31"/>
        <v>#DIV/0!</v>
      </c>
      <c r="J1754" s="20" t="str">
        <f ca="1">IFERROR(__xludf.DUMMYFUNCTION("IF(OR($I1754=2, $I1754=3), 0, IFERROR(COUNTIFS($C$2:C1754, $C1754, $A$2:A1754, ""&gt;""&amp;IFERROR(MAX(FILTER($A$2:A1754, $C$2:C1754=$C1754, $I$2:I1754&lt;&gt;1)), 0), $I$2:I1754, 1),1))
"),"#DIV/0!")</f>
        <v>#DIV/0!</v>
      </c>
      <c r="K1754" s="7" t="e">
        <f t="shared" ca="1" si="32"/>
        <v>#DIV/0!</v>
      </c>
      <c r="L1754" s="20" t="e">
        <f t="shared" ca="1" si="33"/>
        <v>#DIV/0!</v>
      </c>
      <c r="M1754" s="21" t="e">
        <f t="shared" ca="1" si="34"/>
        <v>#DIV/0!</v>
      </c>
      <c r="N1754" s="20" t="str">
        <f ca="1">IFERROR(__xludf.DUMMYFUNCTION("IF(COUNTIFS($C$2:C1754, C1754, $A$2:A1754, ""&lt;="" &amp; A1754) &lt; 30, STDEV.P(FILTER($G$2:G1754, $C$2:C1754 = C1754)), STDEV.P(FILTER($G$2:G1754, $C$2:C1754 = C1754, $A$2:A1754 &gt;= A1754 - 30)))
"),"#DIV/0!")</f>
        <v>#DIV/0!</v>
      </c>
    </row>
    <row r="1755" spans="1:14" x14ac:dyDescent="0.2">
      <c r="A1755" s="41"/>
      <c r="B1755" s="40"/>
      <c r="C1755" s="40"/>
      <c r="D1755" s="31"/>
      <c r="E1755" s="31"/>
      <c r="F1755" s="31"/>
      <c r="G1755" s="19" t="e">
        <f t="shared" si="30"/>
        <v>#DIV/0!</v>
      </c>
      <c r="H1755" s="20" t="str">
        <f ca="1">IFERROR(__xludf.DUMMYFUNCTION("IF(COUNTIFS($C$2:C1755, C1755, $A$2:A1755, ""&lt;="" &amp; A1755) &lt; 30, AVERAGEIF($C$2:C1755, C1755, $G$2:G1755), AVERAGE(FILTER($G$2:G1755, $C$2:C1755 = C1755, $A$2:A1755 &gt;= A1755 - 30)))
"),"#DIV/0!")</f>
        <v>#DIV/0!</v>
      </c>
      <c r="I1755" s="20" t="e">
        <f t="shared" ca="1" si="31"/>
        <v>#DIV/0!</v>
      </c>
      <c r="J1755" s="20" t="str">
        <f ca="1">IFERROR(__xludf.DUMMYFUNCTION("IF(OR($I1755=2, $I1755=3), 0, IFERROR(COUNTIFS($C$2:C1755, $C1755, $A$2:A1755, ""&gt;""&amp;IFERROR(MAX(FILTER($A$2:A1755, $C$2:C1755=$C1755, $I$2:I1755&lt;&gt;1)), 0), $I$2:I1755, 1),1))
"),"#DIV/0!")</f>
        <v>#DIV/0!</v>
      </c>
      <c r="K1755" s="7" t="e">
        <f t="shared" ca="1" si="32"/>
        <v>#DIV/0!</v>
      </c>
      <c r="L1755" s="20" t="e">
        <f t="shared" ca="1" si="33"/>
        <v>#DIV/0!</v>
      </c>
      <c r="M1755" s="21" t="e">
        <f t="shared" ca="1" si="34"/>
        <v>#DIV/0!</v>
      </c>
      <c r="N1755" s="20" t="str">
        <f ca="1">IFERROR(__xludf.DUMMYFUNCTION("IF(COUNTIFS($C$2:C1755, C1755, $A$2:A1755, ""&lt;="" &amp; A1755) &lt; 30, STDEV.P(FILTER($G$2:G1755, $C$2:C1755 = C1755)), STDEV.P(FILTER($G$2:G1755, $C$2:C1755 = C1755, $A$2:A1755 &gt;= A1755 - 30)))
"),"#DIV/0!")</f>
        <v>#DIV/0!</v>
      </c>
    </row>
    <row r="1756" spans="1:14" x14ac:dyDescent="0.2">
      <c r="A1756" s="41"/>
      <c r="B1756" s="40"/>
      <c r="C1756" s="40"/>
      <c r="D1756" s="31"/>
      <c r="E1756" s="31"/>
      <c r="F1756" s="31"/>
      <c r="G1756" s="19" t="e">
        <f t="shared" si="30"/>
        <v>#DIV/0!</v>
      </c>
      <c r="H1756" s="20" t="str">
        <f ca="1">IFERROR(__xludf.DUMMYFUNCTION("IF(COUNTIFS($C$2:C1756, C1756, $A$2:A1756, ""&lt;="" &amp; A1756) &lt; 30, AVERAGEIF($C$2:C1756, C1756, $G$2:G1756), AVERAGE(FILTER($G$2:G1756, $C$2:C1756 = C1756, $A$2:A1756 &gt;= A1756 - 30)))
"),"#DIV/0!")</f>
        <v>#DIV/0!</v>
      </c>
      <c r="I1756" s="20" t="e">
        <f t="shared" ca="1" si="31"/>
        <v>#DIV/0!</v>
      </c>
      <c r="J1756" s="20" t="str">
        <f ca="1">IFERROR(__xludf.DUMMYFUNCTION("IF(OR($I1756=2, $I1756=3), 0, IFERROR(COUNTIFS($C$2:C1756, $C1756, $A$2:A1756, ""&gt;""&amp;IFERROR(MAX(FILTER($A$2:A1756, $C$2:C1756=$C1756, $I$2:I1756&lt;&gt;1)), 0), $I$2:I1756, 1),1))
"),"#DIV/0!")</f>
        <v>#DIV/0!</v>
      </c>
      <c r="K1756" s="7" t="e">
        <f t="shared" ca="1" si="32"/>
        <v>#DIV/0!</v>
      </c>
      <c r="L1756" s="20" t="e">
        <f t="shared" ca="1" si="33"/>
        <v>#DIV/0!</v>
      </c>
      <c r="M1756" s="21" t="e">
        <f t="shared" ca="1" si="34"/>
        <v>#DIV/0!</v>
      </c>
      <c r="N1756" s="20" t="str">
        <f ca="1">IFERROR(__xludf.DUMMYFUNCTION("IF(COUNTIFS($C$2:C1756, C1756, $A$2:A1756, ""&lt;="" &amp; A1756) &lt; 30, STDEV.P(FILTER($G$2:G1756, $C$2:C1756 = C1756)), STDEV.P(FILTER($G$2:G1756, $C$2:C1756 = C1756, $A$2:A1756 &gt;= A1756 - 30)))
"),"#DIV/0!")</f>
        <v>#DIV/0!</v>
      </c>
    </row>
    <row r="1757" spans="1:14" x14ac:dyDescent="0.2">
      <c r="A1757" s="41"/>
      <c r="B1757" s="40"/>
      <c r="C1757" s="40"/>
      <c r="D1757" s="31"/>
      <c r="E1757" s="31"/>
      <c r="F1757" s="31"/>
      <c r="G1757" s="19" t="e">
        <f t="shared" si="30"/>
        <v>#DIV/0!</v>
      </c>
      <c r="H1757" s="20" t="str">
        <f ca="1">IFERROR(__xludf.DUMMYFUNCTION("IF(COUNTIFS($C$2:C1757, C1757, $A$2:A1757, ""&lt;="" &amp; A1757) &lt; 30, AVERAGEIF($C$2:C1757, C1757, $G$2:G1757), AVERAGE(FILTER($G$2:G1757, $C$2:C1757 = C1757, $A$2:A1757 &gt;= A1757 - 30)))
"),"#DIV/0!")</f>
        <v>#DIV/0!</v>
      </c>
      <c r="I1757" s="20" t="e">
        <f t="shared" ca="1" si="31"/>
        <v>#DIV/0!</v>
      </c>
      <c r="J1757" s="20" t="str">
        <f ca="1">IFERROR(__xludf.DUMMYFUNCTION("IF(OR($I1757=2, $I1757=3), 0, IFERROR(COUNTIFS($C$2:C1757, $C1757, $A$2:A1757, ""&gt;""&amp;IFERROR(MAX(FILTER($A$2:A1757, $C$2:C1757=$C1757, $I$2:I1757&lt;&gt;1)), 0), $I$2:I1757, 1),1))
"),"#DIV/0!")</f>
        <v>#DIV/0!</v>
      </c>
      <c r="K1757" s="7" t="e">
        <f t="shared" ca="1" si="32"/>
        <v>#DIV/0!</v>
      </c>
      <c r="L1757" s="20" t="e">
        <f t="shared" ca="1" si="33"/>
        <v>#DIV/0!</v>
      </c>
      <c r="M1757" s="21" t="e">
        <f t="shared" ca="1" si="34"/>
        <v>#DIV/0!</v>
      </c>
      <c r="N1757" s="20" t="str">
        <f ca="1">IFERROR(__xludf.DUMMYFUNCTION("IF(COUNTIFS($C$2:C1757, C1757, $A$2:A1757, ""&lt;="" &amp; A1757) &lt; 30, STDEV.P(FILTER($G$2:G1757, $C$2:C1757 = C1757)), STDEV.P(FILTER($G$2:G1757, $C$2:C1757 = C1757, $A$2:A1757 &gt;= A1757 - 30)))
"),"#DIV/0!")</f>
        <v>#DIV/0!</v>
      </c>
    </row>
    <row r="1758" spans="1:14" x14ac:dyDescent="0.2">
      <c r="A1758" s="41"/>
      <c r="B1758" s="40"/>
      <c r="C1758" s="40"/>
      <c r="D1758" s="31"/>
      <c r="E1758" s="31"/>
      <c r="F1758" s="31"/>
      <c r="G1758" s="19" t="e">
        <f t="shared" si="30"/>
        <v>#DIV/0!</v>
      </c>
      <c r="H1758" s="20" t="str">
        <f ca="1">IFERROR(__xludf.DUMMYFUNCTION("IF(COUNTIFS($C$2:C1758, C1758, $A$2:A1758, ""&lt;="" &amp; A1758) &lt; 30, AVERAGEIF($C$2:C1758, C1758, $G$2:G1758), AVERAGE(FILTER($G$2:G1758, $C$2:C1758 = C1758, $A$2:A1758 &gt;= A1758 - 30)))
"),"#DIV/0!")</f>
        <v>#DIV/0!</v>
      </c>
      <c r="I1758" s="20" t="e">
        <f t="shared" ca="1" si="31"/>
        <v>#DIV/0!</v>
      </c>
      <c r="J1758" s="20" t="str">
        <f ca="1">IFERROR(__xludf.DUMMYFUNCTION("IF(OR($I1758=2, $I1758=3), 0, IFERROR(COUNTIFS($C$2:C1758, $C1758, $A$2:A1758, ""&gt;""&amp;IFERROR(MAX(FILTER($A$2:A1758, $C$2:C1758=$C1758, $I$2:I1758&lt;&gt;1)), 0), $I$2:I1758, 1),1))
"),"#DIV/0!")</f>
        <v>#DIV/0!</v>
      </c>
      <c r="K1758" s="7" t="e">
        <f t="shared" ca="1" si="32"/>
        <v>#DIV/0!</v>
      </c>
      <c r="L1758" s="20" t="e">
        <f t="shared" ca="1" si="33"/>
        <v>#DIV/0!</v>
      </c>
      <c r="M1758" s="21" t="e">
        <f t="shared" ca="1" si="34"/>
        <v>#DIV/0!</v>
      </c>
      <c r="N1758" s="20" t="str">
        <f ca="1">IFERROR(__xludf.DUMMYFUNCTION("IF(COUNTIFS($C$2:C1758, C1758, $A$2:A1758, ""&lt;="" &amp; A1758) &lt; 30, STDEV.P(FILTER($G$2:G1758, $C$2:C1758 = C1758)), STDEV.P(FILTER($G$2:G1758, $C$2:C1758 = C1758, $A$2:A1758 &gt;= A1758 - 30)))
"),"#DIV/0!")</f>
        <v>#DIV/0!</v>
      </c>
    </row>
    <row r="1759" spans="1:14" x14ac:dyDescent="0.2">
      <c r="A1759" s="41"/>
      <c r="B1759" s="40"/>
      <c r="C1759" s="40"/>
      <c r="D1759" s="31"/>
      <c r="E1759" s="31"/>
      <c r="F1759" s="31"/>
      <c r="G1759" s="19" t="e">
        <f t="shared" si="30"/>
        <v>#DIV/0!</v>
      </c>
      <c r="H1759" s="20" t="str">
        <f ca="1">IFERROR(__xludf.DUMMYFUNCTION("IF(COUNTIFS($C$2:C1759, C1759, $A$2:A1759, ""&lt;="" &amp; A1759) &lt; 30, AVERAGEIF($C$2:C1759, C1759, $G$2:G1759), AVERAGE(FILTER($G$2:G1759, $C$2:C1759 = C1759, $A$2:A1759 &gt;= A1759 - 30)))
"),"#DIV/0!")</f>
        <v>#DIV/0!</v>
      </c>
      <c r="I1759" s="20" t="e">
        <f t="shared" ca="1" si="31"/>
        <v>#DIV/0!</v>
      </c>
      <c r="J1759" s="20" t="str">
        <f ca="1">IFERROR(__xludf.DUMMYFUNCTION("IF(OR($I1759=2, $I1759=3), 0, IFERROR(COUNTIFS($C$2:C1759, $C1759, $A$2:A1759, ""&gt;""&amp;IFERROR(MAX(FILTER($A$2:A1759, $C$2:C1759=$C1759, $I$2:I1759&lt;&gt;1)), 0), $I$2:I1759, 1),1))
"),"#DIV/0!")</f>
        <v>#DIV/0!</v>
      </c>
      <c r="K1759" s="7" t="e">
        <f t="shared" ca="1" si="32"/>
        <v>#DIV/0!</v>
      </c>
      <c r="L1759" s="20" t="e">
        <f t="shared" ca="1" si="33"/>
        <v>#DIV/0!</v>
      </c>
      <c r="M1759" s="21" t="e">
        <f t="shared" ca="1" si="34"/>
        <v>#DIV/0!</v>
      </c>
      <c r="N1759" s="20" t="str">
        <f ca="1">IFERROR(__xludf.DUMMYFUNCTION("IF(COUNTIFS($C$2:C1759, C1759, $A$2:A1759, ""&lt;="" &amp; A1759) &lt; 30, STDEV.P(FILTER($G$2:G1759, $C$2:C1759 = C1759)), STDEV.P(FILTER($G$2:G1759, $C$2:C1759 = C1759, $A$2:A1759 &gt;= A1759 - 30)))
"),"#DIV/0!")</f>
        <v>#DIV/0!</v>
      </c>
    </row>
    <row r="1760" spans="1:14" x14ac:dyDescent="0.2">
      <c r="A1760" s="41"/>
      <c r="B1760" s="40"/>
      <c r="C1760" s="40"/>
      <c r="D1760" s="31"/>
      <c r="E1760" s="31"/>
      <c r="F1760" s="31"/>
      <c r="G1760" s="19" t="e">
        <f t="shared" si="30"/>
        <v>#DIV/0!</v>
      </c>
      <c r="H1760" s="20" t="str">
        <f ca="1">IFERROR(__xludf.DUMMYFUNCTION("IF(COUNTIFS($C$2:C1760, C1760, $A$2:A1760, ""&lt;="" &amp; A1760) &lt; 30, AVERAGEIF($C$2:C1760, C1760, $G$2:G1760), AVERAGE(FILTER($G$2:G1760, $C$2:C1760 = C1760, $A$2:A1760 &gt;= A1760 - 30)))
"),"#DIV/0!")</f>
        <v>#DIV/0!</v>
      </c>
      <c r="I1760" s="20" t="e">
        <f t="shared" ca="1" si="31"/>
        <v>#DIV/0!</v>
      </c>
      <c r="J1760" s="20" t="str">
        <f ca="1">IFERROR(__xludf.DUMMYFUNCTION("IF(OR($I1760=2, $I1760=3), 0, IFERROR(COUNTIFS($C$2:C1760, $C1760, $A$2:A1760, ""&gt;""&amp;IFERROR(MAX(FILTER($A$2:A1760, $C$2:C1760=$C1760, $I$2:I1760&lt;&gt;1)), 0), $I$2:I1760, 1),1))
"),"#DIV/0!")</f>
        <v>#DIV/0!</v>
      </c>
      <c r="K1760" s="7" t="e">
        <f t="shared" ca="1" si="32"/>
        <v>#DIV/0!</v>
      </c>
      <c r="L1760" s="20" t="e">
        <f t="shared" ca="1" si="33"/>
        <v>#DIV/0!</v>
      </c>
      <c r="M1760" s="21" t="e">
        <f t="shared" ca="1" si="34"/>
        <v>#DIV/0!</v>
      </c>
      <c r="N1760" s="20" t="str">
        <f ca="1">IFERROR(__xludf.DUMMYFUNCTION("IF(COUNTIFS($C$2:C1760, C1760, $A$2:A1760, ""&lt;="" &amp; A1760) &lt; 30, STDEV.P(FILTER($G$2:G1760, $C$2:C1760 = C1760)), STDEV.P(FILTER($G$2:G1760, $C$2:C1760 = C1760, $A$2:A1760 &gt;= A1760 - 30)))
"),"#DIV/0!")</f>
        <v>#DIV/0!</v>
      </c>
    </row>
    <row r="1761" spans="1:14" x14ac:dyDescent="0.2">
      <c r="A1761" s="41"/>
      <c r="B1761" s="40"/>
      <c r="C1761" s="40"/>
      <c r="D1761" s="31"/>
      <c r="E1761" s="31"/>
      <c r="F1761" s="31"/>
      <c r="G1761" s="19" t="e">
        <f t="shared" si="30"/>
        <v>#DIV/0!</v>
      </c>
      <c r="H1761" s="20" t="str">
        <f ca="1">IFERROR(__xludf.DUMMYFUNCTION("IF(COUNTIFS($C$2:C1761, C1761, $A$2:A1761, ""&lt;="" &amp; A1761) &lt; 30, AVERAGEIF($C$2:C1761, C1761, $G$2:G1761), AVERAGE(FILTER($G$2:G1761, $C$2:C1761 = C1761, $A$2:A1761 &gt;= A1761 - 30)))
"),"#DIV/0!")</f>
        <v>#DIV/0!</v>
      </c>
      <c r="I1761" s="20" t="e">
        <f t="shared" ca="1" si="31"/>
        <v>#DIV/0!</v>
      </c>
      <c r="J1761" s="20" t="str">
        <f ca="1">IFERROR(__xludf.DUMMYFUNCTION("IF(OR($I1761=2, $I1761=3), 0, IFERROR(COUNTIFS($C$2:C1761, $C1761, $A$2:A1761, ""&gt;""&amp;IFERROR(MAX(FILTER($A$2:A1761, $C$2:C1761=$C1761, $I$2:I1761&lt;&gt;1)), 0), $I$2:I1761, 1),1))
"),"#DIV/0!")</f>
        <v>#DIV/0!</v>
      </c>
      <c r="K1761" s="7" t="e">
        <f t="shared" ca="1" si="32"/>
        <v>#DIV/0!</v>
      </c>
      <c r="L1761" s="20" t="e">
        <f t="shared" ca="1" si="33"/>
        <v>#DIV/0!</v>
      </c>
      <c r="M1761" s="21" t="e">
        <f t="shared" ca="1" si="34"/>
        <v>#DIV/0!</v>
      </c>
      <c r="N1761" s="20" t="str">
        <f ca="1">IFERROR(__xludf.DUMMYFUNCTION("IF(COUNTIFS($C$2:C1761, C1761, $A$2:A1761, ""&lt;="" &amp; A1761) &lt; 30, STDEV.P(FILTER($G$2:G1761, $C$2:C1761 = C1761)), STDEV.P(FILTER($G$2:G1761, $C$2:C1761 = C1761, $A$2:A1761 &gt;= A1761 - 30)))
"),"#DIV/0!")</f>
        <v>#DIV/0!</v>
      </c>
    </row>
    <row r="1762" spans="1:14" x14ac:dyDescent="0.2">
      <c r="A1762" s="41"/>
      <c r="B1762" s="40"/>
      <c r="C1762" s="40"/>
      <c r="D1762" s="31"/>
      <c r="E1762" s="31"/>
      <c r="F1762" s="31"/>
      <c r="G1762" s="19" t="e">
        <f t="shared" si="30"/>
        <v>#DIV/0!</v>
      </c>
      <c r="H1762" s="20" t="str">
        <f ca="1">IFERROR(__xludf.DUMMYFUNCTION("IF(COUNTIFS($C$2:C1762, C1762, $A$2:A1762, ""&lt;="" &amp; A1762) &lt; 30, AVERAGEIF($C$2:C1762, C1762, $G$2:G1762), AVERAGE(FILTER($G$2:G1762, $C$2:C1762 = C1762, $A$2:A1762 &gt;= A1762 - 30)))
"),"#DIV/0!")</f>
        <v>#DIV/0!</v>
      </c>
      <c r="I1762" s="20" t="e">
        <f t="shared" ca="1" si="31"/>
        <v>#DIV/0!</v>
      </c>
      <c r="J1762" s="20" t="str">
        <f ca="1">IFERROR(__xludf.DUMMYFUNCTION("IF(OR($I1762=2, $I1762=3), 0, IFERROR(COUNTIFS($C$2:C1762, $C1762, $A$2:A1762, ""&gt;""&amp;IFERROR(MAX(FILTER($A$2:A1762, $C$2:C1762=$C1762, $I$2:I1762&lt;&gt;1)), 0), $I$2:I1762, 1),1))
"),"#DIV/0!")</f>
        <v>#DIV/0!</v>
      </c>
      <c r="K1762" s="7" t="e">
        <f t="shared" ca="1" si="32"/>
        <v>#DIV/0!</v>
      </c>
      <c r="L1762" s="20" t="e">
        <f t="shared" ca="1" si="33"/>
        <v>#DIV/0!</v>
      </c>
      <c r="M1762" s="21" t="e">
        <f t="shared" ca="1" si="34"/>
        <v>#DIV/0!</v>
      </c>
      <c r="N1762" s="20" t="str">
        <f ca="1">IFERROR(__xludf.DUMMYFUNCTION("IF(COUNTIFS($C$2:C1762, C1762, $A$2:A1762, ""&lt;="" &amp; A1762) &lt; 30, STDEV.P(FILTER($G$2:G1762, $C$2:C1762 = C1762)), STDEV.P(FILTER($G$2:G1762, $C$2:C1762 = C1762, $A$2:A1762 &gt;= A1762 - 30)))
"),"#DIV/0!")</f>
        <v>#DIV/0!</v>
      </c>
    </row>
    <row r="1763" spans="1:14" x14ac:dyDescent="0.2">
      <c r="A1763" s="41"/>
      <c r="B1763" s="40"/>
      <c r="C1763" s="40"/>
      <c r="D1763" s="31"/>
      <c r="E1763" s="31"/>
      <c r="F1763" s="31"/>
      <c r="G1763" s="19" t="e">
        <f t="shared" si="30"/>
        <v>#DIV/0!</v>
      </c>
      <c r="H1763" s="20" t="str">
        <f ca="1">IFERROR(__xludf.DUMMYFUNCTION("IF(COUNTIFS($C$2:C1763, C1763, $A$2:A1763, ""&lt;="" &amp; A1763) &lt; 30, AVERAGEIF($C$2:C1763, C1763, $G$2:G1763), AVERAGE(FILTER($G$2:G1763, $C$2:C1763 = C1763, $A$2:A1763 &gt;= A1763 - 30)))
"),"#DIV/0!")</f>
        <v>#DIV/0!</v>
      </c>
      <c r="I1763" s="20" t="e">
        <f t="shared" ca="1" si="31"/>
        <v>#DIV/0!</v>
      </c>
      <c r="J1763" s="20" t="str">
        <f ca="1">IFERROR(__xludf.DUMMYFUNCTION("IF(OR($I1763=2, $I1763=3), 0, IFERROR(COUNTIFS($C$2:C1763, $C1763, $A$2:A1763, ""&gt;""&amp;IFERROR(MAX(FILTER($A$2:A1763, $C$2:C1763=$C1763, $I$2:I1763&lt;&gt;1)), 0), $I$2:I1763, 1),1))
"),"#DIV/0!")</f>
        <v>#DIV/0!</v>
      </c>
      <c r="K1763" s="7" t="e">
        <f t="shared" ca="1" si="32"/>
        <v>#DIV/0!</v>
      </c>
      <c r="L1763" s="20" t="e">
        <f t="shared" ca="1" si="33"/>
        <v>#DIV/0!</v>
      </c>
      <c r="M1763" s="21" t="e">
        <f t="shared" ca="1" si="34"/>
        <v>#DIV/0!</v>
      </c>
      <c r="N1763" s="20" t="str">
        <f ca="1">IFERROR(__xludf.DUMMYFUNCTION("IF(COUNTIFS($C$2:C1763, C1763, $A$2:A1763, ""&lt;="" &amp; A1763) &lt; 30, STDEV.P(FILTER($G$2:G1763, $C$2:C1763 = C1763)), STDEV.P(FILTER($G$2:G1763, $C$2:C1763 = C1763, $A$2:A1763 &gt;= A1763 - 30)))
"),"#DIV/0!")</f>
        <v>#DIV/0!</v>
      </c>
    </row>
    <row r="1764" spans="1:14" x14ac:dyDescent="0.2">
      <c r="A1764" s="41"/>
      <c r="B1764" s="40"/>
      <c r="C1764" s="40"/>
      <c r="D1764" s="31"/>
      <c r="E1764" s="31"/>
      <c r="F1764" s="31"/>
      <c r="G1764" s="19" t="e">
        <f t="shared" si="30"/>
        <v>#DIV/0!</v>
      </c>
      <c r="H1764" s="20" t="str">
        <f ca="1">IFERROR(__xludf.DUMMYFUNCTION("IF(COUNTIFS($C$2:C1764, C1764, $A$2:A1764, ""&lt;="" &amp; A1764) &lt; 30, AVERAGEIF($C$2:C1764, C1764, $G$2:G1764), AVERAGE(FILTER($G$2:G1764, $C$2:C1764 = C1764, $A$2:A1764 &gt;= A1764 - 30)))
"),"#DIV/0!")</f>
        <v>#DIV/0!</v>
      </c>
      <c r="I1764" s="20" t="e">
        <f t="shared" ca="1" si="31"/>
        <v>#DIV/0!</v>
      </c>
      <c r="J1764" s="20" t="str">
        <f ca="1">IFERROR(__xludf.DUMMYFUNCTION("IF(OR($I1764=2, $I1764=3), 0, IFERROR(COUNTIFS($C$2:C1764, $C1764, $A$2:A1764, ""&gt;""&amp;IFERROR(MAX(FILTER($A$2:A1764, $C$2:C1764=$C1764, $I$2:I1764&lt;&gt;1)), 0), $I$2:I1764, 1),1))
"),"#DIV/0!")</f>
        <v>#DIV/0!</v>
      </c>
      <c r="K1764" s="7" t="e">
        <f t="shared" ca="1" si="32"/>
        <v>#DIV/0!</v>
      </c>
      <c r="L1764" s="20" t="e">
        <f t="shared" ca="1" si="33"/>
        <v>#DIV/0!</v>
      </c>
      <c r="M1764" s="21" t="e">
        <f t="shared" ca="1" si="34"/>
        <v>#DIV/0!</v>
      </c>
      <c r="N1764" s="20" t="str">
        <f ca="1">IFERROR(__xludf.DUMMYFUNCTION("IF(COUNTIFS($C$2:C1764, C1764, $A$2:A1764, ""&lt;="" &amp; A1764) &lt; 30, STDEV.P(FILTER($G$2:G1764, $C$2:C1764 = C1764)), STDEV.P(FILTER($G$2:G1764, $C$2:C1764 = C1764, $A$2:A1764 &gt;= A1764 - 30)))
"),"#DIV/0!")</f>
        <v>#DIV/0!</v>
      </c>
    </row>
    <row r="1765" spans="1:14" x14ac:dyDescent="0.2">
      <c r="A1765" s="41"/>
      <c r="B1765" s="40"/>
      <c r="C1765" s="40"/>
      <c r="D1765" s="31"/>
      <c r="E1765" s="31"/>
      <c r="F1765" s="31"/>
      <c r="G1765" s="19" t="e">
        <f t="shared" si="30"/>
        <v>#DIV/0!</v>
      </c>
      <c r="H1765" s="20" t="str">
        <f ca="1">IFERROR(__xludf.DUMMYFUNCTION("IF(COUNTIFS($C$2:C1765, C1765, $A$2:A1765, ""&lt;="" &amp; A1765) &lt; 30, AVERAGEIF($C$2:C1765, C1765, $G$2:G1765), AVERAGE(FILTER($G$2:G1765, $C$2:C1765 = C1765, $A$2:A1765 &gt;= A1765 - 30)))
"),"#DIV/0!")</f>
        <v>#DIV/0!</v>
      </c>
      <c r="I1765" s="20" t="e">
        <f t="shared" ca="1" si="31"/>
        <v>#DIV/0!</v>
      </c>
      <c r="J1765" s="20" t="str">
        <f ca="1">IFERROR(__xludf.DUMMYFUNCTION("IF(OR($I1765=2, $I1765=3), 0, IFERROR(COUNTIFS($C$2:C1765, $C1765, $A$2:A1765, ""&gt;""&amp;IFERROR(MAX(FILTER($A$2:A1765, $C$2:C1765=$C1765, $I$2:I1765&lt;&gt;1)), 0), $I$2:I1765, 1),1))
"),"#DIV/0!")</f>
        <v>#DIV/0!</v>
      </c>
      <c r="K1765" s="7" t="e">
        <f t="shared" ca="1" si="32"/>
        <v>#DIV/0!</v>
      </c>
      <c r="L1765" s="20" t="e">
        <f t="shared" ca="1" si="33"/>
        <v>#DIV/0!</v>
      </c>
      <c r="M1765" s="21" t="e">
        <f t="shared" ca="1" si="34"/>
        <v>#DIV/0!</v>
      </c>
      <c r="N1765" s="20" t="str">
        <f ca="1">IFERROR(__xludf.DUMMYFUNCTION("IF(COUNTIFS($C$2:C1765, C1765, $A$2:A1765, ""&lt;="" &amp; A1765) &lt; 30, STDEV.P(FILTER($G$2:G1765, $C$2:C1765 = C1765)), STDEV.P(FILTER($G$2:G1765, $C$2:C1765 = C1765, $A$2:A1765 &gt;= A1765 - 30)))
"),"#DIV/0!")</f>
        <v>#DIV/0!</v>
      </c>
    </row>
    <row r="1766" spans="1:14" x14ac:dyDescent="0.2">
      <c r="A1766" s="41"/>
      <c r="B1766" s="40"/>
      <c r="C1766" s="40"/>
      <c r="D1766" s="31"/>
      <c r="E1766" s="31"/>
      <c r="F1766" s="31"/>
      <c r="G1766" s="19" t="e">
        <f t="shared" si="30"/>
        <v>#DIV/0!</v>
      </c>
      <c r="H1766" s="20" t="str">
        <f ca="1">IFERROR(__xludf.DUMMYFUNCTION("IF(COUNTIFS($C$2:C1766, C1766, $A$2:A1766, ""&lt;="" &amp; A1766) &lt; 30, AVERAGEIF($C$2:C1766, C1766, $G$2:G1766), AVERAGE(FILTER($G$2:G1766, $C$2:C1766 = C1766, $A$2:A1766 &gt;= A1766 - 30)))
"),"#DIV/0!")</f>
        <v>#DIV/0!</v>
      </c>
      <c r="I1766" s="20" t="e">
        <f t="shared" ca="1" si="31"/>
        <v>#DIV/0!</v>
      </c>
      <c r="J1766" s="20" t="str">
        <f ca="1">IFERROR(__xludf.DUMMYFUNCTION("IF(OR($I1766=2, $I1766=3), 0, IFERROR(COUNTIFS($C$2:C1766, $C1766, $A$2:A1766, ""&gt;""&amp;IFERROR(MAX(FILTER($A$2:A1766, $C$2:C1766=$C1766, $I$2:I1766&lt;&gt;1)), 0), $I$2:I1766, 1),1))
"),"#DIV/0!")</f>
        <v>#DIV/0!</v>
      </c>
      <c r="K1766" s="7" t="e">
        <f t="shared" ca="1" si="32"/>
        <v>#DIV/0!</v>
      </c>
      <c r="L1766" s="20" t="e">
        <f t="shared" ca="1" si="33"/>
        <v>#DIV/0!</v>
      </c>
      <c r="M1766" s="21" t="e">
        <f t="shared" ca="1" si="34"/>
        <v>#DIV/0!</v>
      </c>
      <c r="N1766" s="20" t="str">
        <f ca="1">IFERROR(__xludf.DUMMYFUNCTION("IF(COUNTIFS($C$2:C1766, C1766, $A$2:A1766, ""&lt;="" &amp; A1766) &lt; 30, STDEV.P(FILTER($G$2:G1766, $C$2:C1766 = C1766)), STDEV.P(FILTER($G$2:G1766, $C$2:C1766 = C1766, $A$2:A1766 &gt;= A1766 - 30)))
"),"#DIV/0!")</f>
        <v>#DIV/0!</v>
      </c>
    </row>
    <row r="1767" spans="1:14" x14ac:dyDescent="0.2">
      <c r="A1767" s="41"/>
      <c r="B1767" s="40"/>
      <c r="C1767" s="40"/>
      <c r="D1767" s="31"/>
      <c r="E1767" s="31"/>
      <c r="F1767" s="31"/>
      <c r="G1767" s="19" t="e">
        <f t="shared" si="30"/>
        <v>#DIV/0!</v>
      </c>
      <c r="H1767" s="20" t="str">
        <f ca="1">IFERROR(__xludf.DUMMYFUNCTION("IF(COUNTIFS($C$2:C1767, C1767, $A$2:A1767, ""&lt;="" &amp; A1767) &lt; 30, AVERAGEIF($C$2:C1767, C1767, $G$2:G1767), AVERAGE(FILTER($G$2:G1767, $C$2:C1767 = C1767, $A$2:A1767 &gt;= A1767 - 30)))
"),"#DIV/0!")</f>
        <v>#DIV/0!</v>
      </c>
      <c r="I1767" s="20" t="e">
        <f t="shared" ca="1" si="31"/>
        <v>#DIV/0!</v>
      </c>
      <c r="J1767" s="20" t="str">
        <f ca="1">IFERROR(__xludf.DUMMYFUNCTION("IF(OR($I1767=2, $I1767=3), 0, IFERROR(COUNTIFS($C$2:C1767, $C1767, $A$2:A1767, ""&gt;""&amp;IFERROR(MAX(FILTER($A$2:A1767, $C$2:C1767=$C1767, $I$2:I1767&lt;&gt;1)), 0), $I$2:I1767, 1),1))
"),"#DIV/0!")</f>
        <v>#DIV/0!</v>
      </c>
      <c r="K1767" s="7" t="e">
        <f t="shared" ca="1" si="32"/>
        <v>#DIV/0!</v>
      </c>
      <c r="L1767" s="20" t="e">
        <f t="shared" ca="1" si="33"/>
        <v>#DIV/0!</v>
      </c>
      <c r="M1767" s="21" t="e">
        <f t="shared" ca="1" si="34"/>
        <v>#DIV/0!</v>
      </c>
      <c r="N1767" s="20" t="str">
        <f ca="1">IFERROR(__xludf.DUMMYFUNCTION("IF(COUNTIFS($C$2:C1767, C1767, $A$2:A1767, ""&lt;="" &amp; A1767) &lt; 30, STDEV.P(FILTER($G$2:G1767, $C$2:C1767 = C1767)), STDEV.P(FILTER($G$2:G1767, $C$2:C1767 = C1767, $A$2:A1767 &gt;= A1767 - 30)))
"),"#DIV/0!")</f>
        <v>#DIV/0!</v>
      </c>
    </row>
    <row r="1768" spans="1:14" x14ac:dyDescent="0.2">
      <c r="A1768" s="41"/>
      <c r="B1768" s="40"/>
      <c r="C1768" s="40"/>
      <c r="D1768" s="31"/>
      <c r="E1768" s="31"/>
      <c r="F1768" s="31"/>
      <c r="G1768" s="19" t="e">
        <f t="shared" si="30"/>
        <v>#DIV/0!</v>
      </c>
      <c r="H1768" s="20" t="str">
        <f ca="1">IFERROR(__xludf.DUMMYFUNCTION("IF(COUNTIFS($C$2:C1768, C1768, $A$2:A1768, ""&lt;="" &amp; A1768) &lt; 30, AVERAGEIF($C$2:C1768, C1768, $G$2:G1768), AVERAGE(FILTER($G$2:G1768, $C$2:C1768 = C1768, $A$2:A1768 &gt;= A1768 - 30)))
"),"#DIV/0!")</f>
        <v>#DIV/0!</v>
      </c>
      <c r="I1768" s="20" t="e">
        <f t="shared" ca="1" si="31"/>
        <v>#DIV/0!</v>
      </c>
      <c r="J1768" s="20" t="str">
        <f ca="1">IFERROR(__xludf.DUMMYFUNCTION("IF(OR($I1768=2, $I1768=3), 0, IFERROR(COUNTIFS($C$2:C1768, $C1768, $A$2:A1768, ""&gt;""&amp;IFERROR(MAX(FILTER($A$2:A1768, $C$2:C1768=$C1768, $I$2:I1768&lt;&gt;1)), 0), $I$2:I1768, 1),1))
"),"#DIV/0!")</f>
        <v>#DIV/0!</v>
      </c>
      <c r="K1768" s="7" t="e">
        <f t="shared" ca="1" si="32"/>
        <v>#DIV/0!</v>
      </c>
      <c r="L1768" s="20" t="e">
        <f t="shared" ca="1" si="33"/>
        <v>#DIV/0!</v>
      </c>
      <c r="M1768" s="21" t="e">
        <f t="shared" ca="1" si="34"/>
        <v>#DIV/0!</v>
      </c>
      <c r="N1768" s="20" t="str">
        <f ca="1">IFERROR(__xludf.DUMMYFUNCTION("IF(COUNTIFS($C$2:C1768, C1768, $A$2:A1768, ""&lt;="" &amp; A1768) &lt; 30, STDEV.P(FILTER($G$2:G1768, $C$2:C1768 = C1768)), STDEV.P(FILTER($G$2:G1768, $C$2:C1768 = C1768, $A$2:A1768 &gt;= A1768 - 30)))
"),"#DIV/0!")</f>
        <v>#DIV/0!</v>
      </c>
    </row>
    <row r="1769" spans="1:14" x14ac:dyDescent="0.2">
      <c r="A1769" s="41"/>
      <c r="B1769" s="40"/>
      <c r="C1769" s="40"/>
      <c r="D1769" s="31"/>
      <c r="E1769" s="31"/>
      <c r="F1769" s="31"/>
      <c r="G1769" s="19" t="e">
        <f t="shared" si="30"/>
        <v>#DIV/0!</v>
      </c>
      <c r="H1769" s="20" t="str">
        <f ca="1">IFERROR(__xludf.DUMMYFUNCTION("IF(COUNTIFS($C$2:C1769, C1769, $A$2:A1769, ""&lt;="" &amp; A1769) &lt; 30, AVERAGEIF($C$2:C1769, C1769, $G$2:G1769), AVERAGE(FILTER($G$2:G1769, $C$2:C1769 = C1769, $A$2:A1769 &gt;= A1769 - 30)))
"),"#DIV/0!")</f>
        <v>#DIV/0!</v>
      </c>
      <c r="I1769" s="20" t="e">
        <f t="shared" ca="1" si="31"/>
        <v>#DIV/0!</v>
      </c>
      <c r="J1769" s="20" t="str">
        <f ca="1">IFERROR(__xludf.DUMMYFUNCTION("IF(OR($I1769=2, $I1769=3), 0, IFERROR(COUNTIFS($C$2:C1769, $C1769, $A$2:A1769, ""&gt;""&amp;IFERROR(MAX(FILTER($A$2:A1769, $C$2:C1769=$C1769, $I$2:I1769&lt;&gt;1)), 0), $I$2:I1769, 1),1))
"),"#DIV/0!")</f>
        <v>#DIV/0!</v>
      </c>
      <c r="K1769" s="7" t="e">
        <f t="shared" ca="1" si="32"/>
        <v>#DIV/0!</v>
      </c>
      <c r="L1769" s="20" t="e">
        <f t="shared" ca="1" si="33"/>
        <v>#DIV/0!</v>
      </c>
      <c r="M1769" s="21" t="e">
        <f t="shared" ca="1" si="34"/>
        <v>#DIV/0!</v>
      </c>
      <c r="N1769" s="20" t="str">
        <f ca="1">IFERROR(__xludf.DUMMYFUNCTION("IF(COUNTIFS($C$2:C1769, C1769, $A$2:A1769, ""&lt;="" &amp; A1769) &lt; 30, STDEV.P(FILTER($G$2:G1769, $C$2:C1769 = C1769)), STDEV.P(FILTER($G$2:G1769, $C$2:C1769 = C1769, $A$2:A1769 &gt;= A1769 - 30)))
"),"#DIV/0!")</f>
        <v>#DIV/0!</v>
      </c>
    </row>
    <row r="1770" spans="1:14" x14ac:dyDescent="0.2">
      <c r="A1770" s="41"/>
      <c r="B1770" s="40"/>
      <c r="C1770" s="40"/>
      <c r="D1770" s="31"/>
      <c r="E1770" s="31"/>
      <c r="F1770" s="31"/>
      <c r="G1770" s="19" t="e">
        <f t="shared" si="30"/>
        <v>#DIV/0!</v>
      </c>
      <c r="H1770" s="20" t="str">
        <f ca="1">IFERROR(__xludf.DUMMYFUNCTION("IF(COUNTIFS($C$2:C1770, C1770, $A$2:A1770, ""&lt;="" &amp; A1770) &lt; 30, AVERAGEIF($C$2:C1770, C1770, $G$2:G1770), AVERAGE(FILTER($G$2:G1770, $C$2:C1770 = C1770, $A$2:A1770 &gt;= A1770 - 30)))
"),"#DIV/0!")</f>
        <v>#DIV/0!</v>
      </c>
      <c r="I1770" s="20" t="e">
        <f t="shared" ca="1" si="31"/>
        <v>#DIV/0!</v>
      </c>
      <c r="J1770" s="20" t="str">
        <f ca="1">IFERROR(__xludf.DUMMYFUNCTION("IF(OR($I1770=2, $I1770=3), 0, IFERROR(COUNTIFS($C$2:C1770, $C1770, $A$2:A1770, ""&gt;""&amp;IFERROR(MAX(FILTER($A$2:A1770, $C$2:C1770=$C1770, $I$2:I1770&lt;&gt;1)), 0), $I$2:I1770, 1),1))
"),"#DIV/0!")</f>
        <v>#DIV/0!</v>
      </c>
      <c r="K1770" s="7" t="e">
        <f t="shared" ca="1" si="32"/>
        <v>#DIV/0!</v>
      </c>
      <c r="L1770" s="20" t="e">
        <f t="shared" ca="1" si="33"/>
        <v>#DIV/0!</v>
      </c>
      <c r="M1770" s="21" t="e">
        <f t="shared" ca="1" si="34"/>
        <v>#DIV/0!</v>
      </c>
      <c r="N1770" s="20" t="str">
        <f ca="1">IFERROR(__xludf.DUMMYFUNCTION("IF(COUNTIFS($C$2:C1770, C1770, $A$2:A1770, ""&lt;="" &amp; A1770) &lt; 30, STDEV.P(FILTER($G$2:G1770, $C$2:C1770 = C1770)), STDEV.P(FILTER($G$2:G1770, $C$2:C1770 = C1770, $A$2:A1770 &gt;= A1770 - 30)))
"),"#DIV/0!")</f>
        <v>#DIV/0!</v>
      </c>
    </row>
    <row r="1771" spans="1:14" x14ac:dyDescent="0.2">
      <c r="A1771" s="41"/>
      <c r="B1771" s="40"/>
      <c r="C1771" s="40"/>
      <c r="D1771" s="31"/>
      <c r="E1771" s="31"/>
      <c r="F1771" s="31"/>
      <c r="G1771" s="19" t="e">
        <f t="shared" si="30"/>
        <v>#DIV/0!</v>
      </c>
      <c r="H1771" s="20" t="str">
        <f ca="1">IFERROR(__xludf.DUMMYFUNCTION("IF(COUNTIFS($C$2:C1771, C1771, $A$2:A1771, ""&lt;="" &amp; A1771) &lt; 30, AVERAGEIF($C$2:C1771, C1771, $G$2:G1771), AVERAGE(FILTER($G$2:G1771, $C$2:C1771 = C1771, $A$2:A1771 &gt;= A1771 - 30)))
"),"#DIV/0!")</f>
        <v>#DIV/0!</v>
      </c>
      <c r="I1771" s="20" t="e">
        <f t="shared" ca="1" si="31"/>
        <v>#DIV/0!</v>
      </c>
      <c r="J1771" s="20" t="str">
        <f ca="1">IFERROR(__xludf.DUMMYFUNCTION("IF(OR($I1771=2, $I1771=3), 0, IFERROR(COUNTIFS($C$2:C1771, $C1771, $A$2:A1771, ""&gt;""&amp;IFERROR(MAX(FILTER($A$2:A1771, $C$2:C1771=$C1771, $I$2:I1771&lt;&gt;1)), 0), $I$2:I1771, 1),1))
"),"#DIV/0!")</f>
        <v>#DIV/0!</v>
      </c>
      <c r="K1771" s="7" t="e">
        <f t="shared" ca="1" si="32"/>
        <v>#DIV/0!</v>
      </c>
      <c r="L1771" s="20" t="e">
        <f t="shared" ca="1" si="33"/>
        <v>#DIV/0!</v>
      </c>
      <c r="M1771" s="21" t="e">
        <f t="shared" ca="1" si="34"/>
        <v>#DIV/0!</v>
      </c>
      <c r="N1771" s="20" t="str">
        <f ca="1">IFERROR(__xludf.DUMMYFUNCTION("IF(COUNTIFS($C$2:C1771, C1771, $A$2:A1771, ""&lt;="" &amp; A1771) &lt; 30, STDEV.P(FILTER($G$2:G1771, $C$2:C1771 = C1771)), STDEV.P(FILTER($G$2:G1771, $C$2:C1771 = C1771, $A$2:A1771 &gt;= A1771 - 30)))
"),"#DIV/0!")</f>
        <v>#DIV/0!</v>
      </c>
    </row>
    <row r="1772" spans="1:14" x14ac:dyDescent="0.2">
      <c r="A1772" s="41"/>
      <c r="B1772" s="40"/>
      <c r="C1772" s="40"/>
      <c r="D1772" s="31"/>
      <c r="E1772" s="31"/>
      <c r="F1772" s="31"/>
      <c r="G1772" s="19" t="e">
        <f t="shared" si="30"/>
        <v>#DIV/0!</v>
      </c>
      <c r="H1772" s="20" t="str">
        <f ca="1">IFERROR(__xludf.DUMMYFUNCTION("IF(COUNTIFS($C$2:C1772, C1772, $A$2:A1772, ""&lt;="" &amp; A1772) &lt; 30, AVERAGEIF($C$2:C1772, C1772, $G$2:G1772), AVERAGE(FILTER($G$2:G1772, $C$2:C1772 = C1772, $A$2:A1772 &gt;= A1772 - 30)))
"),"#DIV/0!")</f>
        <v>#DIV/0!</v>
      </c>
      <c r="I1772" s="20" t="e">
        <f t="shared" ca="1" si="31"/>
        <v>#DIV/0!</v>
      </c>
      <c r="J1772" s="20" t="str">
        <f ca="1">IFERROR(__xludf.DUMMYFUNCTION("IF(OR($I1772=2, $I1772=3), 0, IFERROR(COUNTIFS($C$2:C1772, $C1772, $A$2:A1772, ""&gt;""&amp;IFERROR(MAX(FILTER($A$2:A1772, $C$2:C1772=$C1772, $I$2:I1772&lt;&gt;1)), 0), $I$2:I1772, 1),1))
"),"#DIV/0!")</f>
        <v>#DIV/0!</v>
      </c>
      <c r="K1772" s="7" t="e">
        <f t="shared" ca="1" si="32"/>
        <v>#DIV/0!</v>
      </c>
      <c r="L1772" s="20" t="e">
        <f t="shared" ca="1" si="33"/>
        <v>#DIV/0!</v>
      </c>
      <c r="M1772" s="21" t="e">
        <f t="shared" ca="1" si="34"/>
        <v>#DIV/0!</v>
      </c>
      <c r="N1772" s="20" t="str">
        <f ca="1">IFERROR(__xludf.DUMMYFUNCTION("IF(COUNTIFS($C$2:C1772, C1772, $A$2:A1772, ""&lt;="" &amp; A1772) &lt; 30, STDEV.P(FILTER($G$2:G1772, $C$2:C1772 = C1772)), STDEV.P(FILTER($G$2:G1772, $C$2:C1772 = C1772, $A$2:A1772 &gt;= A1772 - 30)))
"),"#DIV/0!")</f>
        <v>#DIV/0!</v>
      </c>
    </row>
    <row r="1773" spans="1:14" x14ac:dyDescent="0.2">
      <c r="A1773" s="41"/>
      <c r="B1773" s="40"/>
      <c r="C1773" s="40"/>
      <c r="D1773" s="31"/>
      <c r="E1773" s="31"/>
      <c r="F1773" s="31"/>
      <c r="G1773" s="19" t="e">
        <f t="shared" si="30"/>
        <v>#DIV/0!</v>
      </c>
      <c r="H1773" s="20" t="str">
        <f ca="1">IFERROR(__xludf.DUMMYFUNCTION("IF(COUNTIFS($C$2:C1773, C1773, $A$2:A1773, ""&lt;="" &amp; A1773) &lt; 30, AVERAGEIF($C$2:C1773, C1773, $G$2:G1773), AVERAGE(FILTER($G$2:G1773, $C$2:C1773 = C1773, $A$2:A1773 &gt;= A1773 - 30)))
"),"#DIV/0!")</f>
        <v>#DIV/0!</v>
      </c>
      <c r="I1773" s="20" t="e">
        <f t="shared" ca="1" si="31"/>
        <v>#DIV/0!</v>
      </c>
      <c r="J1773" s="20" t="str">
        <f ca="1">IFERROR(__xludf.DUMMYFUNCTION("IF(OR($I1773=2, $I1773=3), 0, IFERROR(COUNTIFS($C$2:C1773, $C1773, $A$2:A1773, ""&gt;""&amp;IFERROR(MAX(FILTER($A$2:A1773, $C$2:C1773=$C1773, $I$2:I1773&lt;&gt;1)), 0), $I$2:I1773, 1),1))
"),"#DIV/0!")</f>
        <v>#DIV/0!</v>
      </c>
      <c r="K1773" s="7" t="e">
        <f t="shared" ca="1" si="32"/>
        <v>#DIV/0!</v>
      </c>
      <c r="L1773" s="20" t="e">
        <f t="shared" ca="1" si="33"/>
        <v>#DIV/0!</v>
      </c>
      <c r="M1773" s="21" t="e">
        <f t="shared" ca="1" si="34"/>
        <v>#DIV/0!</v>
      </c>
      <c r="N1773" s="20" t="str">
        <f ca="1">IFERROR(__xludf.DUMMYFUNCTION("IF(COUNTIFS($C$2:C1773, C1773, $A$2:A1773, ""&lt;="" &amp; A1773) &lt; 30, STDEV.P(FILTER($G$2:G1773, $C$2:C1773 = C1773)), STDEV.P(FILTER($G$2:G1773, $C$2:C1773 = C1773, $A$2:A1773 &gt;= A1773 - 30)))
"),"#DIV/0!")</f>
        <v>#DIV/0!</v>
      </c>
    </row>
    <row r="1774" spans="1:14" x14ac:dyDescent="0.2">
      <c r="A1774" s="41"/>
      <c r="B1774" s="40"/>
      <c r="C1774" s="40"/>
      <c r="D1774" s="31"/>
      <c r="E1774" s="31"/>
      <c r="F1774" s="31"/>
      <c r="G1774" s="19" t="e">
        <f t="shared" si="30"/>
        <v>#DIV/0!</v>
      </c>
      <c r="H1774" s="20" t="str">
        <f ca="1">IFERROR(__xludf.DUMMYFUNCTION("IF(COUNTIFS($C$2:C1774, C1774, $A$2:A1774, ""&lt;="" &amp; A1774) &lt; 30, AVERAGEIF($C$2:C1774, C1774, $G$2:G1774), AVERAGE(FILTER($G$2:G1774, $C$2:C1774 = C1774, $A$2:A1774 &gt;= A1774 - 30)))
"),"#DIV/0!")</f>
        <v>#DIV/0!</v>
      </c>
      <c r="I1774" s="20" t="e">
        <f t="shared" ca="1" si="31"/>
        <v>#DIV/0!</v>
      </c>
      <c r="J1774" s="20" t="str">
        <f ca="1">IFERROR(__xludf.DUMMYFUNCTION("IF(OR($I1774=2, $I1774=3), 0, IFERROR(COUNTIFS($C$2:C1774, $C1774, $A$2:A1774, ""&gt;""&amp;IFERROR(MAX(FILTER($A$2:A1774, $C$2:C1774=$C1774, $I$2:I1774&lt;&gt;1)), 0), $I$2:I1774, 1),1))
"),"#DIV/0!")</f>
        <v>#DIV/0!</v>
      </c>
      <c r="K1774" s="7" t="e">
        <f t="shared" ca="1" si="32"/>
        <v>#DIV/0!</v>
      </c>
      <c r="L1774" s="20" t="e">
        <f t="shared" ca="1" si="33"/>
        <v>#DIV/0!</v>
      </c>
      <c r="M1774" s="21" t="e">
        <f t="shared" ca="1" si="34"/>
        <v>#DIV/0!</v>
      </c>
      <c r="N1774" s="20" t="str">
        <f ca="1">IFERROR(__xludf.DUMMYFUNCTION("IF(COUNTIFS($C$2:C1774, C1774, $A$2:A1774, ""&lt;="" &amp; A1774) &lt; 30, STDEV.P(FILTER($G$2:G1774, $C$2:C1774 = C1774)), STDEV.P(FILTER($G$2:G1774, $C$2:C1774 = C1774, $A$2:A1774 &gt;= A1774 - 30)))
"),"#DIV/0!")</f>
        <v>#DIV/0!</v>
      </c>
    </row>
    <row r="1775" spans="1:14" x14ac:dyDescent="0.2">
      <c r="A1775" s="41"/>
      <c r="B1775" s="40"/>
      <c r="C1775" s="40"/>
      <c r="D1775" s="31"/>
      <c r="E1775" s="31"/>
      <c r="F1775" s="31"/>
      <c r="G1775" s="19" t="e">
        <f t="shared" si="30"/>
        <v>#DIV/0!</v>
      </c>
      <c r="H1775" s="20" t="str">
        <f ca="1">IFERROR(__xludf.DUMMYFUNCTION("IF(COUNTIFS($C$2:C1775, C1775, $A$2:A1775, ""&lt;="" &amp; A1775) &lt; 30, AVERAGEIF($C$2:C1775, C1775, $G$2:G1775), AVERAGE(FILTER($G$2:G1775, $C$2:C1775 = C1775, $A$2:A1775 &gt;= A1775 - 30)))
"),"#DIV/0!")</f>
        <v>#DIV/0!</v>
      </c>
      <c r="I1775" s="20" t="e">
        <f t="shared" ca="1" si="31"/>
        <v>#DIV/0!</v>
      </c>
      <c r="J1775" s="20" t="str">
        <f ca="1">IFERROR(__xludf.DUMMYFUNCTION("IF(OR($I1775=2, $I1775=3), 0, IFERROR(COUNTIFS($C$2:C1775, $C1775, $A$2:A1775, ""&gt;""&amp;IFERROR(MAX(FILTER($A$2:A1775, $C$2:C1775=$C1775, $I$2:I1775&lt;&gt;1)), 0), $I$2:I1775, 1),1))
"),"#DIV/0!")</f>
        <v>#DIV/0!</v>
      </c>
      <c r="K1775" s="7" t="e">
        <f t="shared" ca="1" si="32"/>
        <v>#DIV/0!</v>
      </c>
      <c r="L1775" s="20" t="e">
        <f t="shared" ca="1" si="33"/>
        <v>#DIV/0!</v>
      </c>
      <c r="M1775" s="21" t="e">
        <f t="shared" ca="1" si="34"/>
        <v>#DIV/0!</v>
      </c>
      <c r="N1775" s="20" t="str">
        <f ca="1">IFERROR(__xludf.DUMMYFUNCTION("IF(COUNTIFS($C$2:C1775, C1775, $A$2:A1775, ""&lt;="" &amp; A1775) &lt; 30, STDEV.P(FILTER($G$2:G1775, $C$2:C1775 = C1775)), STDEV.P(FILTER($G$2:G1775, $C$2:C1775 = C1775, $A$2:A1775 &gt;= A1775 - 30)))
"),"#DIV/0!")</f>
        <v>#DIV/0!</v>
      </c>
    </row>
    <row r="1776" spans="1:14" x14ac:dyDescent="0.2">
      <c r="A1776" s="41"/>
      <c r="B1776" s="40"/>
      <c r="C1776" s="40"/>
      <c r="D1776" s="31"/>
      <c r="E1776" s="31"/>
      <c r="F1776" s="31"/>
      <c r="G1776" s="19" t="e">
        <f t="shared" si="30"/>
        <v>#DIV/0!</v>
      </c>
      <c r="H1776" s="20" t="str">
        <f ca="1">IFERROR(__xludf.DUMMYFUNCTION("IF(COUNTIFS($C$2:C1776, C1776, $A$2:A1776, ""&lt;="" &amp; A1776) &lt; 30, AVERAGEIF($C$2:C1776, C1776, $G$2:G1776), AVERAGE(FILTER($G$2:G1776, $C$2:C1776 = C1776, $A$2:A1776 &gt;= A1776 - 30)))
"),"#DIV/0!")</f>
        <v>#DIV/0!</v>
      </c>
      <c r="I1776" s="20" t="e">
        <f t="shared" ca="1" si="31"/>
        <v>#DIV/0!</v>
      </c>
      <c r="J1776" s="20" t="str">
        <f ca="1">IFERROR(__xludf.DUMMYFUNCTION("IF(OR($I1776=2, $I1776=3), 0, IFERROR(COUNTIFS($C$2:C1776, $C1776, $A$2:A1776, ""&gt;""&amp;IFERROR(MAX(FILTER($A$2:A1776, $C$2:C1776=$C1776, $I$2:I1776&lt;&gt;1)), 0), $I$2:I1776, 1),1))
"),"#DIV/0!")</f>
        <v>#DIV/0!</v>
      </c>
      <c r="K1776" s="7" t="e">
        <f t="shared" ca="1" si="32"/>
        <v>#DIV/0!</v>
      </c>
      <c r="L1776" s="20" t="e">
        <f t="shared" ca="1" si="33"/>
        <v>#DIV/0!</v>
      </c>
      <c r="M1776" s="21" t="e">
        <f t="shared" ca="1" si="34"/>
        <v>#DIV/0!</v>
      </c>
      <c r="N1776" s="20" t="str">
        <f ca="1">IFERROR(__xludf.DUMMYFUNCTION("IF(COUNTIFS($C$2:C1776, C1776, $A$2:A1776, ""&lt;="" &amp; A1776) &lt; 30, STDEV.P(FILTER($G$2:G1776, $C$2:C1776 = C1776)), STDEV.P(FILTER($G$2:G1776, $C$2:C1776 = C1776, $A$2:A1776 &gt;= A1776 - 30)))
"),"#DIV/0!")</f>
        <v>#DIV/0!</v>
      </c>
    </row>
    <row r="1777" spans="1:14" x14ac:dyDescent="0.2">
      <c r="A1777" s="41"/>
      <c r="B1777" s="40"/>
      <c r="C1777" s="40"/>
      <c r="D1777" s="31"/>
      <c r="E1777" s="31"/>
      <c r="F1777" s="31"/>
      <c r="G1777" s="19" t="e">
        <f t="shared" si="30"/>
        <v>#DIV/0!</v>
      </c>
      <c r="H1777" s="20" t="str">
        <f ca="1">IFERROR(__xludf.DUMMYFUNCTION("IF(COUNTIFS($C$2:C1777, C1777, $A$2:A1777, ""&lt;="" &amp; A1777) &lt; 30, AVERAGEIF($C$2:C1777, C1777, $G$2:G1777), AVERAGE(FILTER($G$2:G1777, $C$2:C1777 = C1777, $A$2:A1777 &gt;= A1777 - 30)))
"),"#DIV/0!")</f>
        <v>#DIV/0!</v>
      </c>
      <c r="I1777" s="20" t="e">
        <f t="shared" ca="1" si="31"/>
        <v>#DIV/0!</v>
      </c>
      <c r="J1777" s="20" t="str">
        <f ca="1">IFERROR(__xludf.DUMMYFUNCTION("IF(OR($I1777=2, $I1777=3), 0, IFERROR(COUNTIFS($C$2:C1777, $C1777, $A$2:A1777, ""&gt;""&amp;IFERROR(MAX(FILTER($A$2:A1777, $C$2:C1777=$C1777, $I$2:I1777&lt;&gt;1)), 0), $I$2:I1777, 1),1))
"),"#DIV/0!")</f>
        <v>#DIV/0!</v>
      </c>
      <c r="K1777" s="7" t="e">
        <f t="shared" ca="1" si="32"/>
        <v>#DIV/0!</v>
      </c>
      <c r="L1777" s="20" t="e">
        <f t="shared" ca="1" si="33"/>
        <v>#DIV/0!</v>
      </c>
      <c r="M1777" s="21" t="e">
        <f t="shared" ca="1" si="34"/>
        <v>#DIV/0!</v>
      </c>
      <c r="N1777" s="20" t="str">
        <f ca="1">IFERROR(__xludf.DUMMYFUNCTION("IF(COUNTIFS($C$2:C1777, C1777, $A$2:A1777, ""&lt;="" &amp; A1777) &lt; 30, STDEV.P(FILTER($G$2:G1777, $C$2:C1777 = C1777)), STDEV.P(FILTER($G$2:G1777, $C$2:C1777 = C1777, $A$2:A1777 &gt;= A1777 - 30)))
"),"#DIV/0!")</f>
        <v>#DIV/0!</v>
      </c>
    </row>
    <row r="1778" spans="1:14" x14ac:dyDescent="0.2">
      <c r="A1778" s="41"/>
      <c r="B1778" s="40"/>
      <c r="C1778" s="40"/>
      <c r="D1778" s="31"/>
      <c r="E1778" s="31"/>
      <c r="F1778" s="31"/>
      <c r="G1778" s="19" t="e">
        <f t="shared" si="30"/>
        <v>#DIV/0!</v>
      </c>
      <c r="H1778" s="20" t="str">
        <f ca="1">IFERROR(__xludf.DUMMYFUNCTION("IF(COUNTIFS($C$2:C1778, C1778, $A$2:A1778, ""&lt;="" &amp; A1778) &lt; 30, AVERAGEIF($C$2:C1778, C1778, $G$2:G1778), AVERAGE(FILTER($G$2:G1778, $C$2:C1778 = C1778, $A$2:A1778 &gt;= A1778 - 30)))
"),"#DIV/0!")</f>
        <v>#DIV/0!</v>
      </c>
      <c r="I1778" s="20" t="e">
        <f t="shared" ca="1" si="31"/>
        <v>#DIV/0!</v>
      </c>
      <c r="J1778" s="20" t="str">
        <f ca="1">IFERROR(__xludf.DUMMYFUNCTION("IF(OR($I1778=2, $I1778=3), 0, IFERROR(COUNTIFS($C$2:C1778, $C1778, $A$2:A1778, ""&gt;""&amp;IFERROR(MAX(FILTER($A$2:A1778, $C$2:C1778=$C1778, $I$2:I1778&lt;&gt;1)), 0), $I$2:I1778, 1),1))
"),"#DIV/0!")</f>
        <v>#DIV/0!</v>
      </c>
      <c r="K1778" s="7" t="e">
        <f t="shared" ca="1" si="32"/>
        <v>#DIV/0!</v>
      </c>
      <c r="L1778" s="20" t="e">
        <f t="shared" ca="1" si="33"/>
        <v>#DIV/0!</v>
      </c>
      <c r="M1778" s="21" t="e">
        <f t="shared" ca="1" si="34"/>
        <v>#DIV/0!</v>
      </c>
      <c r="N1778" s="20" t="str">
        <f ca="1">IFERROR(__xludf.DUMMYFUNCTION("IF(COUNTIFS($C$2:C1778, C1778, $A$2:A1778, ""&lt;="" &amp; A1778) &lt; 30, STDEV.P(FILTER($G$2:G1778, $C$2:C1778 = C1778)), STDEV.P(FILTER($G$2:G1778, $C$2:C1778 = C1778, $A$2:A1778 &gt;= A1778 - 30)))
"),"#DIV/0!")</f>
        <v>#DIV/0!</v>
      </c>
    </row>
    <row r="1779" spans="1:14" x14ac:dyDescent="0.2">
      <c r="A1779" s="41"/>
      <c r="B1779" s="40"/>
      <c r="C1779" s="40"/>
      <c r="D1779" s="31"/>
      <c r="E1779" s="31"/>
      <c r="F1779" s="31"/>
      <c r="G1779" s="19" t="e">
        <f t="shared" si="30"/>
        <v>#DIV/0!</v>
      </c>
      <c r="H1779" s="20" t="str">
        <f ca="1">IFERROR(__xludf.DUMMYFUNCTION("IF(COUNTIFS($C$2:C1779, C1779, $A$2:A1779, ""&lt;="" &amp; A1779) &lt; 30, AVERAGEIF($C$2:C1779, C1779, $G$2:G1779), AVERAGE(FILTER($G$2:G1779, $C$2:C1779 = C1779, $A$2:A1779 &gt;= A1779 - 30)))
"),"#DIV/0!")</f>
        <v>#DIV/0!</v>
      </c>
      <c r="I1779" s="20" t="e">
        <f t="shared" ca="1" si="31"/>
        <v>#DIV/0!</v>
      </c>
      <c r="J1779" s="20" t="str">
        <f ca="1">IFERROR(__xludf.DUMMYFUNCTION("IF(OR($I1779=2, $I1779=3), 0, IFERROR(COUNTIFS($C$2:C1779, $C1779, $A$2:A1779, ""&gt;""&amp;IFERROR(MAX(FILTER($A$2:A1779, $C$2:C1779=$C1779, $I$2:I1779&lt;&gt;1)), 0), $I$2:I1779, 1),1))
"),"#DIV/0!")</f>
        <v>#DIV/0!</v>
      </c>
      <c r="K1779" s="7" t="e">
        <f t="shared" ca="1" si="32"/>
        <v>#DIV/0!</v>
      </c>
      <c r="L1779" s="20" t="e">
        <f t="shared" ca="1" si="33"/>
        <v>#DIV/0!</v>
      </c>
      <c r="M1779" s="21" t="e">
        <f t="shared" ca="1" si="34"/>
        <v>#DIV/0!</v>
      </c>
      <c r="N1779" s="20" t="str">
        <f ca="1">IFERROR(__xludf.DUMMYFUNCTION("IF(COUNTIFS($C$2:C1779, C1779, $A$2:A1779, ""&lt;="" &amp; A1779) &lt; 30, STDEV.P(FILTER($G$2:G1779, $C$2:C1779 = C1779)), STDEV.P(FILTER($G$2:G1779, $C$2:C1779 = C1779, $A$2:A1779 &gt;= A1779 - 30)))
"),"#DIV/0!")</f>
        <v>#DIV/0!</v>
      </c>
    </row>
    <row r="1780" spans="1:14" x14ac:dyDescent="0.2">
      <c r="A1780" s="41"/>
      <c r="B1780" s="40"/>
      <c r="C1780" s="40"/>
      <c r="D1780" s="31"/>
      <c r="E1780" s="31"/>
      <c r="F1780" s="31"/>
      <c r="G1780" s="19" t="e">
        <f t="shared" si="30"/>
        <v>#DIV/0!</v>
      </c>
      <c r="H1780" s="20" t="str">
        <f ca="1">IFERROR(__xludf.DUMMYFUNCTION("IF(COUNTIFS($C$2:C1780, C1780, $A$2:A1780, ""&lt;="" &amp; A1780) &lt; 30, AVERAGEIF($C$2:C1780, C1780, $G$2:G1780), AVERAGE(FILTER($G$2:G1780, $C$2:C1780 = C1780, $A$2:A1780 &gt;= A1780 - 30)))
"),"#DIV/0!")</f>
        <v>#DIV/0!</v>
      </c>
      <c r="I1780" s="20" t="e">
        <f t="shared" ca="1" si="31"/>
        <v>#DIV/0!</v>
      </c>
      <c r="J1780" s="20" t="str">
        <f ca="1">IFERROR(__xludf.DUMMYFUNCTION("IF(OR($I1780=2, $I1780=3), 0, IFERROR(COUNTIFS($C$2:C1780, $C1780, $A$2:A1780, ""&gt;""&amp;IFERROR(MAX(FILTER($A$2:A1780, $C$2:C1780=$C1780, $I$2:I1780&lt;&gt;1)), 0), $I$2:I1780, 1),1))
"),"#DIV/0!")</f>
        <v>#DIV/0!</v>
      </c>
      <c r="K1780" s="7" t="e">
        <f t="shared" ca="1" si="32"/>
        <v>#DIV/0!</v>
      </c>
      <c r="L1780" s="20" t="e">
        <f t="shared" ca="1" si="33"/>
        <v>#DIV/0!</v>
      </c>
      <c r="M1780" s="21" t="e">
        <f t="shared" ca="1" si="34"/>
        <v>#DIV/0!</v>
      </c>
      <c r="N1780" s="20" t="str">
        <f ca="1">IFERROR(__xludf.DUMMYFUNCTION("IF(COUNTIFS($C$2:C1780, C1780, $A$2:A1780, ""&lt;="" &amp; A1780) &lt; 30, STDEV.P(FILTER($G$2:G1780, $C$2:C1780 = C1780)), STDEV.P(FILTER($G$2:G1780, $C$2:C1780 = C1780, $A$2:A1780 &gt;= A1780 - 30)))
"),"#DIV/0!")</f>
        <v>#DIV/0!</v>
      </c>
    </row>
    <row r="1781" spans="1:14" x14ac:dyDescent="0.2">
      <c r="A1781" s="41"/>
      <c r="B1781" s="40"/>
      <c r="C1781" s="40"/>
      <c r="D1781" s="31"/>
      <c r="E1781" s="31"/>
      <c r="F1781" s="31"/>
      <c r="G1781" s="19" t="e">
        <f t="shared" si="30"/>
        <v>#DIV/0!</v>
      </c>
      <c r="H1781" s="20" t="str">
        <f ca="1">IFERROR(__xludf.DUMMYFUNCTION("IF(COUNTIFS($C$2:C1781, C1781, $A$2:A1781, ""&lt;="" &amp; A1781) &lt; 30, AVERAGEIF($C$2:C1781, C1781, $G$2:G1781), AVERAGE(FILTER($G$2:G1781, $C$2:C1781 = C1781, $A$2:A1781 &gt;= A1781 - 30)))
"),"#DIV/0!")</f>
        <v>#DIV/0!</v>
      </c>
      <c r="I1781" s="20" t="e">
        <f t="shared" ca="1" si="31"/>
        <v>#DIV/0!</v>
      </c>
      <c r="J1781" s="20" t="str">
        <f ca="1">IFERROR(__xludf.DUMMYFUNCTION("IF(OR($I1781=2, $I1781=3), 0, IFERROR(COUNTIFS($C$2:C1781, $C1781, $A$2:A1781, ""&gt;""&amp;IFERROR(MAX(FILTER($A$2:A1781, $C$2:C1781=$C1781, $I$2:I1781&lt;&gt;1)), 0), $I$2:I1781, 1),1))
"),"#DIV/0!")</f>
        <v>#DIV/0!</v>
      </c>
      <c r="K1781" s="7" t="e">
        <f t="shared" ca="1" si="32"/>
        <v>#DIV/0!</v>
      </c>
      <c r="L1781" s="20" t="e">
        <f t="shared" ca="1" si="33"/>
        <v>#DIV/0!</v>
      </c>
      <c r="M1781" s="21" t="e">
        <f t="shared" ca="1" si="34"/>
        <v>#DIV/0!</v>
      </c>
      <c r="N1781" s="20" t="str">
        <f ca="1">IFERROR(__xludf.DUMMYFUNCTION("IF(COUNTIFS($C$2:C1781, C1781, $A$2:A1781, ""&lt;="" &amp; A1781) &lt; 30, STDEV.P(FILTER($G$2:G1781, $C$2:C1781 = C1781)), STDEV.P(FILTER($G$2:G1781, $C$2:C1781 = C1781, $A$2:A1781 &gt;= A1781 - 30)))
"),"#DIV/0!")</f>
        <v>#DIV/0!</v>
      </c>
    </row>
    <row r="1782" spans="1:14" x14ac:dyDescent="0.2">
      <c r="A1782" s="41"/>
      <c r="B1782" s="40"/>
      <c r="C1782" s="40"/>
      <c r="D1782" s="31"/>
      <c r="E1782" s="31"/>
      <c r="F1782" s="31"/>
      <c r="G1782" s="19" t="e">
        <f t="shared" si="30"/>
        <v>#DIV/0!</v>
      </c>
      <c r="H1782" s="20" t="str">
        <f ca="1">IFERROR(__xludf.DUMMYFUNCTION("IF(COUNTIFS($C$2:C1782, C1782, $A$2:A1782, ""&lt;="" &amp; A1782) &lt; 30, AVERAGEIF($C$2:C1782, C1782, $G$2:G1782), AVERAGE(FILTER($G$2:G1782, $C$2:C1782 = C1782, $A$2:A1782 &gt;= A1782 - 30)))
"),"#DIV/0!")</f>
        <v>#DIV/0!</v>
      </c>
      <c r="I1782" s="20" t="e">
        <f t="shared" ca="1" si="31"/>
        <v>#DIV/0!</v>
      </c>
      <c r="J1782" s="20" t="str">
        <f ca="1">IFERROR(__xludf.DUMMYFUNCTION("IF(OR($I1782=2, $I1782=3), 0, IFERROR(COUNTIFS($C$2:C1782, $C1782, $A$2:A1782, ""&gt;""&amp;IFERROR(MAX(FILTER($A$2:A1782, $C$2:C1782=$C1782, $I$2:I1782&lt;&gt;1)), 0), $I$2:I1782, 1),1))
"),"#DIV/0!")</f>
        <v>#DIV/0!</v>
      </c>
      <c r="K1782" s="7" t="e">
        <f t="shared" ca="1" si="32"/>
        <v>#DIV/0!</v>
      </c>
      <c r="L1782" s="20" t="e">
        <f t="shared" ca="1" si="33"/>
        <v>#DIV/0!</v>
      </c>
      <c r="M1782" s="21" t="e">
        <f t="shared" ca="1" si="34"/>
        <v>#DIV/0!</v>
      </c>
      <c r="N1782" s="20" t="str">
        <f ca="1">IFERROR(__xludf.DUMMYFUNCTION("IF(COUNTIFS($C$2:C1782, C1782, $A$2:A1782, ""&lt;="" &amp; A1782) &lt; 30, STDEV.P(FILTER($G$2:G1782, $C$2:C1782 = C1782)), STDEV.P(FILTER($G$2:G1782, $C$2:C1782 = C1782, $A$2:A1782 &gt;= A1782 - 30)))
"),"#DIV/0!")</f>
        <v>#DIV/0!</v>
      </c>
    </row>
    <row r="1783" spans="1:14" x14ac:dyDescent="0.2">
      <c r="A1783" s="41"/>
      <c r="B1783" s="40"/>
      <c r="C1783" s="40"/>
      <c r="D1783" s="31"/>
      <c r="E1783" s="31"/>
      <c r="F1783" s="31"/>
      <c r="G1783" s="19" t="e">
        <f t="shared" si="30"/>
        <v>#DIV/0!</v>
      </c>
      <c r="H1783" s="20" t="str">
        <f ca="1">IFERROR(__xludf.DUMMYFUNCTION("IF(COUNTIFS($C$2:C1783, C1783, $A$2:A1783, ""&lt;="" &amp; A1783) &lt; 30, AVERAGEIF($C$2:C1783, C1783, $G$2:G1783), AVERAGE(FILTER($G$2:G1783, $C$2:C1783 = C1783, $A$2:A1783 &gt;= A1783 - 30)))
"),"#DIV/0!")</f>
        <v>#DIV/0!</v>
      </c>
      <c r="I1783" s="20" t="e">
        <f t="shared" ca="1" si="31"/>
        <v>#DIV/0!</v>
      </c>
      <c r="J1783" s="20" t="str">
        <f ca="1">IFERROR(__xludf.DUMMYFUNCTION("IF(OR($I1783=2, $I1783=3), 0, IFERROR(COUNTIFS($C$2:C1783, $C1783, $A$2:A1783, ""&gt;""&amp;IFERROR(MAX(FILTER($A$2:A1783, $C$2:C1783=$C1783, $I$2:I1783&lt;&gt;1)), 0), $I$2:I1783, 1),1))
"),"#DIV/0!")</f>
        <v>#DIV/0!</v>
      </c>
      <c r="K1783" s="7" t="e">
        <f t="shared" ca="1" si="32"/>
        <v>#DIV/0!</v>
      </c>
      <c r="L1783" s="20" t="e">
        <f t="shared" ca="1" si="33"/>
        <v>#DIV/0!</v>
      </c>
      <c r="M1783" s="21" t="e">
        <f t="shared" ca="1" si="34"/>
        <v>#DIV/0!</v>
      </c>
      <c r="N1783" s="20" t="str">
        <f ca="1">IFERROR(__xludf.DUMMYFUNCTION("IF(COUNTIFS($C$2:C1783, C1783, $A$2:A1783, ""&lt;="" &amp; A1783) &lt; 30, STDEV.P(FILTER($G$2:G1783, $C$2:C1783 = C1783)), STDEV.P(FILTER($G$2:G1783, $C$2:C1783 = C1783, $A$2:A1783 &gt;= A1783 - 30)))
"),"#DIV/0!")</f>
        <v>#DIV/0!</v>
      </c>
    </row>
    <row r="1784" spans="1:14" x14ac:dyDescent="0.2">
      <c r="A1784" s="41"/>
      <c r="B1784" s="40"/>
      <c r="C1784" s="40"/>
      <c r="D1784" s="31"/>
      <c r="E1784" s="31"/>
      <c r="F1784" s="31"/>
      <c r="G1784" s="19" t="e">
        <f t="shared" si="30"/>
        <v>#DIV/0!</v>
      </c>
      <c r="H1784" s="20" t="str">
        <f ca="1">IFERROR(__xludf.DUMMYFUNCTION("IF(COUNTIFS($C$2:C1784, C1784, $A$2:A1784, ""&lt;="" &amp; A1784) &lt; 30, AVERAGEIF($C$2:C1784, C1784, $G$2:G1784), AVERAGE(FILTER($G$2:G1784, $C$2:C1784 = C1784, $A$2:A1784 &gt;= A1784 - 30)))
"),"#DIV/0!")</f>
        <v>#DIV/0!</v>
      </c>
      <c r="I1784" s="20" t="e">
        <f t="shared" ca="1" si="31"/>
        <v>#DIV/0!</v>
      </c>
      <c r="J1784" s="20" t="str">
        <f ca="1">IFERROR(__xludf.DUMMYFUNCTION("IF(OR($I1784=2, $I1784=3), 0, IFERROR(COUNTIFS($C$2:C1784, $C1784, $A$2:A1784, ""&gt;""&amp;IFERROR(MAX(FILTER($A$2:A1784, $C$2:C1784=$C1784, $I$2:I1784&lt;&gt;1)), 0), $I$2:I1784, 1),1))
"),"#DIV/0!")</f>
        <v>#DIV/0!</v>
      </c>
      <c r="K1784" s="7" t="e">
        <f t="shared" ca="1" si="32"/>
        <v>#DIV/0!</v>
      </c>
      <c r="L1784" s="20" t="e">
        <f t="shared" ca="1" si="33"/>
        <v>#DIV/0!</v>
      </c>
      <c r="M1784" s="21" t="e">
        <f t="shared" ca="1" si="34"/>
        <v>#DIV/0!</v>
      </c>
      <c r="N1784" s="20" t="str">
        <f ca="1">IFERROR(__xludf.DUMMYFUNCTION("IF(COUNTIFS($C$2:C1784, C1784, $A$2:A1784, ""&lt;="" &amp; A1784) &lt; 30, STDEV.P(FILTER($G$2:G1784, $C$2:C1784 = C1784)), STDEV.P(FILTER($G$2:G1784, $C$2:C1784 = C1784, $A$2:A1784 &gt;= A1784 - 30)))
"),"#DIV/0!")</f>
        <v>#DIV/0!</v>
      </c>
    </row>
    <row r="1785" spans="1:14" x14ac:dyDescent="0.2">
      <c r="A1785" s="41"/>
      <c r="B1785" s="40"/>
      <c r="C1785" s="40"/>
      <c r="D1785" s="31"/>
      <c r="E1785" s="31"/>
      <c r="F1785" s="31"/>
      <c r="G1785" s="19" t="e">
        <f t="shared" si="30"/>
        <v>#DIV/0!</v>
      </c>
      <c r="H1785" s="20" t="str">
        <f ca="1">IFERROR(__xludf.DUMMYFUNCTION("IF(COUNTIFS($C$2:C1785, C1785, $A$2:A1785, ""&lt;="" &amp; A1785) &lt; 30, AVERAGEIF($C$2:C1785, C1785, $G$2:G1785), AVERAGE(FILTER($G$2:G1785, $C$2:C1785 = C1785, $A$2:A1785 &gt;= A1785 - 30)))
"),"#DIV/0!")</f>
        <v>#DIV/0!</v>
      </c>
      <c r="I1785" s="20" t="e">
        <f t="shared" ca="1" si="31"/>
        <v>#DIV/0!</v>
      </c>
      <c r="J1785" s="20" t="str">
        <f ca="1">IFERROR(__xludf.DUMMYFUNCTION("IF(OR($I1785=2, $I1785=3), 0, IFERROR(COUNTIFS($C$2:C1785, $C1785, $A$2:A1785, ""&gt;""&amp;IFERROR(MAX(FILTER($A$2:A1785, $C$2:C1785=$C1785, $I$2:I1785&lt;&gt;1)), 0), $I$2:I1785, 1),1))
"),"#DIV/0!")</f>
        <v>#DIV/0!</v>
      </c>
      <c r="K1785" s="7" t="e">
        <f t="shared" ca="1" si="32"/>
        <v>#DIV/0!</v>
      </c>
      <c r="L1785" s="20" t="e">
        <f t="shared" ca="1" si="33"/>
        <v>#DIV/0!</v>
      </c>
      <c r="M1785" s="21" t="e">
        <f t="shared" ca="1" si="34"/>
        <v>#DIV/0!</v>
      </c>
      <c r="N1785" s="20" t="str">
        <f ca="1">IFERROR(__xludf.DUMMYFUNCTION("IF(COUNTIFS($C$2:C1785, C1785, $A$2:A1785, ""&lt;="" &amp; A1785) &lt; 30, STDEV.P(FILTER($G$2:G1785, $C$2:C1785 = C1785)), STDEV.P(FILTER($G$2:G1785, $C$2:C1785 = C1785, $A$2:A1785 &gt;= A1785 - 30)))
"),"#DIV/0!")</f>
        <v>#DIV/0!</v>
      </c>
    </row>
    <row r="1786" spans="1:14" x14ac:dyDescent="0.2">
      <c r="A1786" s="41"/>
      <c r="B1786" s="40"/>
      <c r="C1786" s="40"/>
      <c r="D1786" s="31"/>
      <c r="E1786" s="31"/>
      <c r="F1786" s="31"/>
      <c r="G1786" s="19" t="e">
        <f t="shared" si="30"/>
        <v>#DIV/0!</v>
      </c>
      <c r="H1786" s="20" t="str">
        <f ca="1">IFERROR(__xludf.DUMMYFUNCTION("IF(COUNTIFS($C$2:C1786, C1786, $A$2:A1786, ""&lt;="" &amp; A1786) &lt; 30, AVERAGEIF($C$2:C1786, C1786, $G$2:G1786), AVERAGE(FILTER($G$2:G1786, $C$2:C1786 = C1786, $A$2:A1786 &gt;= A1786 - 30)))
"),"#DIV/0!")</f>
        <v>#DIV/0!</v>
      </c>
      <c r="I1786" s="20" t="e">
        <f t="shared" ca="1" si="31"/>
        <v>#DIV/0!</v>
      </c>
      <c r="J1786" s="20" t="str">
        <f ca="1">IFERROR(__xludf.DUMMYFUNCTION("IF(OR($I1786=2, $I1786=3), 0, IFERROR(COUNTIFS($C$2:C1786, $C1786, $A$2:A1786, ""&gt;""&amp;IFERROR(MAX(FILTER($A$2:A1786, $C$2:C1786=$C1786, $I$2:I1786&lt;&gt;1)), 0), $I$2:I1786, 1),1))
"),"#DIV/0!")</f>
        <v>#DIV/0!</v>
      </c>
      <c r="K1786" s="7" t="e">
        <f t="shared" ca="1" si="32"/>
        <v>#DIV/0!</v>
      </c>
      <c r="L1786" s="20" t="e">
        <f t="shared" ca="1" si="33"/>
        <v>#DIV/0!</v>
      </c>
      <c r="M1786" s="21" t="e">
        <f t="shared" ca="1" si="34"/>
        <v>#DIV/0!</v>
      </c>
      <c r="N1786" s="20" t="str">
        <f ca="1">IFERROR(__xludf.DUMMYFUNCTION("IF(COUNTIFS($C$2:C1786, C1786, $A$2:A1786, ""&lt;="" &amp; A1786) &lt; 30, STDEV.P(FILTER($G$2:G1786, $C$2:C1786 = C1786)), STDEV.P(FILTER($G$2:G1786, $C$2:C1786 = C1786, $A$2:A1786 &gt;= A1786 - 30)))
"),"#DIV/0!")</f>
        <v>#DIV/0!</v>
      </c>
    </row>
    <row r="1787" spans="1:14" x14ac:dyDescent="0.2">
      <c r="A1787" s="41"/>
      <c r="B1787" s="40"/>
      <c r="C1787" s="40"/>
      <c r="D1787" s="31"/>
      <c r="E1787" s="31"/>
      <c r="F1787" s="31"/>
      <c r="G1787" s="19" t="e">
        <f t="shared" ref="G1787:G1988" si="35">AVERAGE(D1787:F1787)</f>
        <v>#DIV/0!</v>
      </c>
      <c r="H1787" s="20" t="str">
        <f ca="1">IFERROR(__xludf.DUMMYFUNCTION("IF(COUNTIFS($C$2:C1787, C1787, $A$2:A1787, ""&lt;="" &amp; A1787) &lt; 30, AVERAGEIF($C$2:C1787, C1787, $G$2:G1787), AVERAGE(FILTER($G$2:G1787, $C$2:C1787 = C1787, $A$2:A1787 &gt;= A1787 - 30)))
"),"#DIV/0!")</f>
        <v>#DIV/0!</v>
      </c>
      <c r="I1787" s="20" t="e">
        <f t="shared" ref="I1787:I1988" ca="1" si="36">IF(L1787 &gt;= 1, 3, IF(L1787 &lt;= -1, 1, 2))</f>
        <v>#DIV/0!</v>
      </c>
      <c r="J1787" s="20" t="str">
        <f ca="1">IFERROR(__xludf.DUMMYFUNCTION("IF(OR($I1787=2, $I1787=3), 0, IFERROR(COUNTIFS($C$2:C1787, $C1787, $A$2:A1787, ""&gt;""&amp;IFERROR(MAX(FILTER($A$2:A1787, $C$2:C1787=$C1787, $I$2:I1787&lt;&gt;1)), 0), $I$2:I1787, 1),1))
"),"#DIV/0!")</f>
        <v>#DIV/0!</v>
      </c>
      <c r="K1787" s="7" t="e">
        <f t="shared" ref="K1787:K1988" ca="1" si="37">G1787-H1787</f>
        <v>#DIV/0!</v>
      </c>
      <c r="L1787" s="20" t="e">
        <f t="shared" ref="L1787:L1988" ca="1" si="38">(G1787 - H1787) / N1787</f>
        <v>#DIV/0!</v>
      </c>
      <c r="M1787" s="21" t="e">
        <f t="shared" ref="M1787:M1988" ca="1" si="39">IF(H1787&lt;&gt;0, ((G1787-H1787)/H1787), 0)</f>
        <v>#DIV/0!</v>
      </c>
      <c r="N1787" s="20" t="str">
        <f ca="1">IFERROR(__xludf.DUMMYFUNCTION("IF(COUNTIFS($C$2:C1787, C1787, $A$2:A1787, ""&lt;="" &amp; A1787) &lt; 30, STDEV.P(FILTER($G$2:G1787, $C$2:C1787 = C1787)), STDEV.P(FILTER($G$2:G1787, $C$2:C1787 = C1787, $A$2:A1787 &gt;= A1787 - 30)))
"),"#DIV/0!")</f>
        <v>#DIV/0!</v>
      </c>
    </row>
    <row r="1788" spans="1:14" x14ac:dyDescent="0.2">
      <c r="A1788" s="41"/>
      <c r="B1788" s="40"/>
      <c r="C1788" s="40"/>
      <c r="D1788" s="31"/>
      <c r="E1788" s="31"/>
      <c r="F1788" s="31"/>
      <c r="G1788" s="19" t="e">
        <f t="shared" si="35"/>
        <v>#DIV/0!</v>
      </c>
      <c r="H1788" s="20" t="str">
        <f ca="1">IFERROR(__xludf.DUMMYFUNCTION("IF(COUNTIFS($C$2:C1788, C1788, $A$2:A1788, ""&lt;="" &amp; A1788) &lt; 30, AVERAGEIF($C$2:C1788, C1788, $G$2:G1788), AVERAGE(FILTER($G$2:G1788, $C$2:C1788 = C1788, $A$2:A1788 &gt;= A1788 - 30)))
"),"#DIV/0!")</f>
        <v>#DIV/0!</v>
      </c>
      <c r="I1788" s="20" t="e">
        <f t="shared" ca="1" si="36"/>
        <v>#DIV/0!</v>
      </c>
      <c r="J1788" s="20" t="str">
        <f ca="1">IFERROR(__xludf.DUMMYFUNCTION("IF(OR($I1788=2, $I1788=3), 0, IFERROR(COUNTIFS($C$2:C1788, $C1788, $A$2:A1788, ""&gt;""&amp;IFERROR(MAX(FILTER($A$2:A1788, $C$2:C1788=$C1788, $I$2:I1788&lt;&gt;1)), 0), $I$2:I1788, 1),1))
"),"#DIV/0!")</f>
        <v>#DIV/0!</v>
      </c>
      <c r="K1788" s="7" t="e">
        <f t="shared" ca="1" si="37"/>
        <v>#DIV/0!</v>
      </c>
      <c r="L1788" s="20" t="e">
        <f t="shared" ca="1" si="38"/>
        <v>#DIV/0!</v>
      </c>
      <c r="M1788" s="21" t="e">
        <f t="shared" ca="1" si="39"/>
        <v>#DIV/0!</v>
      </c>
      <c r="N1788" s="20" t="str">
        <f ca="1">IFERROR(__xludf.DUMMYFUNCTION("IF(COUNTIFS($C$2:C1788, C1788, $A$2:A1788, ""&lt;="" &amp; A1788) &lt; 30, STDEV.P(FILTER($G$2:G1788, $C$2:C1788 = C1788)), STDEV.P(FILTER($G$2:G1788, $C$2:C1788 = C1788, $A$2:A1788 &gt;= A1788 - 30)))
"),"#DIV/0!")</f>
        <v>#DIV/0!</v>
      </c>
    </row>
    <row r="1789" spans="1:14" x14ac:dyDescent="0.2">
      <c r="A1789" s="41"/>
      <c r="B1789" s="40"/>
      <c r="C1789" s="40"/>
      <c r="D1789" s="31"/>
      <c r="E1789" s="31"/>
      <c r="F1789" s="31"/>
      <c r="G1789" s="19" t="e">
        <f t="shared" si="35"/>
        <v>#DIV/0!</v>
      </c>
      <c r="H1789" s="20" t="str">
        <f ca="1">IFERROR(__xludf.DUMMYFUNCTION("IF(COUNTIFS($C$2:C1789, C1789, $A$2:A1789, ""&lt;="" &amp; A1789) &lt; 30, AVERAGEIF($C$2:C1789, C1789, $G$2:G1789), AVERAGE(FILTER($G$2:G1789, $C$2:C1789 = C1789, $A$2:A1789 &gt;= A1789 - 30)))
"),"#DIV/0!")</f>
        <v>#DIV/0!</v>
      </c>
      <c r="I1789" s="20" t="e">
        <f t="shared" ca="1" si="36"/>
        <v>#DIV/0!</v>
      </c>
      <c r="J1789" s="20" t="str">
        <f ca="1">IFERROR(__xludf.DUMMYFUNCTION("IF(OR($I1789=2, $I1789=3), 0, IFERROR(COUNTIFS($C$2:C1789, $C1789, $A$2:A1789, ""&gt;""&amp;IFERROR(MAX(FILTER($A$2:A1789, $C$2:C1789=$C1789, $I$2:I1789&lt;&gt;1)), 0), $I$2:I1789, 1),1))
"),"#DIV/0!")</f>
        <v>#DIV/0!</v>
      </c>
      <c r="K1789" s="7" t="e">
        <f t="shared" ca="1" si="37"/>
        <v>#DIV/0!</v>
      </c>
      <c r="L1789" s="20" t="e">
        <f t="shared" ca="1" si="38"/>
        <v>#DIV/0!</v>
      </c>
      <c r="M1789" s="21" t="e">
        <f t="shared" ca="1" si="39"/>
        <v>#DIV/0!</v>
      </c>
      <c r="N1789" s="20" t="str">
        <f ca="1">IFERROR(__xludf.DUMMYFUNCTION("IF(COUNTIFS($C$2:C1789, C1789, $A$2:A1789, ""&lt;="" &amp; A1789) &lt; 30, STDEV.P(FILTER($G$2:G1789, $C$2:C1789 = C1789)), STDEV.P(FILTER($G$2:G1789, $C$2:C1789 = C1789, $A$2:A1789 &gt;= A1789 - 30)))
"),"#DIV/0!")</f>
        <v>#DIV/0!</v>
      </c>
    </row>
    <row r="1790" spans="1:14" x14ac:dyDescent="0.2">
      <c r="A1790" s="41"/>
      <c r="B1790" s="40"/>
      <c r="C1790" s="40"/>
      <c r="D1790" s="31"/>
      <c r="E1790" s="31"/>
      <c r="F1790" s="31"/>
      <c r="G1790" s="19" t="e">
        <f t="shared" si="35"/>
        <v>#DIV/0!</v>
      </c>
      <c r="H1790" s="20" t="str">
        <f ca="1">IFERROR(__xludf.DUMMYFUNCTION("IF(COUNTIFS($C$2:C1790, C1790, $A$2:A1790, ""&lt;="" &amp; A1790) &lt; 30, AVERAGEIF($C$2:C1790, C1790, $G$2:G1790), AVERAGE(FILTER($G$2:G1790, $C$2:C1790 = C1790, $A$2:A1790 &gt;= A1790 - 30)))
"),"#DIV/0!")</f>
        <v>#DIV/0!</v>
      </c>
      <c r="I1790" s="20" t="e">
        <f t="shared" ca="1" si="36"/>
        <v>#DIV/0!</v>
      </c>
      <c r="J1790" s="20" t="str">
        <f ca="1">IFERROR(__xludf.DUMMYFUNCTION("IF(OR($I1790=2, $I1790=3), 0, IFERROR(COUNTIFS($C$2:C1790, $C1790, $A$2:A1790, ""&gt;""&amp;IFERROR(MAX(FILTER($A$2:A1790, $C$2:C1790=$C1790, $I$2:I1790&lt;&gt;1)), 0), $I$2:I1790, 1),1))
"),"#DIV/0!")</f>
        <v>#DIV/0!</v>
      </c>
      <c r="K1790" s="7" t="e">
        <f t="shared" ca="1" si="37"/>
        <v>#DIV/0!</v>
      </c>
      <c r="L1790" s="20" t="e">
        <f t="shared" ca="1" si="38"/>
        <v>#DIV/0!</v>
      </c>
      <c r="M1790" s="21" t="e">
        <f t="shared" ca="1" si="39"/>
        <v>#DIV/0!</v>
      </c>
      <c r="N1790" s="20" t="str">
        <f ca="1">IFERROR(__xludf.DUMMYFUNCTION("IF(COUNTIFS($C$2:C1790, C1790, $A$2:A1790, ""&lt;="" &amp; A1790) &lt; 30, STDEV.P(FILTER($G$2:G1790, $C$2:C1790 = C1790)), STDEV.P(FILTER($G$2:G1790, $C$2:C1790 = C1790, $A$2:A1790 &gt;= A1790 - 30)))
"),"#DIV/0!")</f>
        <v>#DIV/0!</v>
      </c>
    </row>
    <row r="1791" spans="1:14" x14ac:dyDescent="0.2">
      <c r="A1791" s="41"/>
      <c r="B1791" s="40"/>
      <c r="C1791" s="40"/>
      <c r="D1791" s="31"/>
      <c r="E1791" s="31"/>
      <c r="F1791" s="31"/>
      <c r="G1791" s="19" t="e">
        <f t="shared" si="35"/>
        <v>#DIV/0!</v>
      </c>
      <c r="H1791" s="20" t="str">
        <f ca="1">IFERROR(__xludf.DUMMYFUNCTION("IF(COUNTIFS($C$2:C1791, C1791, $A$2:A1791, ""&lt;="" &amp; A1791) &lt; 30, AVERAGEIF($C$2:C1791, C1791, $G$2:G1791), AVERAGE(FILTER($G$2:G1791, $C$2:C1791 = C1791, $A$2:A1791 &gt;= A1791 - 30)))
"),"#DIV/0!")</f>
        <v>#DIV/0!</v>
      </c>
      <c r="I1791" s="20" t="e">
        <f t="shared" ca="1" si="36"/>
        <v>#DIV/0!</v>
      </c>
      <c r="J1791" s="20" t="str">
        <f ca="1">IFERROR(__xludf.DUMMYFUNCTION("IF(OR($I1791=2, $I1791=3), 0, IFERROR(COUNTIFS($C$2:C1791, $C1791, $A$2:A1791, ""&gt;""&amp;IFERROR(MAX(FILTER($A$2:A1791, $C$2:C1791=$C1791, $I$2:I1791&lt;&gt;1)), 0), $I$2:I1791, 1),1))
"),"#DIV/0!")</f>
        <v>#DIV/0!</v>
      </c>
      <c r="K1791" s="7" t="e">
        <f t="shared" ca="1" si="37"/>
        <v>#DIV/0!</v>
      </c>
      <c r="L1791" s="20" t="e">
        <f t="shared" ca="1" si="38"/>
        <v>#DIV/0!</v>
      </c>
      <c r="M1791" s="21" t="e">
        <f t="shared" ca="1" si="39"/>
        <v>#DIV/0!</v>
      </c>
      <c r="N1791" s="20" t="str">
        <f ca="1">IFERROR(__xludf.DUMMYFUNCTION("IF(COUNTIFS($C$2:C1791, C1791, $A$2:A1791, ""&lt;="" &amp; A1791) &lt; 30, STDEV.P(FILTER($G$2:G1791, $C$2:C1791 = C1791)), STDEV.P(FILTER($G$2:G1791, $C$2:C1791 = C1791, $A$2:A1791 &gt;= A1791 - 30)))
"),"#DIV/0!")</f>
        <v>#DIV/0!</v>
      </c>
    </row>
    <row r="1792" spans="1:14" x14ac:dyDescent="0.2">
      <c r="A1792" s="41"/>
      <c r="B1792" s="40"/>
      <c r="C1792" s="40"/>
      <c r="D1792" s="31"/>
      <c r="E1792" s="31"/>
      <c r="F1792" s="31"/>
      <c r="G1792" s="19" t="e">
        <f t="shared" si="35"/>
        <v>#DIV/0!</v>
      </c>
      <c r="H1792" s="20" t="str">
        <f ca="1">IFERROR(__xludf.DUMMYFUNCTION("IF(COUNTIFS($C$2:C1792, C1792, $A$2:A1792, ""&lt;="" &amp; A1792) &lt; 30, AVERAGEIF($C$2:C1792, C1792, $G$2:G1792), AVERAGE(FILTER($G$2:G1792, $C$2:C1792 = C1792, $A$2:A1792 &gt;= A1792 - 30)))
"),"#DIV/0!")</f>
        <v>#DIV/0!</v>
      </c>
      <c r="I1792" s="20" t="e">
        <f t="shared" ca="1" si="36"/>
        <v>#DIV/0!</v>
      </c>
      <c r="J1792" s="20" t="str">
        <f ca="1">IFERROR(__xludf.DUMMYFUNCTION("IF(OR($I1792=2, $I1792=3), 0, IFERROR(COUNTIFS($C$2:C1792, $C1792, $A$2:A1792, ""&gt;""&amp;IFERROR(MAX(FILTER($A$2:A1792, $C$2:C1792=$C1792, $I$2:I1792&lt;&gt;1)), 0), $I$2:I1792, 1),1))
"),"#DIV/0!")</f>
        <v>#DIV/0!</v>
      </c>
      <c r="K1792" s="7" t="e">
        <f t="shared" ca="1" si="37"/>
        <v>#DIV/0!</v>
      </c>
      <c r="L1792" s="20" t="e">
        <f t="shared" ca="1" si="38"/>
        <v>#DIV/0!</v>
      </c>
      <c r="M1792" s="21" t="e">
        <f t="shared" ca="1" si="39"/>
        <v>#DIV/0!</v>
      </c>
      <c r="N1792" s="20" t="str">
        <f ca="1">IFERROR(__xludf.DUMMYFUNCTION("IF(COUNTIFS($C$2:C1792, C1792, $A$2:A1792, ""&lt;="" &amp; A1792) &lt; 30, STDEV.P(FILTER($G$2:G1792, $C$2:C1792 = C1792)), STDEV.P(FILTER($G$2:G1792, $C$2:C1792 = C1792, $A$2:A1792 &gt;= A1792 - 30)))
"),"#DIV/0!")</f>
        <v>#DIV/0!</v>
      </c>
    </row>
    <row r="1793" spans="1:14" x14ac:dyDescent="0.2">
      <c r="A1793" s="41"/>
      <c r="B1793" s="40"/>
      <c r="C1793" s="40"/>
      <c r="D1793" s="31"/>
      <c r="E1793" s="31"/>
      <c r="F1793" s="31"/>
      <c r="G1793" s="19" t="e">
        <f t="shared" si="35"/>
        <v>#DIV/0!</v>
      </c>
      <c r="H1793" s="20" t="str">
        <f ca="1">IFERROR(__xludf.DUMMYFUNCTION("IF(COUNTIFS($C$2:C1793, C1793, $A$2:A1793, ""&lt;="" &amp; A1793) &lt; 30, AVERAGEIF($C$2:C1793, C1793, $G$2:G1793), AVERAGE(FILTER($G$2:G1793, $C$2:C1793 = C1793, $A$2:A1793 &gt;= A1793 - 30)))
"),"#DIV/0!")</f>
        <v>#DIV/0!</v>
      </c>
      <c r="I1793" s="20" t="e">
        <f t="shared" ca="1" si="36"/>
        <v>#DIV/0!</v>
      </c>
      <c r="J1793" s="20" t="str">
        <f ca="1">IFERROR(__xludf.DUMMYFUNCTION("IF(OR($I1793=2, $I1793=3), 0, IFERROR(COUNTIFS($C$2:C1793, $C1793, $A$2:A1793, ""&gt;""&amp;IFERROR(MAX(FILTER($A$2:A1793, $C$2:C1793=$C1793, $I$2:I1793&lt;&gt;1)), 0), $I$2:I1793, 1),1))
"),"#DIV/0!")</f>
        <v>#DIV/0!</v>
      </c>
      <c r="K1793" s="7" t="e">
        <f t="shared" ca="1" si="37"/>
        <v>#DIV/0!</v>
      </c>
      <c r="L1793" s="20" t="e">
        <f t="shared" ca="1" si="38"/>
        <v>#DIV/0!</v>
      </c>
      <c r="M1793" s="21" t="e">
        <f t="shared" ca="1" si="39"/>
        <v>#DIV/0!</v>
      </c>
      <c r="N1793" s="20" t="str">
        <f ca="1">IFERROR(__xludf.DUMMYFUNCTION("IF(COUNTIFS($C$2:C1793, C1793, $A$2:A1793, ""&lt;="" &amp; A1793) &lt; 30, STDEV.P(FILTER($G$2:G1793, $C$2:C1793 = C1793)), STDEV.P(FILTER($G$2:G1793, $C$2:C1793 = C1793, $A$2:A1793 &gt;= A1793 - 30)))
"),"#DIV/0!")</f>
        <v>#DIV/0!</v>
      </c>
    </row>
    <row r="1794" spans="1:14" x14ac:dyDescent="0.2">
      <c r="A1794" s="41"/>
      <c r="B1794" s="40"/>
      <c r="C1794" s="40"/>
      <c r="D1794" s="31"/>
      <c r="E1794" s="31"/>
      <c r="F1794" s="31"/>
      <c r="G1794" s="19" t="e">
        <f t="shared" si="35"/>
        <v>#DIV/0!</v>
      </c>
      <c r="H1794" s="20" t="str">
        <f ca="1">IFERROR(__xludf.DUMMYFUNCTION("IF(COUNTIFS($C$2:C1794, C1794, $A$2:A1794, ""&lt;="" &amp; A1794) &lt; 30, AVERAGEIF($C$2:C1794, C1794, $G$2:G1794), AVERAGE(FILTER($G$2:G1794, $C$2:C1794 = C1794, $A$2:A1794 &gt;= A1794 - 30)))
"),"#DIV/0!")</f>
        <v>#DIV/0!</v>
      </c>
      <c r="I1794" s="20" t="e">
        <f t="shared" ca="1" si="36"/>
        <v>#DIV/0!</v>
      </c>
      <c r="J1794" s="20" t="str">
        <f ca="1">IFERROR(__xludf.DUMMYFUNCTION("IF(OR($I1794=2, $I1794=3), 0, IFERROR(COUNTIFS($C$2:C1794, $C1794, $A$2:A1794, ""&gt;""&amp;IFERROR(MAX(FILTER($A$2:A1794, $C$2:C1794=$C1794, $I$2:I1794&lt;&gt;1)), 0), $I$2:I1794, 1),1))
"),"#DIV/0!")</f>
        <v>#DIV/0!</v>
      </c>
      <c r="K1794" s="7" t="e">
        <f t="shared" ca="1" si="37"/>
        <v>#DIV/0!</v>
      </c>
      <c r="L1794" s="20" t="e">
        <f t="shared" ca="1" si="38"/>
        <v>#DIV/0!</v>
      </c>
      <c r="M1794" s="21" t="e">
        <f t="shared" ca="1" si="39"/>
        <v>#DIV/0!</v>
      </c>
      <c r="N1794" s="20" t="str">
        <f ca="1">IFERROR(__xludf.DUMMYFUNCTION("IF(COUNTIFS($C$2:C1794, C1794, $A$2:A1794, ""&lt;="" &amp; A1794) &lt; 30, STDEV.P(FILTER($G$2:G1794, $C$2:C1794 = C1794)), STDEV.P(FILTER($G$2:G1794, $C$2:C1794 = C1794, $A$2:A1794 &gt;= A1794 - 30)))
"),"#DIV/0!")</f>
        <v>#DIV/0!</v>
      </c>
    </row>
    <row r="1795" spans="1:14" x14ac:dyDescent="0.2">
      <c r="A1795" s="41"/>
      <c r="B1795" s="40"/>
      <c r="C1795" s="40"/>
      <c r="D1795" s="31"/>
      <c r="E1795" s="31"/>
      <c r="F1795" s="31"/>
      <c r="G1795" s="19" t="e">
        <f t="shared" si="35"/>
        <v>#DIV/0!</v>
      </c>
      <c r="H1795" s="20" t="str">
        <f ca="1">IFERROR(__xludf.DUMMYFUNCTION("IF(COUNTIFS($C$2:C1795, C1795, $A$2:A1795, ""&lt;="" &amp; A1795) &lt; 30, AVERAGEIF($C$2:C1795, C1795, $G$2:G1795), AVERAGE(FILTER($G$2:G1795, $C$2:C1795 = C1795, $A$2:A1795 &gt;= A1795 - 30)))
"),"#DIV/0!")</f>
        <v>#DIV/0!</v>
      </c>
      <c r="I1795" s="20" t="e">
        <f t="shared" ca="1" si="36"/>
        <v>#DIV/0!</v>
      </c>
      <c r="J1795" s="20" t="str">
        <f ca="1">IFERROR(__xludf.DUMMYFUNCTION("IF(OR($I1795=2, $I1795=3), 0, IFERROR(COUNTIFS($C$2:C1795, $C1795, $A$2:A1795, ""&gt;""&amp;IFERROR(MAX(FILTER($A$2:A1795, $C$2:C1795=$C1795, $I$2:I1795&lt;&gt;1)), 0), $I$2:I1795, 1),1))
"),"#DIV/0!")</f>
        <v>#DIV/0!</v>
      </c>
      <c r="K1795" s="7" t="e">
        <f t="shared" ca="1" si="37"/>
        <v>#DIV/0!</v>
      </c>
      <c r="L1795" s="20" t="e">
        <f t="shared" ca="1" si="38"/>
        <v>#DIV/0!</v>
      </c>
      <c r="M1795" s="21" t="e">
        <f t="shared" ca="1" si="39"/>
        <v>#DIV/0!</v>
      </c>
      <c r="N1795" s="20" t="str">
        <f ca="1">IFERROR(__xludf.DUMMYFUNCTION("IF(COUNTIFS($C$2:C1795, C1795, $A$2:A1795, ""&lt;="" &amp; A1795) &lt; 30, STDEV.P(FILTER($G$2:G1795, $C$2:C1795 = C1795)), STDEV.P(FILTER($G$2:G1795, $C$2:C1795 = C1795, $A$2:A1795 &gt;= A1795 - 30)))
"),"#DIV/0!")</f>
        <v>#DIV/0!</v>
      </c>
    </row>
    <row r="1796" spans="1:14" x14ac:dyDescent="0.2">
      <c r="A1796" s="41"/>
      <c r="B1796" s="40"/>
      <c r="C1796" s="40"/>
      <c r="D1796" s="31"/>
      <c r="E1796" s="31"/>
      <c r="F1796" s="31"/>
      <c r="G1796" s="19" t="e">
        <f t="shared" si="35"/>
        <v>#DIV/0!</v>
      </c>
      <c r="H1796" s="20" t="str">
        <f ca="1">IFERROR(__xludf.DUMMYFUNCTION("IF(COUNTIFS($C$2:C1796, C1796, $A$2:A1796, ""&lt;="" &amp; A1796) &lt; 30, AVERAGEIF($C$2:C1796, C1796, $G$2:G1796), AVERAGE(FILTER($G$2:G1796, $C$2:C1796 = C1796, $A$2:A1796 &gt;= A1796 - 30)))
"),"#DIV/0!")</f>
        <v>#DIV/0!</v>
      </c>
      <c r="I1796" s="20" t="e">
        <f t="shared" ca="1" si="36"/>
        <v>#DIV/0!</v>
      </c>
      <c r="J1796" s="20" t="str">
        <f ca="1">IFERROR(__xludf.DUMMYFUNCTION("IF(OR($I1796=2, $I1796=3), 0, IFERROR(COUNTIFS($C$2:C1796, $C1796, $A$2:A1796, ""&gt;""&amp;IFERROR(MAX(FILTER($A$2:A1796, $C$2:C1796=$C1796, $I$2:I1796&lt;&gt;1)), 0), $I$2:I1796, 1),1))
"),"#DIV/0!")</f>
        <v>#DIV/0!</v>
      </c>
      <c r="K1796" s="7" t="e">
        <f t="shared" ca="1" si="37"/>
        <v>#DIV/0!</v>
      </c>
      <c r="L1796" s="20" t="e">
        <f t="shared" ca="1" si="38"/>
        <v>#DIV/0!</v>
      </c>
      <c r="M1796" s="21" t="e">
        <f t="shared" ca="1" si="39"/>
        <v>#DIV/0!</v>
      </c>
      <c r="N1796" s="20" t="str">
        <f ca="1">IFERROR(__xludf.DUMMYFUNCTION("IF(COUNTIFS($C$2:C1796, C1796, $A$2:A1796, ""&lt;="" &amp; A1796) &lt; 30, STDEV.P(FILTER($G$2:G1796, $C$2:C1796 = C1796)), STDEV.P(FILTER($G$2:G1796, $C$2:C1796 = C1796, $A$2:A1796 &gt;= A1796 - 30)))
"),"#DIV/0!")</f>
        <v>#DIV/0!</v>
      </c>
    </row>
    <row r="1797" spans="1:14" x14ac:dyDescent="0.2">
      <c r="A1797" s="41"/>
      <c r="B1797" s="40"/>
      <c r="C1797" s="40"/>
      <c r="D1797" s="31"/>
      <c r="E1797" s="31"/>
      <c r="F1797" s="31"/>
      <c r="G1797" s="19" t="e">
        <f t="shared" si="35"/>
        <v>#DIV/0!</v>
      </c>
      <c r="H1797" s="20" t="str">
        <f ca="1">IFERROR(__xludf.DUMMYFUNCTION("IF(COUNTIFS($C$2:C1797, C1797, $A$2:A1797, ""&lt;="" &amp; A1797) &lt; 30, AVERAGEIF($C$2:C1797, C1797, $G$2:G1797), AVERAGE(FILTER($G$2:G1797, $C$2:C1797 = C1797, $A$2:A1797 &gt;= A1797 - 30)))
"),"#DIV/0!")</f>
        <v>#DIV/0!</v>
      </c>
      <c r="I1797" s="20" t="e">
        <f t="shared" ca="1" si="36"/>
        <v>#DIV/0!</v>
      </c>
      <c r="J1797" s="20" t="str">
        <f ca="1">IFERROR(__xludf.DUMMYFUNCTION("IF(OR($I1797=2, $I1797=3), 0, IFERROR(COUNTIFS($C$2:C1797, $C1797, $A$2:A1797, ""&gt;""&amp;IFERROR(MAX(FILTER($A$2:A1797, $C$2:C1797=$C1797, $I$2:I1797&lt;&gt;1)), 0), $I$2:I1797, 1),1))
"),"#DIV/0!")</f>
        <v>#DIV/0!</v>
      </c>
      <c r="K1797" s="7" t="e">
        <f t="shared" ca="1" si="37"/>
        <v>#DIV/0!</v>
      </c>
      <c r="L1797" s="20" t="e">
        <f t="shared" ca="1" si="38"/>
        <v>#DIV/0!</v>
      </c>
      <c r="M1797" s="21" t="e">
        <f t="shared" ca="1" si="39"/>
        <v>#DIV/0!</v>
      </c>
      <c r="N1797" s="20" t="str">
        <f ca="1">IFERROR(__xludf.DUMMYFUNCTION("IF(COUNTIFS($C$2:C1797, C1797, $A$2:A1797, ""&lt;="" &amp; A1797) &lt; 30, STDEV.P(FILTER($G$2:G1797, $C$2:C1797 = C1797)), STDEV.P(FILTER($G$2:G1797, $C$2:C1797 = C1797, $A$2:A1797 &gt;= A1797 - 30)))
"),"#DIV/0!")</f>
        <v>#DIV/0!</v>
      </c>
    </row>
    <row r="1798" spans="1:14" x14ac:dyDescent="0.2">
      <c r="A1798" s="41"/>
      <c r="B1798" s="40"/>
      <c r="C1798" s="40"/>
      <c r="D1798" s="31"/>
      <c r="E1798" s="31"/>
      <c r="F1798" s="31"/>
      <c r="G1798" s="19" t="e">
        <f t="shared" si="35"/>
        <v>#DIV/0!</v>
      </c>
      <c r="H1798" s="20" t="str">
        <f ca="1">IFERROR(__xludf.DUMMYFUNCTION("IF(COUNTIFS($C$2:C1798, C1798, $A$2:A1798, ""&lt;="" &amp; A1798) &lt; 30, AVERAGEIF($C$2:C1798, C1798, $G$2:G1798), AVERAGE(FILTER($G$2:G1798, $C$2:C1798 = C1798, $A$2:A1798 &gt;= A1798 - 30)))
"),"#DIV/0!")</f>
        <v>#DIV/0!</v>
      </c>
      <c r="I1798" s="20" t="e">
        <f t="shared" ca="1" si="36"/>
        <v>#DIV/0!</v>
      </c>
      <c r="J1798" s="20" t="str">
        <f ca="1">IFERROR(__xludf.DUMMYFUNCTION("IF(OR($I1798=2, $I1798=3), 0, IFERROR(COUNTIFS($C$2:C1798, $C1798, $A$2:A1798, ""&gt;""&amp;IFERROR(MAX(FILTER($A$2:A1798, $C$2:C1798=$C1798, $I$2:I1798&lt;&gt;1)), 0), $I$2:I1798, 1),1))
"),"#DIV/0!")</f>
        <v>#DIV/0!</v>
      </c>
      <c r="K1798" s="7" t="e">
        <f t="shared" ca="1" si="37"/>
        <v>#DIV/0!</v>
      </c>
      <c r="L1798" s="20" t="e">
        <f t="shared" ca="1" si="38"/>
        <v>#DIV/0!</v>
      </c>
      <c r="M1798" s="21" t="e">
        <f t="shared" ca="1" si="39"/>
        <v>#DIV/0!</v>
      </c>
      <c r="N1798" s="20" t="str">
        <f ca="1">IFERROR(__xludf.DUMMYFUNCTION("IF(COUNTIFS($C$2:C1798, C1798, $A$2:A1798, ""&lt;="" &amp; A1798) &lt; 30, STDEV.P(FILTER($G$2:G1798, $C$2:C1798 = C1798)), STDEV.P(FILTER($G$2:G1798, $C$2:C1798 = C1798, $A$2:A1798 &gt;= A1798 - 30)))
"),"#DIV/0!")</f>
        <v>#DIV/0!</v>
      </c>
    </row>
    <row r="1799" spans="1:14" x14ac:dyDescent="0.2">
      <c r="A1799" s="41"/>
      <c r="B1799" s="40"/>
      <c r="C1799" s="40"/>
      <c r="D1799" s="31"/>
      <c r="E1799" s="31"/>
      <c r="F1799" s="31"/>
      <c r="G1799" s="19" t="e">
        <f t="shared" si="35"/>
        <v>#DIV/0!</v>
      </c>
      <c r="H1799" s="20" t="str">
        <f ca="1">IFERROR(__xludf.DUMMYFUNCTION("IF(COUNTIFS($C$2:C1799, C1799, $A$2:A1799, ""&lt;="" &amp; A1799) &lt; 30, AVERAGEIF($C$2:C1799, C1799, $G$2:G1799), AVERAGE(FILTER($G$2:G1799, $C$2:C1799 = C1799, $A$2:A1799 &gt;= A1799 - 30)))
"),"#DIV/0!")</f>
        <v>#DIV/0!</v>
      </c>
      <c r="I1799" s="20" t="e">
        <f t="shared" ca="1" si="36"/>
        <v>#DIV/0!</v>
      </c>
      <c r="J1799" s="20" t="str">
        <f ca="1">IFERROR(__xludf.DUMMYFUNCTION("IF(OR($I1799=2, $I1799=3), 0, IFERROR(COUNTIFS($C$2:C1799, $C1799, $A$2:A1799, ""&gt;""&amp;IFERROR(MAX(FILTER($A$2:A1799, $C$2:C1799=$C1799, $I$2:I1799&lt;&gt;1)), 0), $I$2:I1799, 1),1))
"),"#DIV/0!")</f>
        <v>#DIV/0!</v>
      </c>
      <c r="K1799" s="7" t="e">
        <f t="shared" ca="1" si="37"/>
        <v>#DIV/0!</v>
      </c>
      <c r="L1799" s="20" t="e">
        <f t="shared" ca="1" si="38"/>
        <v>#DIV/0!</v>
      </c>
      <c r="M1799" s="21" t="e">
        <f t="shared" ca="1" si="39"/>
        <v>#DIV/0!</v>
      </c>
      <c r="N1799" s="20" t="str">
        <f ca="1">IFERROR(__xludf.DUMMYFUNCTION("IF(COUNTIFS($C$2:C1799, C1799, $A$2:A1799, ""&lt;="" &amp; A1799) &lt; 30, STDEV.P(FILTER($G$2:G1799, $C$2:C1799 = C1799)), STDEV.P(FILTER($G$2:G1799, $C$2:C1799 = C1799, $A$2:A1799 &gt;= A1799 - 30)))
"),"#DIV/0!")</f>
        <v>#DIV/0!</v>
      </c>
    </row>
    <row r="1800" spans="1:14" x14ac:dyDescent="0.2">
      <c r="A1800" s="41"/>
      <c r="B1800" s="40"/>
      <c r="C1800" s="40"/>
      <c r="D1800" s="31"/>
      <c r="E1800" s="31"/>
      <c r="F1800" s="31"/>
      <c r="G1800" s="19" t="e">
        <f t="shared" si="35"/>
        <v>#DIV/0!</v>
      </c>
      <c r="H1800" s="20" t="str">
        <f ca="1">IFERROR(__xludf.DUMMYFUNCTION("IF(COUNTIFS($C$2:C1800, C1800, $A$2:A1800, ""&lt;="" &amp; A1800) &lt; 30, AVERAGEIF($C$2:C1800, C1800, $G$2:G1800), AVERAGE(FILTER($G$2:G1800, $C$2:C1800 = C1800, $A$2:A1800 &gt;= A1800 - 30)))
"),"#DIV/0!")</f>
        <v>#DIV/0!</v>
      </c>
      <c r="I1800" s="20" t="e">
        <f t="shared" ca="1" si="36"/>
        <v>#DIV/0!</v>
      </c>
      <c r="J1800" s="20" t="str">
        <f ca="1">IFERROR(__xludf.DUMMYFUNCTION("IF(OR($I1800=2, $I1800=3), 0, IFERROR(COUNTIFS($C$2:C1800, $C1800, $A$2:A1800, ""&gt;""&amp;IFERROR(MAX(FILTER($A$2:A1800, $C$2:C1800=$C1800, $I$2:I1800&lt;&gt;1)), 0), $I$2:I1800, 1),1))
"),"#DIV/0!")</f>
        <v>#DIV/0!</v>
      </c>
      <c r="K1800" s="7" t="e">
        <f t="shared" ca="1" si="37"/>
        <v>#DIV/0!</v>
      </c>
      <c r="L1800" s="20" t="e">
        <f t="shared" ca="1" si="38"/>
        <v>#DIV/0!</v>
      </c>
      <c r="M1800" s="21" t="e">
        <f t="shared" ca="1" si="39"/>
        <v>#DIV/0!</v>
      </c>
      <c r="N1800" s="20" t="str">
        <f ca="1">IFERROR(__xludf.DUMMYFUNCTION("IF(COUNTIFS($C$2:C1800, C1800, $A$2:A1800, ""&lt;="" &amp; A1800) &lt; 30, STDEV.P(FILTER($G$2:G1800, $C$2:C1800 = C1800)), STDEV.P(FILTER($G$2:G1800, $C$2:C1800 = C1800, $A$2:A1800 &gt;= A1800 - 30)))
"),"#DIV/0!")</f>
        <v>#DIV/0!</v>
      </c>
    </row>
    <row r="1801" spans="1:14" x14ac:dyDescent="0.2">
      <c r="A1801" s="41"/>
      <c r="B1801" s="40"/>
      <c r="C1801" s="40"/>
      <c r="D1801" s="31"/>
      <c r="E1801" s="31"/>
      <c r="F1801" s="31"/>
      <c r="G1801" s="19" t="e">
        <f t="shared" si="35"/>
        <v>#DIV/0!</v>
      </c>
      <c r="H1801" s="20" t="str">
        <f ca="1">IFERROR(__xludf.DUMMYFUNCTION("IF(COUNTIFS($C$2:C1801, C1801, $A$2:A1801, ""&lt;="" &amp; A1801) &lt; 30, AVERAGEIF($C$2:C1801, C1801, $G$2:G1801), AVERAGE(FILTER($G$2:G1801, $C$2:C1801 = C1801, $A$2:A1801 &gt;= A1801 - 30)))
"),"#DIV/0!")</f>
        <v>#DIV/0!</v>
      </c>
      <c r="I1801" s="20" t="e">
        <f t="shared" ca="1" si="36"/>
        <v>#DIV/0!</v>
      </c>
      <c r="J1801" s="20" t="str">
        <f ca="1">IFERROR(__xludf.DUMMYFUNCTION("IF(OR($I1801=2, $I1801=3), 0, IFERROR(COUNTIFS($C$2:C1801, $C1801, $A$2:A1801, ""&gt;""&amp;IFERROR(MAX(FILTER($A$2:A1801, $C$2:C1801=$C1801, $I$2:I1801&lt;&gt;1)), 0), $I$2:I1801, 1),1))
"),"#DIV/0!")</f>
        <v>#DIV/0!</v>
      </c>
      <c r="K1801" s="7" t="e">
        <f t="shared" ca="1" si="37"/>
        <v>#DIV/0!</v>
      </c>
      <c r="L1801" s="20" t="e">
        <f t="shared" ca="1" si="38"/>
        <v>#DIV/0!</v>
      </c>
      <c r="M1801" s="21" t="e">
        <f t="shared" ca="1" si="39"/>
        <v>#DIV/0!</v>
      </c>
      <c r="N1801" s="20" t="str">
        <f ca="1">IFERROR(__xludf.DUMMYFUNCTION("IF(COUNTIFS($C$2:C1801, C1801, $A$2:A1801, ""&lt;="" &amp; A1801) &lt; 30, STDEV.P(FILTER($G$2:G1801, $C$2:C1801 = C1801)), STDEV.P(FILTER($G$2:G1801, $C$2:C1801 = C1801, $A$2:A1801 &gt;= A1801 - 30)))
"),"#DIV/0!")</f>
        <v>#DIV/0!</v>
      </c>
    </row>
    <row r="1802" spans="1:14" x14ac:dyDescent="0.2">
      <c r="A1802" s="41"/>
      <c r="B1802" s="40"/>
      <c r="C1802" s="40"/>
      <c r="D1802" s="31"/>
      <c r="E1802" s="31"/>
      <c r="F1802" s="31"/>
      <c r="G1802" s="19" t="e">
        <f t="shared" si="35"/>
        <v>#DIV/0!</v>
      </c>
      <c r="H1802" s="20" t="str">
        <f ca="1">IFERROR(__xludf.DUMMYFUNCTION("IF(COUNTIFS($C$2:C1802, C1802, $A$2:A1802, ""&lt;="" &amp; A1802) &lt; 30, AVERAGEIF($C$2:C1802, C1802, $G$2:G1802), AVERAGE(FILTER($G$2:G1802, $C$2:C1802 = C1802, $A$2:A1802 &gt;= A1802 - 30)))
"),"#DIV/0!")</f>
        <v>#DIV/0!</v>
      </c>
      <c r="I1802" s="20" t="e">
        <f t="shared" ca="1" si="36"/>
        <v>#DIV/0!</v>
      </c>
      <c r="J1802" s="20" t="str">
        <f ca="1">IFERROR(__xludf.DUMMYFUNCTION("IF(OR($I1802=2, $I1802=3), 0, IFERROR(COUNTIFS($C$2:C1802, $C1802, $A$2:A1802, ""&gt;""&amp;IFERROR(MAX(FILTER($A$2:A1802, $C$2:C1802=$C1802, $I$2:I1802&lt;&gt;1)), 0), $I$2:I1802, 1),1))
"),"#DIV/0!")</f>
        <v>#DIV/0!</v>
      </c>
      <c r="K1802" s="7" t="e">
        <f t="shared" ca="1" si="37"/>
        <v>#DIV/0!</v>
      </c>
      <c r="L1802" s="20" t="e">
        <f t="shared" ca="1" si="38"/>
        <v>#DIV/0!</v>
      </c>
      <c r="M1802" s="21" t="e">
        <f t="shared" ca="1" si="39"/>
        <v>#DIV/0!</v>
      </c>
      <c r="N1802" s="20" t="str">
        <f ca="1">IFERROR(__xludf.DUMMYFUNCTION("IF(COUNTIFS($C$2:C1802, C1802, $A$2:A1802, ""&lt;="" &amp; A1802) &lt; 30, STDEV.P(FILTER($G$2:G1802, $C$2:C1802 = C1802)), STDEV.P(FILTER($G$2:G1802, $C$2:C1802 = C1802, $A$2:A1802 &gt;= A1802 - 30)))
"),"#DIV/0!")</f>
        <v>#DIV/0!</v>
      </c>
    </row>
    <row r="1803" spans="1:14" x14ac:dyDescent="0.2">
      <c r="A1803" s="41"/>
      <c r="B1803" s="40"/>
      <c r="C1803" s="40"/>
      <c r="D1803" s="31"/>
      <c r="E1803" s="31"/>
      <c r="F1803" s="31"/>
      <c r="G1803" s="19" t="e">
        <f t="shared" si="35"/>
        <v>#DIV/0!</v>
      </c>
      <c r="H1803" s="20" t="str">
        <f ca="1">IFERROR(__xludf.DUMMYFUNCTION("IF(COUNTIFS($C$2:C1803, C1803, $A$2:A1803, ""&lt;="" &amp; A1803) &lt; 30, AVERAGEIF($C$2:C1803, C1803, $G$2:G1803), AVERAGE(FILTER($G$2:G1803, $C$2:C1803 = C1803, $A$2:A1803 &gt;= A1803 - 30)))
"),"#DIV/0!")</f>
        <v>#DIV/0!</v>
      </c>
      <c r="I1803" s="20" t="e">
        <f t="shared" ca="1" si="36"/>
        <v>#DIV/0!</v>
      </c>
      <c r="J1803" s="20" t="str">
        <f ca="1">IFERROR(__xludf.DUMMYFUNCTION("IF(OR($I1803=2, $I1803=3), 0, IFERROR(COUNTIFS($C$2:C1803, $C1803, $A$2:A1803, ""&gt;""&amp;IFERROR(MAX(FILTER($A$2:A1803, $C$2:C1803=$C1803, $I$2:I1803&lt;&gt;1)), 0), $I$2:I1803, 1),1))
"),"#DIV/0!")</f>
        <v>#DIV/0!</v>
      </c>
      <c r="K1803" s="7" t="e">
        <f t="shared" ca="1" si="37"/>
        <v>#DIV/0!</v>
      </c>
      <c r="L1803" s="20" t="e">
        <f t="shared" ca="1" si="38"/>
        <v>#DIV/0!</v>
      </c>
      <c r="M1803" s="21" t="e">
        <f t="shared" ca="1" si="39"/>
        <v>#DIV/0!</v>
      </c>
      <c r="N1803" s="20" t="str">
        <f ca="1">IFERROR(__xludf.DUMMYFUNCTION("IF(COUNTIFS($C$2:C1803, C1803, $A$2:A1803, ""&lt;="" &amp; A1803) &lt; 30, STDEV.P(FILTER($G$2:G1803, $C$2:C1803 = C1803)), STDEV.P(FILTER($G$2:G1803, $C$2:C1803 = C1803, $A$2:A1803 &gt;= A1803 - 30)))
"),"#DIV/0!")</f>
        <v>#DIV/0!</v>
      </c>
    </row>
    <row r="1804" spans="1:14" x14ac:dyDescent="0.2">
      <c r="A1804" s="41"/>
      <c r="B1804" s="40"/>
      <c r="C1804" s="40"/>
      <c r="D1804" s="31"/>
      <c r="E1804" s="31"/>
      <c r="F1804" s="31"/>
      <c r="G1804" s="19" t="e">
        <f t="shared" si="35"/>
        <v>#DIV/0!</v>
      </c>
      <c r="H1804" s="20" t="str">
        <f ca="1">IFERROR(__xludf.DUMMYFUNCTION("IF(COUNTIFS($C$2:C1804, C1804, $A$2:A1804, ""&lt;="" &amp; A1804) &lt; 30, AVERAGEIF($C$2:C1804, C1804, $G$2:G1804), AVERAGE(FILTER($G$2:G1804, $C$2:C1804 = C1804, $A$2:A1804 &gt;= A1804 - 30)))
"),"#DIV/0!")</f>
        <v>#DIV/0!</v>
      </c>
      <c r="I1804" s="20" t="e">
        <f t="shared" ca="1" si="36"/>
        <v>#DIV/0!</v>
      </c>
      <c r="J1804" s="20" t="str">
        <f ca="1">IFERROR(__xludf.DUMMYFUNCTION("IF(OR($I1804=2, $I1804=3), 0, IFERROR(COUNTIFS($C$2:C1804, $C1804, $A$2:A1804, ""&gt;""&amp;IFERROR(MAX(FILTER($A$2:A1804, $C$2:C1804=$C1804, $I$2:I1804&lt;&gt;1)), 0), $I$2:I1804, 1),1))
"),"#DIV/0!")</f>
        <v>#DIV/0!</v>
      </c>
      <c r="K1804" s="7" t="e">
        <f t="shared" ca="1" si="37"/>
        <v>#DIV/0!</v>
      </c>
      <c r="L1804" s="20" t="e">
        <f t="shared" ca="1" si="38"/>
        <v>#DIV/0!</v>
      </c>
      <c r="M1804" s="21" t="e">
        <f t="shared" ca="1" si="39"/>
        <v>#DIV/0!</v>
      </c>
      <c r="N1804" s="20" t="str">
        <f ca="1">IFERROR(__xludf.DUMMYFUNCTION("IF(COUNTIFS($C$2:C1804, C1804, $A$2:A1804, ""&lt;="" &amp; A1804) &lt; 30, STDEV.P(FILTER($G$2:G1804, $C$2:C1804 = C1804)), STDEV.P(FILTER($G$2:G1804, $C$2:C1804 = C1804, $A$2:A1804 &gt;= A1804 - 30)))
"),"#DIV/0!")</f>
        <v>#DIV/0!</v>
      </c>
    </row>
    <row r="1805" spans="1:14" x14ac:dyDescent="0.2">
      <c r="A1805" s="41"/>
      <c r="B1805" s="40"/>
      <c r="C1805" s="40"/>
      <c r="D1805" s="31"/>
      <c r="E1805" s="31"/>
      <c r="F1805" s="31"/>
      <c r="G1805" s="19" t="e">
        <f t="shared" si="35"/>
        <v>#DIV/0!</v>
      </c>
      <c r="H1805" s="20" t="str">
        <f ca="1">IFERROR(__xludf.DUMMYFUNCTION("IF(COUNTIFS($C$2:C1805, C1805, $A$2:A1805, ""&lt;="" &amp; A1805) &lt; 30, AVERAGEIF($C$2:C1805, C1805, $G$2:G1805), AVERAGE(FILTER($G$2:G1805, $C$2:C1805 = C1805, $A$2:A1805 &gt;= A1805 - 30)))
"),"#DIV/0!")</f>
        <v>#DIV/0!</v>
      </c>
      <c r="I1805" s="20" t="e">
        <f t="shared" ca="1" si="36"/>
        <v>#DIV/0!</v>
      </c>
      <c r="J1805" s="20" t="str">
        <f ca="1">IFERROR(__xludf.DUMMYFUNCTION("IF(OR($I1805=2, $I1805=3), 0, IFERROR(COUNTIFS($C$2:C1805, $C1805, $A$2:A1805, ""&gt;""&amp;IFERROR(MAX(FILTER($A$2:A1805, $C$2:C1805=$C1805, $I$2:I1805&lt;&gt;1)), 0), $I$2:I1805, 1),1))
"),"#DIV/0!")</f>
        <v>#DIV/0!</v>
      </c>
      <c r="K1805" s="7" t="e">
        <f t="shared" ca="1" si="37"/>
        <v>#DIV/0!</v>
      </c>
      <c r="L1805" s="20" t="e">
        <f t="shared" ca="1" si="38"/>
        <v>#DIV/0!</v>
      </c>
      <c r="M1805" s="21" t="e">
        <f t="shared" ca="1" si="39"/>
        <v>#DIV/0!</v>
      </c>
      <c r="N1805" s="20" t="str">
        <f ca="1">IFERROR(__xludf.DUMMYFUNCTION("IF(COUNTIFS($C$2:C1805, C1805, $A$2:A1805, ""&lt;="" &amp; A1805) &lt; 30, STDEV.P(FILTER($G$2:G1805, $C$2:C1805 = C1805)), STDEV.P(FILTER($G$2:G1805, $C$2:C1805 = C1805, $A$2:A1805 &gt;= A1805 - 30)))
"),"#DIV/0!")</f>
        <v>#DIV/0!</v>
      </c>
    </row>
    <row r="1806" spans="1:14" x14ac:dyDescent="0.2">
      <c r="A1806" s="41"/>
      <c r="B1806" s="40"/>
      <c r="C1806" s="40"/>
      <c r="D1806" s="31"/>
      <c r="E1806" s="31"/>
      <c r="F1806" s="31"/>
      <c r="G1806" s="19" t="e">
        <f t="shared" si="35"/>
        <v>#DIV/0!</v>
      </c>
      <c r="H1806" s="20" t="str">
        <f ca="1">IFERROR(__xludf.DUMMYFUNCTION("IF(COUNTIFS($C$2:C1806, C1806, $A$2:A1806, ""&lt;="" &amp; A1806) &lt; 30, AVERAGEIF($C$2:C1806, C1806, $G$2:G1806), AVERAGE(FILTER($G$2:G1806, $C$2:C1806 = C1806, $A$2:A1806 &gt;= A1806 - 30)))
"),"#DIV/0!")</f>
        <v>#DIV/0!</v>
      </c>
      <c r="I1806" s="20" t="e">
        <f t="shared" ca="1" si="36"/>
        <v>#DIV/0!</v>
      </c>
      <c r="J1806" s="20" t="str">
        <f ca="1">IFERROR(__xludf.DUMMYFUNCTION("IF(OR($I1806=2, $I1806=3), 0, IFERROR(COUNTIFS($C$2:C1806, $C1806, $A$2:A1806, ""&gt;""&amp;IFERROR(MAX(FILTER($A$2:A1806, $C$2:C1806=$C1806, $I$2:I1806&lt;&gt;1)), 0), $I$2:I1806, 1),1))
"),"#DIV/0!")</f>
        <v>#DIV/0!</v>
      </c>
      <c r="K1806" s="7" t="e">
        <f t="shared" ca="1" si="37"/>
        <v>#DIV/0!</v>
      </c>
      <c r="L1806" s="20" t="e">
        <f t="shared" ca="1" si="38"/>
        <v>#DIV/0!</v>
      </c>
      <c r="M1806" s="21" t="e">
        <f t="shared" ca="1" si="39"/>
        <v>#DIV/0!</v>
      </c>
      <c r="N1806" s="20" t="str">
        <f ca="1">IFERROR(__xludf.DUMMYFUNCTION("IF(COUNTIFS($C$2:C1806, C1806, $A$2:A1806, ""&lt;="" &amp; A1806) &lt; 30, STDEV.P(FILTER($G$2:G1806, $C$2:C1806 = C1806)), STDEV.P(FILTER($G$2:G1806, $C$2:C1806 = C1806, $A$2:A1806 &gt;= A1806 - 30)))
"),"#DIV/0!")</f>
        <v>#DIV/0!</v>
      </c>
    </row>
    <row r="1807" spans="1:14" x14ac:dyDescent="0.2">
      <c r="A1807" s="41"/>
      <c r="B1807" s="40"/>
      <c r="C1807" s="40"/>
      <c r="D1807" s="31"/>
      <c r="E1807" s="31"/>
      <c r="F1807" s="31"/>
      <c r="G1807" s="19" t="e">
        <f t="shared" si="35"/>
        <v>#DIV/0!</v>
      </c>
      <c r="H1807" s="20" t="str">
        <f ca="1">IFERROR(__xludf.DUMMYFUNCTION("IF(COUNTIFS($C$2:C1807, C1807, $A$2:A1807, ""&lt;="" &amp; A1807) &lt; 30, AVERAGEIF($C$2:C1807, C1807, $G$2:G1807), AVERAGE(FILTER($G$2:G1807, $C$2:C1807 = C1807, $A$2:A1807 &gt;= A1807 - 30)))
"),"#DIV/0!")</f>
        <v>#DIV/0!</v>
      </c>
      <c r="I1807" s="20" t="e">
        <f t="shared" ca="1" si="36"/>
        <v>#DIV/0!</v>
      </c>
      <c r="J1807" s="20" t="str">
        <f ca="1">IFERROR(__xludf.DUMMYFUNCTION("IF(OR($I1807=2, $I1807=3), 0, IFERROR(COUNTIFS($C$2:C1807, $C1807, $A$2:A1807, ""&gt;""&amp;IFERROR(MAX(FILTER($A$2:A1807, $C$2:C1807=$C1807, $I$2:I1807&lt;&gt;1)), 0), $I$2:I1807, 1),1))
"),"#DIV/0!")</f>
        <v>#DIV/0!</v>
      </c>
      <c r="K1807" s="7" t="e">
        <f t="shared" ca="1" si="37"/>
        <v>#DIV/0!</v>
      </c>
      <c r="L1807" s="20" t="e">
        <f t="shared" ca="1" si="38"/>
        <v>#DIV/0!</v>
      </c>
      <c r="M1807" s="21" t="e">
        <f t="shared" ca="1" si="39"/>
        <v>#DIV/0!</v>
      </c>
      <c r="N1807" s="20" t="str">
        <f ca="1">IFERROR(__xludf.DUMMYFUNCTION("IF(COUNTIFS($C$2:C1807, C1807, $A$2:A1807, ""&lt;="" &amp; A1807) &lt; 30, STDEV.P(FILTER($G$2:G1807, $C$2:C1807 = C1807)), STDEV.P(FILTER($G$2:G1807, $C$2:C1807 = C1807, $A$2:A1807 &gt;= A1807 - 30)))
"),"#DIV/0!")</f>
        <v>#DIV/0!</v>
      </c>
    </row>
    <row r="1808" spans="1:14" x14ac:dyDescent="0.2">
      <c r="A1808" s="41"/>
      <c r="B1808" s="40"/>
      <c r="C1808" s="40"/>
      <c r="D1808" s="31"/>
      <c r="E1808" s="31"/>
      <c r="F1808" s="31"/>
      <c r="G1808" s="19" t="e">
        <f t="shared" si="35"/>
        <v>#DIV/0!</v>
      </c>
      <c r="H1808" s="20" t="str">
        <f ca="1">IFERROR(__xludf.DUMMYFUNCTION("IF(COUNTIFS($C$2:C1808, C1808, $A$2:A1808, ""&lt;="" &amp; A1808) &lt; 30, AVERAGEIF($C$2:C1808, C1808, $G$2:G1808), AVERAGE(FILTER($G$2:G1808, $C$2:C1808 = C1808, $A$2:A1808 &gt;= A1808 - 30)))
"),"#DIV/0!")</f>
        <v>#DIV/0!</v>
      </c>
      <c r="I1808" s="20" t="e">
        <f t="shared" ca="1" si="36"/>
        <v>#DIV/0!</v>
      </c>
      <c r="J1808" s="20" t="str">
        <f ca="1">IFERROR(__xludf.DUMMYFUNCTION("IF(OR($I1808=2, $I1808=3), 0, IFERROR(COUNTIFS($C$2:C1808, $C1808, $A$2:A1808, ""&gt;""&amp;IFERROR(MAX(FILTER($A$2:A1808, $C$2:C1808=$C1808, $I$2:I1808&lt;&gt;1)), 0), $I$2:I1808, 1),1))
"),"#DIV/0!")</f>
        <v>#DIV/0!</v>
      </c>
      <c r="K1808" s="7" t="e">
        <f t="shared" ca="1" si="37"/>
        <v>#DIV/0!</v>
      </c>
      <c r="L1808" s="20" t="e">
        <f t="shared" ca="1" si="38"/>
        <v>#DIV/0!</v>
      </c>
      <c r="M1808" s="21" t="e">
        <f t="shared" ca="1" si="39"/>
        <v>#DIV/0!</v>
      </c>
      <c r="N1808" s="20" t="str">
        <f ca="1">IFERROR(__xludf.DUMMYFUNCTION("IF(COUNTIFS($C$2:C1808, C1808, $A$2:A1808, ""&lt;="" &amp; A1808) &lt; 30, STDEV.P(FILTER($G$2:G1808, $C$2:C1808 = C1808)), STDEV.P(FILTER($G$2:G1808, $C$2:C1808 = C1808, $A$2:A1808 &gt;= A1808 - 30)))
"),"#DIV/0!")</f>
        <v>#DIV/0!</v>
      </c>
    </row>
    <row r="1809" spans="1:14" x14ac:dyDescent="0.2">
      <c r="A1809" s="41"/>
      <c r="B1809" s="40"/>
      <c r="C1809" s="40"/>
      <c r="D1809" s="31"/>
      <c r="E1809" s="31"/>
      <c r="F1809" s="31"/>
      <c r="G1809" s="19" t="e">
        <f t="shared" si="35"/>
        <v>#DIV/0!</v>
      </c>
      <c r="H1809" s="20" t="str">
        <f ca="1">IFERROR(__xludf.DUMMYFUNCTION("IF(COUNTIFS($C$2:C1809, C1809, $A$2:A1809, ""&lt;="" &amp; A1809) &lt; 30, AVERAGEIF($C$2:C1809, C1809, $G$2:G1809), AVERAGE(FILTER($G$2:G1809, $C$2:C1809 = C1809, $A$2:A1809 &gt;= A1809 - 30)))
"),"#DIV/0!")</f>
        <v>#DIV/0!</v>
      </c>
      <c r="I1809" s="20" t="e">
        <f t="shared" ca="1" si="36"/>
        <v>#DIV/0!</v>
      </c>
      <c r="J1809" s="20" t="str">
        <f ca="1">IFERROR(__xludf.DUMMYFUNCTION("IF(OR($I1809=2, $I1809=3), 0, IFERROR(COUNTIFS($C$2:C1809, $C1809, $A$2:A1809, ""&gt;""&amp;IFERROR(MAX(FILTER($A$2:A1809, $C$2:C1809=$C1809, $I$2:I1809&lt;&gt;1)), 0), $I$2:I1809, 1),1))
"),"#DIV/0!")</f>
        <v>#DIV/0!</v>
      </c>
      <c r="K1809" s="7" t="e">
        <f t="shared" ca="1" si="37"/>
        <v>#DIV/0!</v>
      </c>
      <c r="L1809" s="20" t="e">
        <f t="shared" ca="1" si="38"/>
        <v>#DIV/0!</v>
      </c>
      <c r="M1809" s="21" t="e">
        <f t="shared" ca="1" si="39"/>
        <v>#DIV/0!</v>
      </c>
      <c r="N1809" s="20" t="str">
        <f ca="1">IFERROR(__xludf.DUMMYFUNCTION("IF(COUNTIFS($C$2:C1809, C1809, $A$2:A1809, ""&lt;="" &amp; A1809) &lt; 30, STDEV.P(FILTER($G$2:G1809, $C$2:C1809 = C1809)), STDEV.P(FILTER($G$2:G1809, $C$2:C1809 = C1809, $A$2:A1809 &gt;= A1809 - 30)))
"),"#DIV/0!")</f>
        <v>#DIV/0!</v>
      </c>
    </row>
    <row r="1810" spans="1:14" x14ac:dyDescent="0.2">
      <c r="A1810" s="41"/>
      <c r="B1810" s="40"/>
      <c r="C1810" s="40"/>
      <c r="D1810" s="31"/>
      <c r="E1810" s="31"/>
      <c r="F1810" s="31"/>
      <c r="G1810" s="19" t="e">
        <f t="shared" si="35"/>
        <v>#DIV/0!</v>
      </c>
      <c r="H1810" s="20" t="str">
        <f ca="1">IFERROR(__xludf.DUMMYFUNCTION("IF(COUNTIFS($C$2:C1810, C1810, $A$2:A1810, ""&lt;="" &amp; A1810) &lt; 30, AVERAGEIF($C$2:C1810, C1810, $G$2:G1810), AVERAGE(FILTER($G$2:G1810, $C$2:C1810 = C1810, $A$2:A1810 &gt;= A1810 - 30)))
"),"#DIV/0!")</f>
        <v>#DIV/0!</v>
      </c>
      <c r="I1810" s="20" t="e">
        <f t="shared" ca="1" si="36"/>
        <v>#DIV/0!</v>
      </c>
      <c r="J1810" s="20" t="str">
        <f ca="1">IFERROR(__xludf.DUMMYFUNCTION("IF(OR($I1810=2, $I1810=3), 0, IFERROR(COUNTIFS($C$2:C1810, $C1810, $A$2:A1810, ""&gt;""&amp;IFERROR(MAX(FILTER($A$2:A1810, $C$2:C1810=$C1810, $I$2:I1810&lt;&gt;1)), 0), $I$2:I1810, 1),1))
"),"#DIV/0!")</f>
        <v>#DIV/0!</v>
      </c>
      <c r="K1810" s="7" t="e">
        <f t="shared" ca="1" si="37"/>
        <v>#DIV/0!</v>
      </c>
      <c r="L1810" s="20" t="e">
        <f t="shared" ca="1" si="38"/>
        <v>#DIV/0!</v>
      </c>
      <c r="M1810" s="21" t="e">
        <f t="shared" ca="1" si="39"/>
        <v>#DIV/0!</v>
      </c>
      <c r="N1810" s="20" t="str">
        <f ca="1">IFERROR(__xludf.DUMMYFUNCTION("IF(COUNTIFS($C$2:C1810, C1810, $A$2:A1810, ""&lt;="" &amp; A1810) &lt; 30, STDEV.P(FILTER($G$2:G1810, $C$2:C1810 = C1810)), STDEV.P(FILTER($G$2:G1810, $C$2:C1810 = C1810, $A$2:A1810 &gt;= A1810 - 30)))
"),"#DIV/0!")</f>
        <v>#DIV/0!</v>
      </c>
    </row>
    <row r="1811" spans="1:14" x14ac:dyDescent="0.2">
      <c r="A1811" s="41"/>
      <c r="B1811" s="40"/>
      <c r="C1811" s="40"/>
      <c r="D1811" s="31"/>
      <c r="E1811" s="31"/>
      <c r="F1811" s="31"/>
      <c r="G1811" s="19" t="e">
        <f t="shared" si="35"/>
        <v>#DIV/0!</v>
      </c>
      <c r="H1811" s="20" t="str">
        <f ca="1">IFERROR(__xludf.DUMMYFUNCTION("IF(COUNTIFS($C$2:C1811, C1811, $A$2:A1811, ""&lt;="" &amp; A1811) &lt; 30, AVERAGEIF($C$2:C1811, C1811, $G$2:G1811), AVERAGE(FILTER($G$2:G1811, $C$2:C1811 = C1811, $A$2:A1811 &gt;= A1811 - 30)))
"),"#DIV/0!")</f>
        <v>#DIV/0!</v>
      </c>
      <c r="I1811" s="20" t="e">
        <f t="shared" ca="1" si="36"/>
        <v>#DIV/0!</v>
      </c>
      <c r="J1811" s="20" t="str">
        <f ca="1">IFERROR(__xludf.DUMMYFUNCTION("IF(OR($I1811=2, $I1811=3), 0, IFERROR(COUNTIFS($C$2:C1811, $C1811, $A$2:A1811, ""&gt;""&amp;IFERROR(MAX(FILTER($A$2:A1811, $C$2:C1811=$C1811, $I$2:I1811&lt;&gt;1)), 0), $I$2:I1811, 1),1))
"),"#DIV/0!")</f>
        <v>#DIV/0!</v>
      </c>
      <c r="K1811" s="7" t="e">
        <f t="shared" ca="1" si="37"/>
        <v>#DIV/0!</v>
      </c>
      <c r="L1811" s="20" t="e">
        <f t="shared" ca="1" si="38"/>
        <v>#DIV/0!</v>
      </c>
      <c r="M1811" s="21" t="e">
        <f t="shared" ca="1" si="39"/>
        <v>#DIV/0!</v>
      </c>
      <c r="N1811" s="20" t="str">
        <f ca="1">IFERROR(__xludf.DUMMYFUNCTION("IF(COUNTIFS($C$2:C1811, C1811, $A$2:A1811, ""&lt;="" &amp; A1811) &lt; 30, STDEV.P(FILTER($G$2:G1811, $C$2:C1811 = C1811)), STDEV.P(FILTER($G$2:G1811, $C$2:C1811 = C1811, $A$2:A1811 &gt;= A1811 - 30)))
"),"#DIV/0!")</f>
        <v>#DIV/0!</v>
      </c>
    </row>
    <row r="1812" spans="1:14" x14ac:dyDescent="0.2">
      <c r="A1812" s="41"/>
      <c r="B1812" s="40"/>
      <c r="C1812" s="40"/>
      <c r="D1812" s="31"/>
      <c r="E1812" s="31"/>
      <c r="F1812" s="31"/>
      <c r="G1812" s="19" t="e">
        <f t="shared" si="35"/>
        <v>#DIV/0!</v>
      </c>
      <c r="H1812" s="20" t="str">
        <f ca="1">IFERROR(__xludf.DUMMYFUNCTION("IF(COUNTIFS($C$2:C1812, C1812, $A$2:A1812, ""&lt;="" &amp; A1812) &lt; 30, AVERAGEIF($C$2:C1812, C1812, $G$2:G1812), AVERAGE(FILTER($G$2:G1812, $C$2:C1812 = C1812, $A$2:A1812 &gt;= A1812 - 30)))
"),"#DIV/0!")</f>
        <v>#DIV/0!</v>
      </c>
      <c r="I1812" s="20" t="e">
        <f t="shared" ca="1" si="36"/>
        <v>#DIV/0!</v>
      </c>
      <c r="J1812" s="20" t="str">
        <f ca="1">IFERROR(__xludf.DUMMYFUNCTION("IF(OR($I1812=2, $I1812=3), 0, IFERROR(COUNTIFS($C$2:C1812, $C1812, $A$2:A1812, ""&gt;""&amp;IFERROR(MAX(FILTER($A$2:A1812, $C$2:C1812=$C1812, $I$2:I1812&lt;&gt;1)), 0), $I$2:I1812, 1),1))
"),"#DIV/0!")</f>
        <v>#DIV/0!</v>
      </c>
      <c r="K1812" s="7" t="e">
        <f t="shared" ca="1" si="37"/>
        <v>#DIV/0!</v>
      </c>
      <c r="L1812" s="20" t="e">
        <f t="shared" ca="1" si="38"/>
        <v>#DIV/0!</v>
      </c>
      <c r="M1812" s="21" t="e">
        <f t="shared" ca="1" si="39"/>
        <v>#DIV/0!</v>
      </c>
      <c r="N1812" s="20" t="str">
        <f ca="1">IFERROR(__xludf.DUMMYFUNCTION("IF(COUNTIFS($C$2:C1812, C1812, $A$2:A1812, ""&lt;="" &amp; A1812) &lt; 30, STDEV.P(FILTER($G$2:G1812, $C$2:C1812 = C1812)), STDEV.P(FILTER($G$2:G1812, $C$2:C1812 = C1812, $A$2:A1812 &gt;= A1812 - 30)))
"),"#DIV/0!")</f>
        <v>#DIV/0!</v>
      </c>
    </row>
    <row r="1813" spans="1:14" x14ac:dyDescent="0.2">
      <c r="A1813" s="41"/>
      <c r="B1813" s="40"/>
      <c r="C1813" s="40"/>
      <c r="D1813" s="31"/>
      <c r="E1813" s="31"/>
      <c r="F1813" s="31"/>
      <c r="G1813" s="19" t="e">
        <f t="shared" si="35"/>
        <v>#DIV/0!</v>
      </c>
      <c r="H1813" s="20" t="str">
        <f ca="1">IFERROR(__xludf.DUMMYFUNCTION("IF(COUNTIFS($C$2:C1813, C1813, $A$2:A1813, ""&lt;="" &amp; A1813) &lt; 30, AVERAGEIF($C$2:C1813, C1813, $G$2:G1813), AVERAGE(FILTER($G$2:G1813, $C$2:C1813 = C1813, $A$2:A1813 &gt;= A1813 - 30)))
"),"#DIV/0!")</f>
        <v>#DIV/0!</v>
      </c>
      <c r="I1813" s="20" t="e">
        <f t="shared" ca="1" si="36"/>
        <v>#DIV/0!</v>
      </c>
      <c r="J1813" s="20" t="str">
        <f ca="1">IFERROR(__xludf.DUMMYFUNCTION("IF(OR($I1813=2, $I1813=3), 0, IFERROR(COUNTIFS($C$2:C1813, $C1813, $A$2:A1813, ""&gt;""&amp;IFERROR(MAX(FILTER($A$2:A1813, $C$2:C1813=$C1813, $I$2:I1813&lt;&gt;1)), 0), $I$2:I1813, 1),1))
"),"#DIV/0!")</f>
        <v>#DIV/0!</v>
      </c>
      <c r="K1813" s="7" t="e">
        <f t="shared" ca="1" si="37"/>
        <v>#DIV/0!</v>
      </c>
      <c r="L1813" s="20" t="e">
        <f t="shared" ca="1" si="38"/>
        <v>#DIV/0!</v>
      </c>
      <c r="M1813" s="21" t="e">
        <f t="shared" ca="1" si="39"/>
        <v>#DIV/0!</v>
      </c>
      <c r="N1813" s="20" t="str">
        <f ca="1">IFERROR(__xludf.DUMMYFUNCTION("IF(COUNTIFS($C$2:C1813, C1813, $A$2:A1813, ""&lt;="" &amp; A1813) &lt; 30, STDEV.P(FILTER($G$2:G1813, $C$2:C1813 = C1813)), STDEV.P(FILTER($G$2:G1813, $C$2:C1813 = C1813, $A$2:A1813 &gt;= A1813 - 30)))
"),"#DIV/0!")</f>
        <v>#DIV/0!</v>
      </c>
    </row>
    <row r="1814" spans="1:14" x14ac:dyDescent="0.2">
      <c r="A1814" s="41"/>
      <c r="B1814" s="40"/>
      <c r="C1814" s="40"/>
      <c r="D1814" s="31"/>
      <c r="E1814" s="31"/>
      <c r="F1814" s="31"/>
      <c r="G1814" s="19" t="e">
        <f t="shared" si="35"/>
        <v>#DIV/0!</v>
      </c>
      <c r="H1814" s="20" t="str">
        <f ca="1">IFERROR(__xludf.DUMMYFUNCTION("IF(COUNTIFS($C$2:C1814, C1814, $A$2:A1814, ""&lt;="" &amp; A1814) &lt; 30, AVERAGEIF($C$2:C1814, C1814, $G$2:G1814), AVERAGE(FILTER($G$2:G1814, $C$2:C1814 = C1814, $A$2:A1814 &gt;= A1814 - 30)))
"),"#DIV/0!")</f>
        <v>#DIV/0!</v>
      </c>
      <c r="I1814" s="20" t="e">
        <f t="shared" ca="1" si="36"/>
        <v>#DIV/0!</v>
      </c>
      <c r="J1814" s="20" t="str">
        <f ca="1">IFERROR(__xludf.DUMMYFUNCTION("IF(OR($I1814=2, $I1814=3), 0, IFERROR(COUNTIFS($C$2:C1814, $C1814, $A$2:A1814, ""&gt;""&amp;IFERROR(MAX(FILTER($A$2:A1814, $C$2:C1814=$C1814, $I$2:I1814&lt;&gt;1)), 0), $I$2:I1814, 1),1))
"),"#DIV/0!")</f>
        <v>#DIV/0!</v>
      </c>
      <c r="K1814" s="7" t="e">
        <f t="shared" ca="1" si="37"/>
        <v>#DIV/0!</v>
      </c>
      <c r="L1814" s="20" t="e">
        <f t="shared" ca="1" si="38"/>
        <v>#DIV/0!</v>
      </c>
      <c r="M1814" s="21" t="e">
        <f t="shared" ca="1" si="39"/>
        <v>#DIV/0!</v>
      </c>
      <c r="N1814" s="20" t="str">
        <f ca="1">IFERROR(__xludf.DUMMYFUNCTION("IF(COUNTIFS($C$2:C1814, C1814, $A$2:A1814, ""&lt;="" &amp; A1814) &lt; 30, STDEV.P(FILTER($G$2:G1814, $C$2:C1814 = C1814)), STDEV.P(FILTER($G$2:G1814, $C$2:C1814 = C1814, $A$2:A1814 &gt;= A1814 - 30)))
"),"#DIV/0!")</f>
        <v>#DIV/0!</v>
      </c>
    </row>
    <row r="1815" spans="1:14" x14ac:dyDescent="0.2">
      <c r="A1815" s="41"/>
      <c r="B1815" s="40"/>
      <c r="C1815" s="40"/>
      <c r="D1815" s="31"/>
      <c r="E1815" s="31"/>
      <c r="F1815" s="31"/>
      <c r="G1815" s="19" t="e">
        <f t="shared" si="35"/>
        <v>#DIV/0!</v>
      </c>
      <c r="H1815" s="20" t="str">
        <f ca="1">IFERROR(__xludf.DUMMYFUNCTION("IF(COUNTIFS($C$2:C1815, C1815, $A$2:A1815, ""&lt;="" &amp; A1815) &lt; 30, AVERAGEIF($C$2:C1815, C1815, $G$2:G1815), AVERAGE(FILTER($G$2:G1815, $C$2:C1815 = C1815, $A$2:A1815 &gt;= A1815 - 30)))
"),"#DIV/0!")</f>
        <v>#DIV/0!</v>
      </c>
      <c r="I1815" s="20" t="e">
        <f t="shared" ca="1" si="36"/>
        <v>#DIV/0!</v>
      </c>
      <c r="J1815" s="20" t="str">
        <f ca="1">IFERROR(__xludf.DUMMYFUNCTION("IF(OR($I1815=2, $I1815=3), 0, IFERROR(COUNTIFS($C$2:C1815, $C1815, $A$2:A1815, ""&gt;""&amp;IFERROR(MAX(FILTER($A$2:A1815, $C$2:C1815=$C1815, $I$2:I1815&lt;&gt;1)), 0), $I$2:I1815, 1),1))
"),"#DIV/0!")</f>
        <v>#DIV/0!</v>
      </c>
      <c r="K1815" s="7" t="e">
        <f t="shared" ca="1" si="37"/>
        <v>#DIV/0!</v>
      </c>
      <c r="L1815" s="20" t="e">
        <f t="shared" ca="1" si="38"/>
        <v>#DIV/0!</v>
      </c>
      <c r="M1815" s="21" t="e">
        <f t="shared" ca="1" si="39"/>
        <v>#DIV/0!</v>
      </c>
      <c r="N1815" s="20" t="str">
        <f ca="1">IFERROR(__xludf.DUMMYFUNCTION("IF(COUNTIFS($C$2:C1815, C1815, $A$2:A1815, ""&lt;="" &amp; A1815) &lt; 30, STDEV.P(FILTER($G$2:G1815, $C$2:C1815 = C1815)), STDEV.P(FILTER($G$2:G1815, $C$2:C1815 = C1815, $A$2:A1815 &gt;= A1815 - 30)))
"),"#DIV/0!")</f>
        <v>#DIV/0!</v>
      </c>
    </row>
    <row r="1816" spans="1:14" x14ac:dyDescent="0.2">
      <c r="A1816" s="41"/>
      <c r="B1816" s="40"/>
      <c r="C1816" s="40"/>
      <c r="D1816" s="31"/>
      <c r="E1816" s="31"/>
      <c r="F1816" s="31"/>
      <c r="G1816" s="19" t="e">
        <f t="shared" si="35"/>
        <v>#DIV/0!</v>
      </c>
      <c r="H1816" s="20" t="str">
        <f ca="1">IFERROR(__xludf.DUMMYFUNCTION("IF(COUNTIFS($C$2:C1816, C1816, $A$2:A1816, ""&lt;="" &amp; A1816) &lt; 30, AVERAGEIF($C$2:C1816, C1816, $G$2:G1816), AVERAGE(FILTER($G$2:G1816, $C$2:C1816 = C1816, $A$2:A1816 &gt;= A1816 - 30)))
"),"#DIV/0!")</f>
        <v>#DIV/0!</v>
      </c>
      <c r="I1816" s="20" t="e">
        <f t="shared" ca="1" si="36"/>
        <v>#DIV/0!</v>
      </c>
      <c r="J1816" s="20" t="str">
        <f ca="1">IFERROR(__xludf.DUMMYFUNCTION("IF(OR($I1816=2, $I1816=3), 0, IFERROR(COUNTIFS($C$2:C1816, $C1816, $A$2:A1816, ""&gt;""&amp;IFERROR(MAX(FILTER($A$2:A1816, $C$2:C1816=$C1816, $I$2:I1816&lt;&gt;1)), 0), $I$2:I1816, 1),1))
"),"#DIV/0!")</f>
        <v>#DIV/0!</v>
      </c>
      <c r="K1816" s="7" t="e">
        <f t="shared" ca="1" si="37"/>
        <v>#DIV/0!</v>
      </c>
      <c r="L1816" s="20" t="e">
        <f t="shared" ca="1" si="38"/>
        <v>#DIV/0!</v>
      </c>
      <c r="M1816" s="21" t="e">
        <f t="shared" ca="1" si="39"/>
        <v>#DIV/0!</v>
      </c>
      <c r="N1816" s="20" t="str">
        <f ca="1">IFERROR(__xludf.DUMMYFUNCTION("IF(COUNTIFS($C$2:C1816, C1816, $A$2:A1816, ""&lt;="" &amp; A1816) &lt; 30, STDEV.P(FILTER($G$2:G1816, $C$2:C1816 = C1816)), STDEV.P(FILTER($G$2:G1816, $C$2:C1816 = C1816, $A$2:A1816 &gt;= A1816 - 30)))
"),"#DIV/0!")</f>
        <v>#DIV/0!</v>
      </c>
    </row>
    <row r="1817" spans="1:14" x14ac:dyDescent="0.2">
      <c r="A1817" s="41"/>
      <c r="B1817" s="40"/>
      <c r="C1817" s="40"/>
      <c r="D1817" s="31"/>
      <c r="E1817" s="31"/>
      <c r="F1817" s="31"/>
      <c r="G1817" s="19" t="e">
        <f t="shared" si="35"/>
        <v>#DIV/0!</v>
      </c>
      <c r="H1817" s="20" t="str">
        <f ca="1">IFERROR(__xludf.DUMMYFUNCTION("IF(COUNTIFS($C$2:C1817, C1817, $A$2:A1817, ""&lt;="" &amp; A1817) &lt; 30, AVERAGEIF($C$2:C1817, C1817, $G$2:G1817), AVERAGE(FILTER($G$2:G1817, $C$2:C1817 = C1817, $A$2:A1817 &gt;= A1817 - 30)))
"),"#DIV/0!")</f>
        <v>#DIV/0!</v>
      </c>
      <c r="I1817" s="20" t="e">
        <f t="shared" ca="1" si="36"/>
        <v>#DIV/0!</v>
      </c>
      <c r="J1817" s="20" t="str">
        <f ca="1">IFERROR(__xludf.DUMMYFUNCTION("IF(OR($I1817=2, $I1817=3), 0, IFERROR(COUNTIFS($C$2:C1817, $C1817, $A$2:A1817, ""&gt;""&amp;IFERROR(MAX(FILTER($A$2:A1817, $C$2:C1817=$C1817, $I$2:I1817&lt;&gt;1)), 0), $I$2:I1817, 1),1))
"),"#DIV/0!")</f>
        <v>#DIV/0!</v>
      </c>
      <c r="K1817" s="7" t="e">
        <f t="shared" ca="1" si="37"/>
        <v>#DIV/0!</v>
      </c>
      <c r="L1817" s="20" t="e">
        <f t="shared" ca="1" si="38"/>
        <v>#DIV/0!</v>
      </c>
      <c r="M1817" s="21" t="e">
        <f t="shared" ca="1" si="39"/>
        <v>#DIV/0!</v>
      </c>
      <c r="N1817" s="20" t="str">
        <f ca="1">IFERROR(__xludf.DUMMYFUNCTION("IF(COUNTIFS($C$2:C1817, C1817, $A$2:A1817, ""&lt;="" &amp; A1817) &lt; 30, STDEV.P(FILTER($G$2:G1817, $C$2:C1817 = C1817)), STDEV.P(FILTER($G$2:G1817, $C$2:C1817 = C1817, $A$2:A1817 &gt;= A1817 - 30)))
"),"#DIV/0!")</f>
        <v>#DIV/0!</v>
      </c>
    </row>
    <row r="1818" spans="1:14" x14ac:dyDescent="0.2">
      <c r="A1818" s="41"/>
      <c r="B1818" s="40"/>
      <c r="C1818" s="40"/>
      <c r="D1818" s="31"/>
      <c r="E1818" s="31"/>
      <c r="F1818" s="31"/>
      <c r="G1818" s="19" t="e">
        <f t="shared" si="35"/>
        <v>#DIV/0!</v>
      </c>
      <c r="H1818" s="20" t="str">
        <f ca="1">IFERROR(__xludf.DUMMYFUNCTION("IF(COUNTIFS($C$2:C1818, C1818, $A$2:A1818, ""&lt;="" &amp; A1818) &lt; 30, AVERAGEIF($C$2:C1818, C1818, $G$2:G1818), AVERAGE(FILTER($G$2:G1818, $C$2:C1818 = C1818, $A$2:A1818 &gt;= A1818 - 30)))
"),"#DIV/0!")</f>
        <v>#DIV/0!</v>
      </c>
      <c r="I1818" s="20" t="e">
        <f t="shared" ca="1" si="36"/>
        <v>#DIV/0!</v>
      </c>
      <c r="J1818" s="20" t="str">
        <f ca="1">IFERROR(__xludf.DUMMYFUNCTION("IF(OR($I1818=2, $I1818=3), 0, IFERROR(COUNTIFS($C$2:C1818, $C1818, $A$2:A1818, ""&gt;""&amp;IFERROR(MAX(FILTER($A$2:A1818, $C$2:C1818=$C1818, $I$2:I1818&lt;&gt;1)), 0), $I$2:I1818, 1),1))
"),"#DIV/0!")</f>
        <v>#DIV/0!</v>
      </c>
      <c r="K1818" s="7" t="e">
        <f t="shared" ca="1" si="37"/>
        <v>#DIV/0!</v>
      </c>
      <c r="L1818" s="20" t="e">
        <f t="shared" ca="1" si="38"/>
        <v>#DIV/0!</v>
      </c>
      <c r="M1818" s="21" t="e">
        <f t="shared" ca="1" si="39"/>
        <v>#DIV/0!</v>
      </c>
      <c r="N1818" s="20" t="str">
        <f ca="1">IFERROR(__xludf.DUMMYFUNCTION("IF(COUNTIFS($C$2:C1818, C1818, $A$2:A1818, ""&lt;="" &amp; A1818) &lt; 30, STDEV.P(FILTER($G$2:G1818, $C$2:C1818 = C1818)), STDEV.P(FILTER($G$2:G1818, $C$2:C1818 = C1818, $A$2:A1818 &gt;= A1818 - 30)))
"),"#DIV/0!")</f>
        <v>#DIV/0!</v>
      </c>
    </row>
    <row r="1819" spans="1:14" x14ac:dyDescent="0.2">
      <c r="A1819" s="41"/>
      <c r="B1819" s="40"/>
      <c r="C1819" s="40"/>
      <c r="D1819" s="31"/>
      <c r="E1819" s="31"/>
      <c r="F1819" s="31"/>
      <c r="G1819" s="19" t="e">
        <f t="shared" si="35"/>
        <v>#DIV/0!</v>
      </c>
      <c r="H1819" s="20" t="str">
        <f ca="1">IFERROR(__xludf.DUMMYFUNCTION("IF(COUNTIFS($C$2:C1819, C1819, $A$2:A1819, ""&lt;="" &amp; A1819) &lt; 30, AVERAGEIF($C$2:C1819, C1819, $G$2:G1819), AVERAGE(FILTER($G$2:G1819, $C$2:C1819 = C1819, $A$2:A1819 &gt;= A1819 - 30)))
"),"#DIV/0!")</f>
        <v>#DIV/0!</v>
      </c>
      <c r="I1819" s="20" t="e">
        <f t="shared" ca="1" si="36"/>
        <v>#DIV/0!</v>
      </c>
      <c r="J1819" s="20" t="str">
        <f ca="1">IFERROR(__xludf.DUMMYFUNCTION("IF(OR($I1819=2, $I1819=3), 0, IFERROR(COUNTIFS($C$2:C1819, $C1819, $A$2:A1819, ""&gt;""&amp;IFERROR(MAX(FILTER($A$2:A1819, $C$2:C1819=$C1819, $I$2:I1819&lt;&gt;1)), 0), $I$2:I1819, 1),1))
"),"#DIV/0!")</f>
        <v>#DIV/0!</v>
      </c>
      <c r="K1819" s="7" t="e">
        <f t="shared" ca="1" si="37"/>
        <v>#DIV/0!</v>
      </c>
      <c r="L1819" s="20" t="e">
        <f t="shared" ca="1" si="38"/>
        <v>#DIV/0!</v>
      </c>
      <c r="M1819" s="21" t="e">
        <f t="shared" ca="1" si="39"/>
        <v>#DIV/0!</v>
      </c>
      <c r="N1819" s="20" t="str">
        <f ca="1">IFERROR(__xludf.DUMMYFUNCTION("IF(COUNTIFS($C$2:C1819, C1819, $A$2:A1819, ""&lt;="" &amp; A1819) &lt; 30, STDEV.P(FILTER($G$2:G1819, $C$2:C1819 = C1819)), STDEV.P(FILTER($G$2:G1819, $C$2:C1819 = C1819, $A$2:A1819 &gt;= A1819 - 30)))
"),"#DIV/0!")</f>
        <v>#DIV/0!</v>
      </c>
    </row>
    <row r="1820" spans="1:14" x14ac:dyDescent="0.2">
      <c r="A1820" s="41"/>
      <c r="B1820" s="40"/>
      <c r="C1820" s="40"/>
      <c r="D1820" s="31"/>
      <c r="E1820" s="31"/>
      <c r="F1820" s="31"/>
      <c r="G1820" s="19" t="e">
        <f t="shared" si="35"/>
        <v>#DIV/0!</v>
      </c>
      <c r="H1820" s="20" t="str">
        <f ca="1">IFERROR(__xludf.DUMMYFUNCTION("IF(COUNTIFS($C$2:C1820, C1820, $A$2:A1820, ""&lt;="" &amp; A1820) &lt; 30, AVERAGEIF($C$2:C1820, C1820, $G$2:G1820), AVERAGE(FILTER($G$2:G1820, $C$2:C1820 = C1820, $A$2:A1820 &gt;= A1820 - 30)))
"),"#DIV/0!")</f>
        <v>#DIV/0!</v>
      </c>
      <c r="I1820" s="20" t="e">
        <f t="shared" ca="1" si="36"/>
        <v>#DIV/0!</v>
      </c>
      <c r="J1820" s="20" t="str">
        <f ca="1">IFERROR(__xludf.DUMMYFUNCTION("IF(OR($I1820=2, $I1820=3), 0, IFERROR(COUNTIFS($C$2:C1820, $C1820, $A$2:A1820, ""&gt;""&amp;IFERROR(MAX(FILTER($A$2:A1820, $C$2:C1820=$C1820, $I$2:I1820&lt;&gt;1)), 0), $I$2:I1820, 1),1))
"),"#DIV/0!")</f>
        <v>#DIV/0!</v>
      </c>
      <c r="K1820" s="7" t="e">
        <f t="shared" ca="1" si="37"/>
        <v>#DIV/0!</v>
      </c>
      <c r="L1820" s="20" t="e">
        <f t="shared" ca="1" si="38"/>
        <v>#DIV/0!</v>
      </c>
      <c r="M1820" s="21" t="e">
        <f t="shared" ca="1" si="39"/>
        <v>#DIV/0!</v>
      </c>
      <c r="N1820" s="20" t="str">
        <f ca="1">IFERROR(__xludf.DUMMYFUNCTION("IF(COUNTIFS($C$2:C1820, C1820, $A$2:A1820, ""&lt;="" &amp; A1820) &lt; 30, STDEV.P(FILTER($G$2:G1820, $C$2:C1820 = C1820)), STDEV.P(FILTER($G$2:G1820, $C$2:C1820 = C1820, $A$2:A1820 &gt;= A1820 - 30)))
"),"#DIV/0!")</f>
        <v>#DIV/0!</v>
      </c>
    </row>
    <row r="1821" spans="1:14" x14ac:dyDescent="0.2">
      <c r="A1821" s="41"/>
      <c r="B1821" s="40"/>
      <c r="C1821" s="40"/>
      <c r="D1821" s="31"/>
      <c r="E1821" s="31"/>
      <c r="F1821" s="31"/>
      <c r="G1821" s="19" t="e">
        <f t="shared" si="35"/>
        <v>#DIV/0!</v>
      </c>
      <c r="H1821" s="20" t="str">
        <f ca="1">IFERROR(__xludf.DUMMYFUNCTION("IF(COUNTIFS($C$2:C1821, C1821, $A$2:A1821, ""&lt;="" &amp; A1821) &lt; 30, AVERAGEIF($C$2:C1821, C1821, $G$2:G1821), AVERAGE(FILTER($G$2:G1821, $C$2:C1821 = C1821, $A$2:A1821 &gt;= A1821 - 30)))
"),"#DIV/0!")</f>
        <v>#DIV/0!</v>
      </c>
      <c r="I1821" s="20" t="e">
        <f t="shared" ca="1" si="36"/>
        <v>#DIV/0!</v>
      </c>
      <c r="J1821" s="20" t="str">
        <f ca="1">IFERROR(__xludf.DUMMYFUNCTION("IF(OR($I1821=2, $I1821=3), 0, IFERROR(COUNTIFS($C$2:C1821, $C1821, $A$2:A1821, ""&gt;""&amp;IFERROR(MAX(FILTER($A$2:A1821, $C$2:C1821=$C1821, $I$2:I1821&lt;&gt;1)), 0), $I$2:I1821, 1),1))
"),"#DIV/0!")</f>
        <v>#DIV/0!</v>
      </c>
      <c r="K1821" s="7" t="e">
        <f t="shared" ca="1" si="37"/>
        <v>#DIV/0!</v>
      </c>
      <c r="L1821" s="20" t="e">
        <f t="shared" ca="1" si="38"/>
        <v>#DIV/0!</v>
      </c>
      <c r="M1821" s="21" t="e">
        <f t="shared" ca="1" si="39"/>
        <v>#DIV/0!</v>
      </c>
      <c r="N1821" s="20" t="str">
        <f ca="1">IFERROR(__xludf.DUMMYFUNCTION("IF(COUNTIFS($C$2:C1821, C1821, $A$2:A1821, ""&lt;="" &amp; A1821) &lt; 30, STDEV.P(FILTER($G$2:G1821, $C$2:C1821 = C1821)), STDEV.P(FILTER($G$2:G1821, $C$2:C1821 = C1821, $A$2:A1821 &gt;= A1821 - 30)))
"),"#DIV/0!")</f>
        <v>#DIV/0!</v>
      </c>
    </row>
    <row r="1822" spans="1:14" x14ac:dyDescent="0.2">
      <c r="A1822" s="41"/>
      <c r="B1822" s="40"/>
      <c r="C1822" s="40"/>
      <c r="D1822" s="31"/>
      <c r="E1822" s="31"/>
      <c r="F1822" s="31"/>
      <c r="G1822" s="19" t="e">
        <f t="shared" si="35"/>
        <v>#DIV/0!</v>
      </c>
      <c r="H1822" s="20" t="str">
        <f ca="1">IFERROR(__xludf.DUMMYFUNCTION("IF(COUNTIFS($C$2:C1822, C1822, $A$2:A1822, ""&lt;="" &amp; A1822) &lt; 30, AVERAGEIF($C$2:C1822, C1822, $G$2:G1822), AVERAGE(FILTER($G$2:G1822, $C$2:C1822 = C1822, $A$2:A1822 &gt;= A1822 - 30)))
"),"#DIV/0!")</f>
        <v>#DIV/0!</v>
      </c>
      <c r="I1822" s="20" t="e">
        <f t="shared" ca="1" si="36"/>
        <v>#DIV/0!</v>
      </c>
      <c r="J1822" s="20" t="str">
        <f ca="1">IFERROR(__xludf.DUMMYFUNCTION("IF(OR($I1822=2, $I1822=3), 0, IFERROR(COUNTIFS($C$2:C1822, $C1822, $A$2:A1822, ""&gt;""&amp;IFERROR(MAX(FILTER($A$2:A1822, $C$2:C1822=$C1822, $I$2:I1822&lt;&gt;1)), 0), $I$2:I1822, 1),1))
"),"#DIV/0!")</f>
        <v>#DIV/0!</v>
      </c>
      <c r="K1822" s="7" t="e">
        <f t="shared" ca="1" si="37"/>
        <v>#DIV/0!</v>
      </c>
      <c r="L1822" s="20" t="e">
        <f t="shared" ca="1" si="38"/>
        <v>#DIV/0!</v>
      </c>
      <c r="M1822" s="21" t="e">
        <f t="shared" ca="1" si="39"/>
        <v>#DIV/0!</v>
      </c>
      <c r="N1822" s="20" t="str">
        <f ca="1">IFERROR(__xludf.DUMMYFUNCTION("IF(COUNTIFS($C$2:C1822, C1822, $A$2:A1822, ""&lt;="" &amp; A1822) &lt; 30, STDEV.P(FILTER($G$2:G1822, $C$2:C1822 = C1822)), STDEV.P(FILTER($G$2:G1822, $C$2:C1822 = C1822, $A$2:A1822 &gt;= A1822 - 30)))
"),"#DIV/0!")</f>
        <v>#DIV/0!</v>
      </c>
    </row>
    <row r="1823" spans="1:14" x14ac:dyDescent="0.2">
      <c r="A1823" s="41"/>
      <c r="B1823" s="40"/>
      <c r="C1823" s="40"/>
      <c r="D1823" s="31"/>
      <c r="E1823" s="31"/>
      <c r="F1823" s="31"/>
      <c r="G1823" s="19" t="e">
        <f t="shared" si="35"/>
        <v>#DIV/0!</v>
      </c>
      <c r="H1823" s="20" t="str">
        <f ca="1">IFERROR(__xludf.DUMMYFUNCTION("IF(COUNTIFS($C$2:C1823, C1823, $A$2:A1823, ""&lt;="" &amp; A1823) &lt; 30, AVERAGEIF($C$2:C1823, C1823, $G$2:G1823), AVERAGE(FILTER($G$2:G1823, $C$2:C1823 = C1823, $A$2:A1823 &gt;= A1823 - 30)))
"),"#DIV/0!")</f>
        <v>#DIV/0!</v>
      </c>
      <c r="I1823" s="20" t="e">
        <f t="shared" ca="1" si="36"/>
        <v>#DIV/0!</v>
      </c>
      <c r="J1823" s="20" t="str">
        <f ca="1">IFERROR(__xludf.DUMMYFUNCTION("IF(OR($I1823=2, $I1823=3), 0, IFERROR(COUNTIFS($C$2:C1823, $C1823, $A$2:A1823, ""&gt;""&amp;IFERROR(MAX(FILTER($A$2:A1823, $C$2:C1823=$C1823, $I$2:I1823&lt;&gt;1)), 0), $I$2:I1823, 1),1))
"),"#DIV/0!")</f>
        <v>#DIV/0!</v>
      </c>
      <c r="K1823" s="7" t="e">
        <f t="shared" ca="1" si="37"/>
        <v>#DIV/0!</v>
      </c>
      <c r="L1823" s="20" t="e">
        <f t="shared" ca="1" si="38"/>
        <v>#DIV/0!</v>
      </c>
      <c r="M1823" s="21" t="e">
        <f t="shared" ca="1" si="39"/>
        <v>#DIV/0!</v>
      </c>
      <c r="N1823" s="20" t="str">
        <f ca="1">IFERROR(__xludf.DUMMYFUNCTION("IF(COUNTIFS($C$2:C1823, C1823, $A$2:A1823, ""&lt;="" &amp; A1823) &lt; 30, STDEV.P(FILTER($G$2:G1823, $C$2:C1823 = C1823)), STDEV.P(FILTER($G$2:G1823, $C$2:C1823 = C1823, $A$2:A1823 &gt;= A1823 - 30)))
"),"#DIV/0!")</f>
        <v>#DIV/0!</v>
      </c>
    </row>
    <row r="1824" spans="1:14" x14ac:dyDescent="0.2">
      <c r="A1824" s="41"/>
      <c r="B1824" s="40"/>
      <c r="C1824" s="40"/>
      <c r="D1824" s="31"/>
      <c r="E1824" s="31"/>
      <c r="F1824" s="31"/>
      <c r="G1824" s="19" t="e">
        <f t="shared" si="35"/>
        <v>#DIV/0!</v>
      </c>
      <c r="H1824" s="20" t="str">
        <f ca="1">IFERROR(__xludf.DUMMYFUNCTION("IF(COUNTIFS($C$2:C1824, C1824, $A$2:A1824, ""&lt;="" &amp; A1824) &lt; 30, AVERAGEIF($C$2:C1824, C1824, $G$2:G1824), AVERAGE(FILTER($G$2:G1824, $C$2:C1824 = C1824, $A$2:A1824 &gt;= A1824 - 30)))
"),"#DIV/0!")</f>
        <v>#DIV/0!</v>
      </c>
      <c r="I1824" s="20" t="e">
        <f t="shared" ca="1" si="36"/>
        <v>#DIV/0!</v>
      </c>
      <c r="J1824" s="20" t="str">
        <f ca="1">IFERROR(__xludf.DUMMYFUNCTION("IF(OR($I1824=2, $I1824=3), 0, IFERROR(COUNTIFS($C$2:C1824, $C1824, $A$2:A1824, ""&gt;""&amp;IFERROR(MAX(FILTER($A$2:A1824, $C$2:C1824=$C1824, $I$2:I1824&lt;&gt;1)), 0), $I$2:I1824, 1),1))
"),"#DIV/0!")</f>
        <v>#DIV/0!</v>
      </c>
      <c r="K1824" s="7" t="e">
        <f t="shared" ca="1" si="37"/>
        <v>#DIV/0!</v>
      </c>
      <c r="L1824" s="20" t="e">
        <f t="shared" ca="1" si="38"/>
        <v>#DIV/0!</v>
      </c>
      <c r="M1824" s="21" t="e">
        <f t="shared" ca="1" si="39"/>
        <v>#DIV/0!</v>
      </c>
      <c r="N1824" s="20" t="str">
        <f ca="1">IFERROR(__xludf.DUMMYFUNCTION("IF(COUNTIFS($C$2:C1824, C1824, $A$2:A1824, ""&lt;="" &amp; A1824) &lt; 30, STDEV.P(FILTER($G$2:G1824, $C$2:C1824 = C1824)), STDEV.P(FILTER($G$2:G1824, $C$2:C1824 = C1824, $A$2:A1824 &gt;= A1824 - 30)))
"),"#DIV/0!")</f>
        <v>#DIV/0!</v>
      </c>
    </row>
    <row r="1825" spans="1:14" x14ac:dyDescent="0.2">
      <c r="A1825" s="41"/>
      <c r="B1825" s="40"/>
      <c r="C1825" s="40"/>
      <c r="D1825" s="31"/>
      <c r="E1825" s="31"/>
      <c r="F1825" s="31"/>
      <c r="G1825" s="19" t="e">
        <f t="shared" si="35"/>
        <v>#DIV/0!</v>
      </c>
      <c r="H1825" s="20" t="str">
        <f ca="1">IFERROR(__xludf.DUMMYFUNCTION("IF(COUNTIFS($C$2:C1825, C1825, $A$2:A1825, ""&lt;="" &amp; A1825) &lt; 30, AVERAGEIF($C$2:C1825, C1825, $G$2:G1825), AVERAGE(FILTER($G$2:G1825, $C$2:C1825 = C1825, $A$2:A1825 &gt;= A1825 - 30)))
"),"#DIV/0!")</f>
        <v>#DIV/0!</v>
      </c>
      <c r="I1825" s="20" t="e">
        <f t="shared" ca="1" si="36"/>
        <v>#DIV/0!</v>
      </c>
      <c r="J1825" s="20" t="str">
        <f ca="1">IFERROR(__xludf.DUMMYFUNCTION("IF(OR($I1825=2, $I1825=3), 0, IFERROR(COUNTIFS($C$2:C1825, $C1825, $A$2:A1825, ""&gt;""&amp;IFERROR(MAX(FILTER($A$2:A1825, $C$2:C1825=$C1825, $I$2:I1825&lt;&gt;1)), 0), $I$2:I1825, 1),1))
"),"#DIV/0!")</f>
        <v>#DIV/0!</v>
      </c>
      <c r="K1825" s="7" t="e">
        <f t="shared" ca="1" si="37"/>
        <v>#DIV/0!</v>
      </c>
      <c r="L1825" s="20" t="e">
        <f t="shared" ca="1" si="38"/>
        <v>#DIV/0!</v>
      </c>
      <c r="M1825" s="21" t="e">
        <f t="shared" ca="1" si="39"/>
        <v>#DIV/0!</v>
      </c>
      <c r="N1825" s="20" t="str">
        <f ca="1">IFERROR(__xludf.DUMMYFUNCTION("IF(COUNTIFS($C$2:C1825, C1825, $A$2:A1825, ""&lt;="" &amp; A1825) &lt; 30, STDEV.P(FILTER($G$2:G1825, $C$2:C1825 = C1825)), STDEV.P(FILTER($G$2:G1825, $C$2:C1825 = C1825, $A$2:A1825 &gt;= A1825 - 30)))
"),"#DIV/0!")</f>
        <v>#DIV/0!</v>
      </c>
    </row>
    <row r="1826" spans="1:14" x14ac:dyDescent="0.2">
      <c r="A1826" s="41"/>
      <c r="B1826" s="40"/>
      <c r="C1826" s="40"/>
      <c r="D1826" s="31"/>
      <c r="E1826" s="31"/>
      <c r="F1826" s="31"/>
      <c r="G1826" s="19" t="e">
        <f t="shared" si="35"/>
        <v>#DIV/0!</v>
      </c>
      <c r="H1826" s="20" t="str">
        <f ca="1">IFERROR(__xludf.DUMMYFUNCTION("IF(COUNTIFS($C$2:C1826, C1826, $A$2:A1826, ""&lt;="" &amp; A1826) &lt; 30, AVERAGEIF($C$2:C1826, C1826, $G$2:G1826), AVERAGE(FILTER($G$2:G1826, $C$2:C1826 = C1826, $A$2:A1826 &gt;= A1826 - 30)))
"),"#DIV/0!")</f>
        <v>#DIV/0!</v>
      </c>
      <c r="I1826" s="20" t="e">
        <f t="shared" ca="1" si="36"/>
        <v>#DIV/0!</v>
      </c>
      <c r="J1826" s="20" t="str">
        <f ca="1">IFERROR(__xludf.DUMMYFUNCTION("IF(OR($I1826=2, $I1826=3), 0, IFERROR(COUNTIFS($C$2:C1826, $C1826, $A$2:A1826, ""&gt;""&amp;IFERROR(MAX(FILTER($A$2:A1826, $C$2:C1826=$C1826, $I$2:I1826&lt;&gt;1)), 0), $I$2:I1826, 1),1))
"),"#DIV/0!")</f>
        <v>#DIV/0!</v>
      </c>
      <c r="K1826" s="7" t="e">
        <f t="shared" ca="1" si="37"/>
        <v>#DIV/0!</v>
      </c>
      <c r="L1826" s="20" t="e">
        <f t="shared" ca="1" si="38"/>
        <v>#DIV/0!</v>
      </c>
      <c r="M1826" s="21" t="e">
        <f t="shared" ca="1" si="39"/>
        <v>#DIV/0!</v>
      </c>
      <c r="N1826" s="20" t="str">
        <f ca="1">IFERROR(__xludf.DUMMYFUNCTION("IF(COUNTIFS($C$2:C1826, C1826, $A$2:A1826, ""&lt;="" &amp; A1826) &lt; 30, STDEV.P(FILTER($G$2:G1826, $C$2:C1826 = C1826)), STDEV.P(FILTER($G$2:G1826, $C$2:C1826 = C1826, $A$2:A1826 &gt;= A1826 - 30)))
"),"#DIV/0!")</f>
        <v>#DIV/0!</v>
      </c>
    </row>
    <row r="1827" spans="1:14" x14ac:dyDescent="0.2">
      <c r="A1827" s="41"/>
      <c r="B1827" s="40"/>
      <c r="C1827" s="40"/>
      <c r="D1827" s="31"/>
      <c r="E1827" s="31"/>
      <c r="F1827" s="31"/>
      <c r="G1827" s="19" t="e">
        <f t="shared" si="35"/>
        <v>#DIV/0!</v>
      </c>
      <c r="H1827" s="20" t="str">
        <f ca="1">IFERROR(__xludf.DUMMYFUNCTION("IF(COUNTIFS($C$2:C1827, C1827, $A$2:A1827, ""&lt;="" &amp; A1827) &lt; 30, AVERAGEIF($C$2:C1827, C1827, $G$2:G1827), AVERAGE(FILTER($G$2:G1827, $C$2:C1827 = C1827, $A$2:A1827 &gt;= A1827 - 30)))
"),"#DIV/0!")</f>
        <v>#DIV/0!</v>
      </c>
      <c r="I1827" s="20" t="e">
        <f t="shared" ca="1" si="36"/>
        <v>#DIV/0!</v>
      </c>
      <c r="J1827" s="20" t="str">
        <f ca="1">IFERROR(__xludf.DUMMYFUNCTION("IF(OR($I1827=2, $I1827=3), 0, IFERROR(COUNTIFS($C$2:C1827, $C1827, $A$2:A1827, ""&gt;""&amp;IFERROR(MAX(FILTER($A$2:A1827, $C$2:C1827=$C1827, $I$2:I1827&lt;&gt;1)), 0), $I$2:I1827, 1),1))
"),"#DIV/0!")</f>
        <v>#DIV/0!</v>
      </c>
      <c r="K1827" s="7" t="e">
        <f t="shared" ca="1" si="37"/>
        <v>#DIV/0!</v>
      </c>
      <c r="L1827" s="20" t="e">
        <f t="shared" ca="1" si="38"/>
        <v>#DIV/0!</v>
      </c>
      <c r="M1827" s="21" t="e">
        <f t="shared" ca="1" si="39"/>
        <v>#DIV/0!</v>
      </c>
      <c r="N1827" s="20" t="str">
        <f ca="1">IFERROR(__xludf.DUMMYFUNCTION("IF(COUNTIFS($C$2:C1827, C1827, $A$2:A1827, ""&lt;="" &amp; A1827) &lt; 30, STDEV.P(FILTER($G$2:G1827, $C$2:C1827 = C1827)), STDEV.P(FILTER($G$2:G1827, $C$2:C1827 = C1827, $A$2:A1827 &gt;= A1827 - 30)))
"),"#DIV/0!")</f>
        <v>#DIV/0!</v>
      </c>
    </row>
    <row r="1828" spans="1:14" x14ac:dyDescent="0.2">
      <c r="A1828" s="41"/>
      <c r="B1828" s="40"/>
      <c r="C1828" s="40"/>
      <c r="D1828" s="31"/>
      <c r="E1828" s="31"/>
      <c r="F1828" s="31"/>
      <c r="G1828" s="19" t="e">
        <f t="shared" si="35"/>
        <v>#DIV/0!</v>
      </c>
      <c r="H1828" s="20" t="str">
        <f ca="1">IFERROR(__xludf.DUMMYFUNCTION("IF(COUNTIFS($C$2:C1828, C1828, $A$2:A1828, ""&lt;="" &amp; A1828) &lt; 30, AVERAGEIF($C$2:C1828, C1828, $G$2:G1828), AVERAGE(FILTER($G$2:G1828, $C$2:C1828 = C1828, $A$2:A1828 &gt;= A1828 - 30)))
"),"#DIV/0!")</f>
        <v>#DIV/0!</v>
      </c>
      <c r="I1828" s="20" t="e">
        <f t="shared" ca="1" si="36"/>
        <v>#DIV/0!</v>
      </c>
      <c r="J1828" s="20" t="str">
        <f ca="1">IFERROR(__xludf.DUMMYFUNCTION("IF(OR($I1828=2, $I1828=3), 0, IFERROR(COUNTIFS($C$2:C1828, $C1828, $A$2:A1828, ""&gt;""&amp;IFERROR(MAX(FILTER($A$2:A1828, $C$2:C1828=$C1828, $I$2:I1828&lt;&gt;1)), 0), $I$2:I1828, 1),1))
"),"#DIV/0!")</f>
        <v>#DIV/0!</v>
      </c>
      <c r="K1828" s="7" t="e">
        <f t="shared" ca="1" si="37"/>
        <v>#DIV/0!</v>
      </c>
      <c r="L1828" s="20" t="e">
        <f t="shared" ca="1" si="38"/>
        <v>#DIV/0!</v>
      </c>
      <c r="M1828" s="21" t="e">
        <f t="shared" ca="1" si="39"/>
        <v>#DIV/0!</v>
      </c>
      <c r="N1828" s="20" t="str">
        <f ca="1">IFERROR(__xludf.DUMMYFUNCTION("IF(COUNTIFS($C$2:C1828, C1828, $A$2:A1828, ""&lt;="" &amp; A1828) &lt; 30, STDEV.P(FILTER($G$2:G1828, $C$2:C1828 = C1828)), STDEV.P(FILTER($G$2:G1828, $C$2:C1828 = C1828, $A$2:A1828 &gt;= A1828 - 30)))
"),"#DIV/0!")</f>
        <v>#DIV/0!</v>
      </c>
    </row>
    <row r="1829" spans="1:14" x14ac:dyDescent="0.2">
      <c r="A1829" s="41"/>
      <c r="B1829" s="40"/>
      <c r="C1829" s="40"/>
      <c r="D1829" s="31"/>
      <c r="E1829" s="31"/>
      <c r="F1829" s="31"/>
      <c r="G1829" s="19" t="e">
        <f t="shared" si="35"/>
        <v>#DIV/0!</v>
      </c>
      <c r="H1829" s="20" t="str">
        <f ca="1">IFERROR(__xludf.DUMMYFUNCTION("IF(COUNTIFS($C$2:C1829, C1829, $A$2:A1829, ""&lt;="" &amp; A1829) &lt; 30, AVERAGEIF($C$2:C1829, C1829, $G$2:G1829), AVERAGE(FILTER($G$2:G1829, $C$2:C1829 = C1829, $A$2:A1829 &gt;= A1829 - 30)))
"),"#DIV/0!")</f>
        <v>#DIV/0!</v>
      </c>
      <c r="I1829" s="20" t="e">
        <f t="shared" ca="1" si="36"/>
        <v>#DIV/0!</v>
      </c>
      <c r="J1829" s="20" t="str">
        <f ca="1">IFERROR(__xludf.DUMMYFUNCTION("IF(OR($I1829=2, $I1829=3), 0, IFERROR(COUNTIFS($C$2:C1829, $C1829, $A$2:A1829, ""&gt;""&amp;IFERROR(MAX(FILTER($A$2:A1829, $C$2:C1829=$C1829, $I$2:I1829&lt;&gt;1)), 0), $I$2:I1829, 1),1))
"),"#DIV/0!")</f>
        <v>#DIV/0!</v>
      </c>
      <c r="K1829" s="7" t="e">
        <f t="shared" ca="1" si="37"/>
        <v>#DIV/0!</v>
      </c>
      <c r="L1829" s="20" t="e">
        <f t="shared" ca="1" si="38"/>
        <v>#DIV/0!</v>
      </c>
      <c r="M1829" s="21" t="e">
        <f t="shared" ca="1" si="39"/>
        <v>#DIV/0!</v>
      </c>
      <c r="N1829" s="20" t="str">
        <f ca="1">IFERROR(__xludf.DUMMYFUNCTION("IF(COUNTIFS($C$2:C1829, C1829, $A$2:A1829, ""&lt;="" &amp; A1829) &lt; 30, STDEV.P(FILTER($G$2:G1829, $C$2:C1829 = C1829)), STDEV.P(FILTER($G$2:G1829, $C$2:C1829 = C1829, $A$2:A1829 &gt;= A1829 - 30)))
"),"#DIV/0!")</f>
        <v>#DIV/0!</v>
      </c>
    </row>
    <row r="1830" spans="1:14" x14ac:dyDescent="0.2">
      <c r="A1830" s="41"/>
      <c r="B1830" s="40"/>
      <c r="C1830" s="40"/>
      <c r="D1830" s="31"/>
      <c r="E1830" s="31"/>
      <c r="F1830" s="31"/>
      <c r="G1830" s="19" t="e">
        <f t="shared" si="35"/>
        <v>#DIV/0!</v>
      </c>
      <c r="H1830" s="20" t="str">
        <f ca="1">IFERROR(__xludf.DUMMYFUNCTION("IF(COUNTIFS($C$2:C1830, C1830, $A$2:A1830, ""&lt;="" &amp; A1830) &lt; 30, AVERAGEIF($C$2:C1830, C1830, $G$2:G1830), AVERAGE(FILTER($G$2:G1830, $C$2:C1830 = C1830, $A$2:A1830 &gt;= A1830 - 30)))
"),"#DIV/0!")</f>
        <v>#DIV/0!</v>
      </c>
      <c r="I1830" s="20" t="e">
        <f t="shared" ca="1" si="36"/>
        <v>#DIV/0!</v>
      </c>
      <c r="J1830" s="20" t="str">
        <f ca="1">IFERROR(__xludf.DUMMYFUNCTION("IF(OR($I1830=2, $I1830=3), 0, IFERROR(COUNTIFS($C$2:C1830, $C1830, $A$2:A1830, ""&gt;""&amp;IFERROR(MAX(FILTER($A$2:A1830, $C$2:C1830=$C1830, $I$2:I1830&lt;&gt;1)), 0), $I$2:I1830, 1),1))
"),"#DIV/0!")</f>
        <v>#DIV/0!</v>
      </c>
      <c r="K1830" s="7" t="e">
        <f t="shared" ca="1" si="37"/>
        <v>#DIV/0!</v>
      </c>
      <c r="L1830" s="20" t="e">
        <f t="shared" ca="1" si="38"/>
        <v>#DIV/0!</v>
      </c>
      <c r="M1830" s="21" t="e">
        <f t="shared" ca="1" si="39"/>
        <v>#DIV/0!</v>
      </c>
      <c r="N1830" s="20" t="str">
        <f ca="1">IFERROR(__xludf.DUMMYFUNCTION("IF(COUNTIFS($C$2:C1830, C1830, $A$2:A1830, ""&lt;="" &amp; A1830) &lt; 30, STDEV.P(FILTER($G$2:G1830, $C$2:C1830 = C1830)), STDEV.P(FILTER($G$2:G1830, $C$2:C1830 = C1830, $A$2:A1830 &gt;= A1830 - 30)))
"),"#DIV/0!")</f>
        <v>#DIV/0!</v>
      </c>
    </row>
    <row r="1831" spans="1:14" x14ac:dyDescent="0.2">
      <c r="A1831" s="41"/>
      <c r="B1831" s="40"/>
      <c r="C1831" s="40"/>
      <c r="D1831" s="31"/>
      <c r="E1831" s="31"/>
      <c r="F1831" s="31"/>
      <c r="G1831" s="19" t="e">
        <f t="shared" si="35"/>
        <v>#DIV/0!</v>
      </c>
      <c r="H1831" s="20" t="str">
        <f ca="1">IFERROR(__xludf.DUMMYFUNCTION("IF(COUNTIFS($C$2:C1831, C1831, $A$2:A1831, ""&lt;="" &amp; A1831) &lt; 30, AVERAGEIF($C$2:C1831, C1831, $G$2:G1831), AVERAGE(FILTER($G$2:G1831, $C$2:C1831 = C1831, $A$2:A1831 &gt;= A1831 - 30)))
"),"#DIV/0!")</f>
        <v>#DIV/0!</v>
      </c>
      <c r="I1831" s="20" t="e">
        <f t="shared" ca="1" si="36"/>
        <v>#DIV/0!</v>
      </c>
      <c r="J1831" s="20" t="str">
        <f ca="1">IFERROR(__xludf.DUMMYFUNCTION("IF(OR($I1831=2, $I1831=3), 0, IFERROR(COUNTIFS($C$2:C1831, $C1831, $A$2:A1831, ""&gt;""&amp;IFERROR(MAX(FILTER($A$2:A1831, $C$2:C1831=$C1831, $I$2:I1831&lt;&gt;1)), 0), $I$2:I1831, 1),1))
"),"#DIV/0!")</f>
        <v>#DIV/0!</v>
      </c>
      <c r="K1831" s="7" t="e">
        <f t="shared" ca="1" si="37"/>
        <v>#DIV/0!</v>
      </c>
      <c r="L1831" s="20" t="e">
        <f t="shared" ca="1" si="38"/>
        <v>#DIV/0!</v>
      </c>
      <c r="M1831" s="21" t="e">
        <f t="shared" ca="1" si="39"/>
        <v>#DIV/0!</v>
      </c>
      <c r="N1831" s="20" t="str">
        <f ca="1">IFERROR(__xludf.DUMMYFUNCTION("IF(COUNTIFS($C$2:C1831, C1831, $A$2:A1831, ""&lt;="" &amp; A1831) &lt; 30, STDEV.P(FILTER($G$2:G1831, $C$2:C1831 = C1831)), STDEV.P(FILTER($G$2:G1831, $C$2:C1831 = C1831, $A$2:A1831 &gt;= A1831 - 30)))
"),"#DIV/0!")</f>
        <v>#DIV/0!</v>
      </c>
    </row>
    <row r="1832" spans="1:14" x14ac:dyDescent="0.2">
      <c r="A1832" s="41"/>
      <c r="B1832" s="40"/>
      <c r="C1832" s="40"/>
      <c r="D1832" s="31"/>
      <c r="E1832" s="31"/>
      <c r="F1832" s="31"/>
      <c r="G1832" s="19" t="e">
        <f t="shared" si="35"/>
        <v>#DIV/0!</v>
      </c>
      <c r="H1832" s="20" t="str">
        <f ca="1">IFERROR(__xludf.DUMMYFUNCTION("IF(COUNTIFS($C$2:C1832, C1832, $A$2:A1832, ""&lt;="" &amp; A1832) &lt; 30, AVERAGEIF($C$2:C1832, C1832, $G$2:G1832), AVERAGE(FILTER($G$2:G1832, $C$2:C1832 = C1832, $A$2:A1832 &gt;= A1832 - 30)))
"),"#DIV/0!")</f>
        <v>#DIV/0!</v>
      </c>
      <c r="I1832" s="20" t="e">
        <f t="shared" ca="1" si="36"/>
        <v>#DIV/0!</v>
      </c>
      <c r="J1832" s="20" t="str">
        <f ca="1">IFERROR(__xludf.DUMMYFUNCTION("IF(OR($I1832=2, $I1832=3), 0, IFERROR(COUNTIFS($C$2:C1832, $C1832, $A$2:A1832, ""&gt;""&amp;IFERROR(MAX(FILTER($A$2:A1832, $C$2:C1832=$C1832, $I$2:I1832&lt;&gt;1)), 0), $I$2:I1832, 1),1))
"),"#DIV/0!")</f>
        <v>#DIV/0!</v>
      </c>
      <c r="K1832" s="7" t="e">
        <f t="shared" ca="1" si="37"/>
        <v>#DIV/0!</v>
      </c>
      <c r="L1832" s="20" t="e">
        <f t="shared" ca="1" si="38"/>
        <v>#DIV/0!</v>
      </c>
      <c r="M1832" s="21" t="e">
        <f t="shared" ca="1" si="39"/>
        <v>#DIV/0!</v>
      </c>
      <c r="N1832" s="20" t="str">
        <f ca="1">IFERROR(__xludf.DUMMYFUNCTION("IF(COUNTIFS($C$2:C1832, C1832, $A$2:A1832, ""&lt;="" &amp; A1832) &lt; 30, STDEV.P(FILTER($G$2:G1832, $C$2:C1832 = C1832)), STDEV.P(FILTER($G$2:G1832, $C$2:C1832 = C1832, $A$2:A1832 &gt;= A1832 - 30)))
"),"#DIV/0!")</f>
        <v>#DIV/0!</v>
      </c>
    </row>
    <row r="1833" spans="1:14" x14ac:dyDescent="0.2">
      <c r="A1833" s="41"/>
      <c r="B1833" s="40"/>
      <c r="C1833" s="40"/>
      <c r="D1833" s="31"/>
      <c r="E1833" s="31"/>
      <c r="F1833" s="31"/>
      <c r="G1833" s="19" t="e">
        <f t="shared" si="35"/>
        <v>#DIV/0!</v>
      </c>
      <c r="H1833" s="20" t="str">
        <f ca="1">IFERROR(__xludf.DUMMYFUNCTION("IF(COUNTIFS($C$2:C1833, C1833, $A$2:A1833, ""&lt;="" &amp; A1833) &lt; 30, AVERAGEIF($C$2:C1833, C1833, $G$2:G1833), AVERAGE(FILTER($G$2:G1833, $C$2:C1833 = C1833, $A$2:A1833 &gt;= A1833 - 30)))
"),"#DIV/0!")</f>
        <v>#DIV/0!</v>
      </c>
      <c r="I1833" s="20" t="e">
        <f t="shared" ca="1" si="36"/>
        <v>#DIV/0!</v>
      </c>
      <c r="J1833" s="20" t="str">
        <f ca="1">IFERROR(__xludf.DUMMYFUNCTION("IF(OR($I1833=2, $I1833=3), 0, IFERROR(COUNTIFS($C$2:C1833, $C1833, $A$2:A1833, ""&gt;""&amp;IFERROR(MAX(FILTER($A$2:A1833, $C$2:C1833=$C1833, $I$2:I1833&lt;&gt;1)), 0), $I$2:I1833, 1),1))
"),"#DIV/0!")</f>
        <v>#DIV/0!</v>
      </c>
      <c r="K1833" s="7" t="e">
        <f t="shared" ca="1" si="37"/>
        <v>#DIV/0!</v>
      </c>
      <c r="L1833" s="20" t="e">
        <f t="shared" ca="1" si="38"/>
        <v>#DIV/0!</v>
      </c>
      <c r="M1833" s="21" t="e">
        <f t="shared" ca="1" si="39"/>
        <v>#DIV/0!</v>
      </c>
      <c r="N1833" s="20" t="str">
        <f ca="1">IFERROR(__xludf.DUMMYFUNCTION("IF(COUNTIFS($C$2:C1833, C1833, $A$2:A1833, ""&lt;="" &amp; A1833) &lt; 30, STDEV.P(FILTER($G$2:G1833, $C$2:C1833 = C1833)), STDEV.P(FILTER($G$2:G1833, $C$2:C1833 = C1833, $A$2:A1833 &gt;= A1833 - 30)))
"),"#DIV/0!")</f>
        <v>#DIV/0!</v>
      </c>
    </row>
    <row r="1834" spans="1:14" x14ac:dyDescent="0.2">
      <c r="A1834" s="41"/>
      <c r="B1834" s="40"/>
      <c r="C1834" s="40"/>
      <c r="D1834" s="31"/>
      <c r="E1834" s="31"/>
      <c r="F1834" s="31"/>
      <c r="G1834" s="19" t="e">
        <f t="shared" si="35"/>
        <v>#DIV/0!</v>
      </c>
      <c r="H1834" s="20" t="str">
        <f ca="1">IFERROR(__xludf.DUMMYFUNCTION("IF(COUNTIFS($C$2:C1834, C1834, $A$2:A1834, ""&lt;="" &amp; A1834) &lt; 30, AVERAGEIF($C$2:C1834, C1834, $G$2:G1834), AVERAGE(FILTER($G$2:G1834, $C$2:C1834 = C1834, $A$2:A1834 &gt;= A1834 - 30)))
"),"#DIV/0!")</f>
        <v>#DIV/0!</v>
      </c>
      <c r="I1834" s="20" t="e">
        <f t="shared" ca="1" si="36"/>
        <v>#DIV/0!</v>
      </c>
      <c r="J1834" s="20" t="str">
        <f ca="1">IFERROR(__xludf.DUMMYFUNCTION("IF(OR($I1834=2, $I1834=3), 0, IFERROR(COUNTIFS($C$2:C1834, $C1834, $A$2:A1834, ""&gt;""&amp;IFERROR(MAX(FILTER($A$2:A1834, $C$2:C1834=$C1834, $I$2:I1834&lt;&gt;1)), 0), $I$2:I1834, 1),1))
"),"#DIV/0!")</f>
        <v>#DIV/0!</v>
      </c>
      <c r="K1834" s="7" t="e">
        <f t="shared" ca="1" si="37"/>
        <v>#DIV/0!</v>
      </c>
      <c r="L1834" s="20" t="e">
        <f t="shared" ca="1" si="38"/>
        <v>#DIV/0!</v>
      </c>
      <c r="M1834" s="21" t="e">
        <f t="shared" ca="1" si="39"/>
        <v>#DIV/0!</v>
      </c>
      <c r="N1834" s="20" t="str">
        <f ca="1">IFERROR(__xludf.DUMMYFUNCTION("IF(COUNTIFS($C$2:C1834, C1834, $A$2:A1834, ""&lt;="" &amp; A1834) &lt; 30, STDEV.P(FILTER($G$2:G1834, $C$2:C1834 = C1834)), STDEV.P(FILTER($G$2:G1834, $C$2:C1834 = C1834, $A$2:A1834 &gt;= A1834 - 30)))
"),"#DIV/0!")</f>
        <v>#DIV/0!</v>
      </c>
    </row>
    <row r="1835" spans="1:14" x14ac:dyDescent="0.2">
      <c r="A1835" s="41"/>
      <c r="B1835" s="40"/>
      <c r="C1835" s="40"/>
      <c r="D1835" s="31"/>
      <c r="E1835" s="31"/>
      <c r="F1835" s="31"/>
      <c r="G1835" s="19" t="e">
        <f t="shared" si="35"/>
        <v>#DIV/0!</v>
      </c>
      <c r="H1835" s="20" t="str">
        <f ca="1">IFERROR(__xludf.DUMMYFUNCTION("IF(COUNTIFS($C$2:C1835, C1835, $A$2:A1835, ""&lt;="" &amp; A1835) &lt; 30, AVERAGEIF($C$2:C1835, C1835, $G$2:G1835), AVERAGE(FILTER($G$2:G1835, $C$2:C1835 = C1835, $A$2:A1835 &gt;= A1835 - 30)))
"),"#DIV/0!")</f>
        <v>#DIV/0!</v>
      </c>
      <c r="I1835" s="20" t="e">
        <f t="shared" ca="1" si="36"/>
        <v>#DIV/0!</v>
      </c>
      <c r="J1835" s="20" t="str">
        <f ca="1">IFERROR(__xludf.DUMMYFUNCTION("IF(OR($I1835=2, $I1835=3), 0, IFERROR(COUNTIFS($C$2:C1835, $C1835, $A$2:A1835, ""&gt;""&amp;IFERROR(MAX(FILTER($A$2:A1835, $C$2:C1835=$C1835, $I$2:I1835&lt;&gt;1)), 0), $I$2:I1835, 1),1))
"),"#DIV/0!")</f>
        <v>#DIV/0!</v>
      </c>
      <c r="K1835" s="7" t="e">
        <f t="shared" ca="1" si="37"/>
        <v>#DIV/0!</v>
      </c>
      <c r="L1835" s="20" t="e">
        <f t="shared" ca="1" si="38"/>
        <v>#DIV/0!</v>
      </c>
      <c r="M1835" s="21" t="e">
        <f t="shared" ca="1" si="39"/>
        <v>#DIV/0!</v>
      </c>
      <c r="N1835" s="20" t="str">
        <f ca="1">IFERROR(__xludf.DUMMYFUNCTION("IF(COUNTIFS($C$2:C1835, C1835, $A$2:A1835, ""&lt;="" &amp; A1835) &lt; 30, STDEV.P(FILTER($G$2:G1835, $C$2:C1835 = C1835)), STDEV.P(FILTER($G$2:G1835, $C$2:C1835 = C1835, $A$2:A1835 &gt;= A1835 - 30)))
"),"#DIV/0!")</f>
        <v>#DIV/0!</v>
      </c>
    </row>
    <row r="1836" spans="1:14" x14ac:dyDescent="0.2">
      <c r="A1836" s="41"/>
      <c r="B1836" s="40"/>
      <c r="C1836" s="40"/>
      <c r="D1836" s="31"/>
      <c r="E1836" s="31"/>
      <c r="F1836" s="31"/>
      <c r="G1836" s="19" t="e">
        <f t="shared" si="35"/>
        <v>#DIV/0!</v>
      </c>
      <c r="H1836" s="20" t="str">
        <f ca="1">IFERROR(__xludf.DUMMYFUNCTION("IF(COUNTIFS($C$2:C1836, C1836, $A$2:A1836, ""&lt;="" &amp; A1836) &lt; 30, AVERAGEIF($C$2:C1836, C1836, $G$2:G1836), AVERAGE(FILTER($G$2:G1836, $C$2:C1836 = C1836, $A$2:A1836 &gt;= A1836 - 30)))
"),"#DIV/0!")</f>
        <v>#DIV/0!</v>
      </c>
      <c r="I1836" s="20" t="e">
        <f t="shared" ca="1" si="36"/>
        <v>#DIV/0!</v>
      </c>
      <c r="J1836" s="20" t="str">
        <f ca="1">IFERROR(__xludf.DUMMYFUNCTION("IF(OR($I1836=2, $I1836=3), 0, IFERROR(COUNTIFS($C$2:C1836, $C1836, $A$2:A1836, ""&gt;""&amp;IFERROR(MAX(FILTER($A$2:A1836, $C$2:C1836=$C1836, $I$2:I1836&lt;&gt;1)), 0), $I$2:I1836, 1),1))
"),"#DIV/0!")</f>
        <v>#DIV/0!</v>
      </c>
      <c r="K1836" s="7" t="e">
        <f t="shared" ca="1" si="37"/>
        <v>#DIV/0!</v>
      </c>
      <c r="L1836" s="20" t="e">
        <f t="shared" ca="1" si="38"/>
        <v>#DIV/0!</v>
      </c>
      <c r="M1836" s="21" t="e">
        <f t="shared" ca="1" si="39"/>
        <v>#DIV/0!</v>
      </c>
      <c r="N1836" s="20" t="str">
        <f ca="1">IFERROR(__xludf.DUMMYFUNCTION("IF(COUNTIFS($C$2:C1836, C1836, $A$2:A1836, ""&lt;="" &amp; A1836) &lt; 30, STDEV.P(FILTER($G$2:G1836, $C$2:C1836 = C1836)), STDEV.P(FILTER($G$2:G1836, $C$2:C1836 = C1836, $A$2:A1836 &gt;= A1836 - 30)))
"),"#DIV/0!")</f>
        <v>#DIV/0!</v>
      </c>
    </row>
    <row r="1837" spans="1:14" x14ac:dyDescent="0.2">
      <c r="A1837" s="41"/>
      <c r="B1837" s="40"/>
      <c r="C1837" s="40"/>
      <c r="D1837" s="31"/>
      <c r="E1837" s="31"/>
      <c r="F1837" s="31"/>
      <c r="G1837" s="19" t="e">
        <f t="shared" si="35"/>
        <v>#DIV/0!</v>
      </c>
      <c r="H1837" s="20" t="str">
        <f ca="1">IFERROR(__xludf.DUMMYFUNCTION("IF(COUNTIFS($C$2:C1837, C1837, $A$2:A1837, ""&lt;="" &amp; A1837) &lt; 30, AVERAGEIF($C$2:C1837, C1837, $G$2:G1837), AVERAGE(FILTER($G$2:G1837, $C$2:C1837 = C1837, $A$2:A1837 &gt;= A1837 - 30)))
"),"#DIV/0!")</f>
        <v>#DIV/0!</v>
      </c>
      <c r="I1837" s="20" t="e">
        <f t="shared" ca="1" si="36"/>
        <v>#DIV/0!</v>
      </c>
      <c r="J1837" s="20" t="str">
        <f ca="1">IFERROR(__xludf.DUMMYFUNCTION("IF(OR($I1837=2, $I1837=3), 0, IFERROR(COUNTIFS($C$2:C1837, $C1837, $A$2:A1837, ""&gt;""&amp;IFERROR(MAX(FILTER($A$2:A1837, $C$2:C1837=$C1837, $I$2:I1837&lt;&gt;1)), 0), $I$2:I1837, 1),1))
"),"#DIV/0!")</f>
        <v>#DIV/0!</v>
      </c>
      <c r="K1837" s="7" t="e">
        <f t="shared" ca="1" si="37"/>
        <v>#DIV/0!</v>
      </c>
      <c r="L1837" s="20" t="e">
        <f t="shared" ca="1" si="38"/>
        <v>#DIV/0!</v>
      </c>
      <c r="M1837" s="21" t="e">
        <f t="shared" ca="1" si="39"/>
        <v>#DIV/0!</v>
      </c>
      <c r="N1837" s="20" t="str">
        <f ca="1">IFERROR(__xludf.DUMMYFUNCTION("IF(COUNTIFS($C$2:C1837, C1837, $A$2:A1837, ""&lt;="" &amp; A1837) &lt; 30, STDEV.P(FILTER($G$2:G1837, $C$2:C1837 = C1837)), STDEV.P(FILTER($G$2:G1837, $C$2:C1837 = C1837, $A$2:A1837 &gt;= A1837 - 30)))
"),"#DIV/0!")</f>
        <v>#DIV/0!</v>
      </c>
    </row>
    <row r="1838" spans="1:14" x14ac:dyDescent="0.2">
      <c r="A1838" s="41"/>
      <c r="B1838" s="40"/>
      <c r="C1838" s="40"/>
      <c r="D1838" s="31"/>
      <c r="E1838" s="31"/>
      <c r="F1838" s="31"/>
      <c r="G1838" s="19" t="e">
        <f t="shared" si="35"/>
        <v>#DIV/0!</v>
      </c>
      <c r="H1838" s="20" t="str">
        <f ca="1">IFERROR(__xludf.DUMMYFUNCTION("IF(COUNTIFS($C$2:C1838, C1838, $A$2:A1838, ""&lt;="" &amp; A1838) &lt; 30, AVERAGEIF($C$2:C1838, C1838, $G$2:G1838), AVERAGE(FILTER($G$2:G1838, $C$2:C1838 = C1838, $A$2:A1838 &gt;= A1838 - 30)))
"),"#DIV/0!")</f>
        <v>#DIV/0!</v>
      </c>
      <c r="I1838" s="20" t="e">
        <f t="shared" ca="1" si="36"/>
        <v>#DIV/0!</v>
      </c>
      <c r="J1838" s="20" t="str">
        <f ca="1">IFERROR(__xludf.DUMMYFUNCTION("IF(OR($I1838=2, $I1838=3), 0, IFERROR(COUNTIFS($C$2:C1838, $C1838, $A$2:A1838, ""&gt;""&amp;IFERROR(MAX(FILTER($A$2:A1838, $C$2:C1838=$C1838, $I$2:I1838&lt;&gt;1)), 0), $I$2:I1838, 1),1))
"),"#DIV/0!")</f>
        <v>#DIV/0!</v>
      </c>
      <c r="K1838" s="7" t="e">
        <f t="shared" ca="1" si="37"/>
        <v>#DIV/0!</v>
      </c>
      <c r="L1838" s="20" t="e">
        <f t="shared" ca="1" si="38"/>
        <v>#DIV/0!</v>
      </c>
      <c r="M1838" s="21" t="e">
        <f t="shared" ca="1" si="39"/>
        <v>#DIV/0!</v>
      </c>
      <c r="N1838" s="20" t="str">
        <f ca="1">IFERROR(__xludf.DUMMYFUNCTION("IF(COUNTIFS($C$2:C1838, C1838, $A$2:A1838, ""&lt;="" &amp; A1838) &lt; 30, STDEV.P(FILTER($G$2:G1838, $C$2:C1838 = C1838)), STDEV.P(FILTER($G$2:G1838, $C$2:C1838 = C1838, $A$2:A1838 &gt;= A1838 - 30)))
"),"#DIV/0!")</f>
        <v>#DIV/0!</v>
      </c>
    </row>
    <row r="1839" spans="1:14" x14ac:dyDescent="0.2">
      <c r="A1839" s="41"/>
      <c r="B1839" s="40"/>
      <c r="C1839" s="40"/>
      <c r="D1839" s="31"/>
      <c r="E1839" s="31"/>
      <c r="F1839" s="31"/>
      <c r="G1839" s="19" t="e">
        <f t="shared" si="35"/>
        <v>#DIV/0!</v>
      </c>
      <c r="H1839" s="20" t="str">
        <f ca="1">IFERROR(__xludf.DUMMYFUNCTION("IF(COUNTIFS($C$2:C1839, C1839, $A$2:A1839, ""&lt;="" &amp; A1839) &lt; 30, AVERAGEIF($C$2:C1839, C1839, $G$2:G1839), AVERAGE(FILTER($G$2:G1839, $C$2:C1839 = C1839, $A$2:A1839 &gt;= A1839 - 30)))
"),"#DIV/0!")</f>
        <v>#DIV/0!</v>
      </c>
      <c r="I1839" s="20" t="e">
        <f t="shared" ca="1" si="36"/>
        <v>#DIV/0!</v>
      </c>
      <c r="J1839" s="20" t="str">
        <f ca="1">IFERROR(__xludf.DUMMYFUNCTION("IF(OR($I1839=2, $I1839=3), 0, IFERROR(COUNTIFS($C$2:C1839, $C1839, $A$2:A1839, ""&gt;""&amp;IFERROR(MAX(FILTER($A$2:A1839, $C$2:C1839=$C1839, $I$2:I1839&lt;&gt;1)), 0), $I$2:I1839, 1),1))
"),"#DIV/0!")</f>
        <v>#DIV/0!</v>
      </c>
      <c r="K1839" s="7" t="e">
        <f t="shared" ca="1" si="37"/>
        <v>#DIV/0!</v>
      </c>
      <c r="L1839" s="20" t="e">
        <f t="shared" ca="1" si="38"/>
        <v>#DIV/0!</v>
      </c>
      <c r="M1839" s="21" t="e">
        <f t="shared" ca="1" si="39"/>
        <v>#DIV/0!</v>
      </c>
      <c r="N1839" s="20" t="str">
        <f ca="1">IFERROR(__xludf.DUMMYFUNCTION("IF(COUNTIFS($C$2:C1839, C1839, $A$2:A1839, ""&lt;="" &amp; A1839) &lt; 30, STDEV.P(FILTER($G$2:G1839, $C$2:C1839 = C1839)), STDEV.P(FILTER($G$2:G1839, $C$2:C1839 = C1839, $A$2:A1839 &gt;= A1839 - 30)))
"),"#DIV/0!")</f>
        <v>#DIV/0!</v>
      </c>
    </row>
    <row r="1840" spans="1:14" x14ac:dyDescent="0.2">
      <c r="A1840" s="41"/>
      <c r="B1840" s="40"/>
      <c r="C1840" s="40"/>
      <c r="D1840" s="31"/>
      <c r="E1840" s="31"/>
      <c r="F1840" s="31"/>
      <c r="G1840" s="19" t="e">
        <f t="shared" si="35"/>
        <v>#DIV/0!</v>
      </c>
      <c r="H1840" s="20" t="str">
        <f ca="1">IFERROR(__xludf.DUMMYFUNCTION("IF(COUNTIFS($C$2:C1840, C1840, $A$2:A1840, ""&lt;="" &amp; A1840) &lt; 30, AVERAGEIF($C$2:C1840, C1840, $G$2:G1840), AVERAGE(FILTER($G$2:G1840, $C$2:C1840 = C1840, $A$2:A1840 &gt;= A1840 - 30)))
"),"#DIV/0!")</f>
        <v>#DIV/0!</v>
      </c>
      <c r="I1840" s="20" t="e">
        <f t="shared" ca="1" si="36"/>
        <v>#DIV/0!</v>
      </c>
      <c r="J1840" s="20" t="str">
        <f ca="1">IFERROR(__xludf.DUMMYFUNCTION("IF(OR($I1840=2, $I1840=3), 0, IFERROR(COUNTIFS($C$2:C1840, $C1840, $A$2:A1840, ""&gt;""&amp;IFERROR(MAX(FILTER($A$2:A1840, $C$2:C1840=$C1840, $I$2:I1840&lt;&gt;1)), 0), $I$2:I1840, 1),1))
"),"#DIV/0!")</f>
        <v>#DIV/0!</v>
      </c>
      <c r="K1840" s="7" t="e">
        <f t="shared" ca="1" si="37"/>
        <v>#DIV/0!</v>
      </c>
      <c r="L1840" s="20" t="e">
        <f t="shared" ca="1" si="38"/>
        <v>#DIV/0!</v>
      </c>
      <c r="M1840" s="21" t="e">
        <f t="shared" ca="1" si="39"/>
        <v>#DIV/0!</v>
      </c>
      <c r="N1840" s="20" t="str">
        <f ca="1">IFERROR(__xludf.DUMMYFUNCTION("IF(COUNTIFS($C$2:C1840, C1840, $A$2:A1840, ""&lt;="" &amp; A1840) &lt; 30, STDEV.P(FILTER($G$2:G1840, $C$2:C1840 = C1840)), STDEV.P(FILTER($G$2:G1840, $C$2:C1840 = C1840, $A$2:A1840 &gt;= A1840 - 30)))
"),"#DIV/0!")</f>
        <v>#DIV/0!</v>
      </c>
    </row>
    <row r="1841" spans="1:14" x14ac:dyDescent="0.2">
      <c r="A1841" s="41"/>
      <c r="B1841" s="40"/>
      <c r="C1841" s="40"/>
      <c r="D1841" s="31"/>
      <c r="E1841" s="31"/>
      <c r="F1841" s="31"/>
      <c r="G1841" s="19" t="e">
        <f t="shared" si="35"/>
        <v>#DIV/0!</v>
      </c>
      <c r="H1841" s="20" t="str">
        <f ca="1">IFERROR(__xludf.DUMMYFUNCTION("IF(COUNTIFS($C$2:C1841, C1841, $A$2:A1841, ""&lt;="" &amp; A1841) &lt; 30, AVERAGEIF($C$2:C1841, C1841, $G$2:G1841), AVERAGE(FILTER($G$2:G1841, $C$2:C1841 = C1841, $A$2:A1841 &gt;= A1841 - 30)))
"),"#DIV/0!")</f>
        <v>#DIV/0!</v>
      </c>
      <c r="I1841" s="20" t="e">
        <f t="shared" ca="1" si="36"/>
        <v>#DIV/0!</v>
      </c>
      <c r="J1841" s="20" t="str">
        <f ca="1">IFERROR(__xludf.DUMMYFUNCTION("IF(OR($I1841=2, $I1841=3), 0, IFERROR(COUNTIFS($C$2:C1841, $C1841, $A$2:A1841, ""&gt;""&amp;IFERROR(MAX(FILTER($A$2:A1841, $C$2:C1841=$C1841, $I$2:I1841&lt;&gt;1)), 0), $I$2:I1841, 1),1))
"),"#DIV/0!")</f>
        <v>#DIV/0!</v>
      </c>
      <c r="K1841" s="7" t="e">
        <f t="shared" ca="1" si="37"/>
        <v>#DIV/0!</v>
      </c>
      <c r="L1841" s="20" t="e">
        <f t="shared" ca="1" si="38"/>
        <v>#DIV/0!</v>
      </c>
      <c r="M1841" s="21" t="e">
        <f t="shared" ca="1" si="39"/>
        <v>#DIV/0!</v>
      </c>
      <c r="N1841" s="20" t="str">
        <f ca="1">IFERROR(__xludf.DUMMYFUNCTION("IF(COUNTIFS($C$2:C1841, C1841, $A$2:A1841, ""&lt;="" &amp; A1841) &lt; 30, STDEV.P(FILTER($G$2:G1841, $C$2:C1841 = C1841)), STDEV.P(FILTER($G$2:G1841, $C$2:C1841 = C1841, $A$2:A1841 &gt;= A1841 - 30)))
"),"#DIV/0!")</f>
        <v>#DIV/0!</v>
      </c>
    </row>
    <row r="1842" spans="1:14" x14ac:dyDescent="0.2">
      <c r="A1842" s="41"/>
      <c r="B1842" s="40"/>
      <c r="C1842" s="40"/>
      <c r="D1842" s="31"/>
      <c r="E1842" s="31"/>
      <c r="F1842" s="31"/>
      <c r="G1842" s="19" t="e">
        <f t="shared" si="35"/>
        <v>#DIV/0!</v>
      </c>
      <c r="H1842" s="20" t="str">
        <f ca="1">IFERROR(__xludf.DUMMYFUNCTION("IF(COUNTIFS($C$2:C1842, C1842, $A$2:A1842, ""&lt;="" &amp; A1842) &lt; 30, AVERAGEIF($C$2:C1842, C1842, $G$2:G1842), AVERAGE(FILTER($G$2:G1842, $C$2:C1842 = C1842, $A$2:A1842 &gt;= A1842 - 30)))
"),"#DIV/0!")</f>
        <v>#DIV/0!</v>
      </c>
      <c r="I1842" s="20" t="e">
        <f t="shared" ca="1" si="36"/>
        <v>#DIV/0!</v>
      </c>
      <c r="J1842" s="20" t="str">
        <f ca="1">IFERROR(__xludf.DUMMYFUNCTION("IF(OR($I1842=2, $I1842=3), 0, IFERROR(COUNTIFS($C$2:C1842, $C1842, $A$2:A1842, ""&gt;""&amp;IFERROR(MAX(FILTER($A$2:A1842, $C$2:C1842=$C1842, $I$2:I1842&lt;&gt;1)), 0), $I$2:I1842, 1),1))
"),"#DIV/0!")</f>
        <v>#DIV/0!</v>
      </c>
      <c r="K1842" s="7" t="e">
        <f t="shared" ca="1" si="37"/>
        <v>#DIV/0!</v>
      </c>
      <c r="L1842" s="20" t="e">
        <f t="shared" ca="1" si="38"/>
        <v>#DIV/0!</v>
      </c>
      <c r="M1842" s="21" t="e">
        <f t="shared" ca="1" si="39"/>
        <v>#DIV/0!</v>
      </c>
      <c r="N1842" s="20" t="str">
        <f ca="1">IFERROR(__xludf.DUMMYFUNCTION("IF(COUNTIFS($C$2:C1842, C1842, $A$2:A1842, ""&lt;="" &amp; A1842) &lt; 30, STDEV.P(FILTER($G$2:G1842, $C$2:C1842 = C1842)), STDEV.P(FILTER($G$2:G1842, $C$2:C1842 = C1842, $A$2:A1842 &gt;= A1842 - 30)))
"),"#DIV/0!")</f>
        <v>#DIV/0!</v>
      </c>
    </row>
    <row r="1843" spans="1:14" x14ac:dyDescent="0.2">
      <c r="A1843" s="41"/>
      <c r="B1843" s="40"/>
      <c r="C1843" s="40"/>
      <c r="D1843" s="31"/>
      <c r="E1843" s="31"/>
      <c r="F1843" s="31"/>
      <c r="G1843" s="19" t="e">
        <f t="shared" si="35"/>
        <v>#DIV/0!</v>
      </c>
      <c r="H1843" s="20" t="str">
        <f ca="1">IFERROR(__xludf.DUMMYFUNCTION("IF(COUNTIFS($C$2:C1843, C1843, $A$2:A1843, ""&lt;="" &amp; A1843) &lt; 30, AVERAGEIF($C$2:C1843, C1843, $G$2:G1843), AVERAGE(FILTER($G$2:G1843, $C$2:C1843 = C1843, $A$2:A1843 &gt;= A1843 - 30)))
"),"#DIV/0!")</f>
        <v>#DIV/0!</v>
      </c>
      <c r="I1843" s="20" t="e">
        <f t="shared" ca="1" si="36"/>
        <v>#DIV/0!</v>
      </c>
      <c r="J1843" s="20" t="str">
        <f ca="1">IFERROR(__xludf.DUMMYFUNCTION("IF(OR($I1843=2, $I1843=3), 0, IFERROR(COUNTIFS($C$2:C1843, $C1843, $A$2:A1843, ""&gt;""&amp;IFERROR(MAX(FILTER($A$2:A1843, $C$2:C1843=$C1843, $I$2:I1843&lt;&gt;1)), 0), $I$2:I1843, 1),1))
"),"#DIV/0!")</f>
        <v>#DIV/0!</v>
      </c>
      <c r="K1843" s="7" t="e">
        <f t="shared" ca="1" si="37"/>
        <v>#DIV/0!</v>
      </c>
      <c r="L1843" s="20" t="e">
        <f t="shared" ca="1" si="38"/>
        <v>#DIV/0!</v>
      </c>
      <c r="M1843" s="21" t="e">
        <f t="shared" ca="1" si="39"/>
        <v>#DIV/0!</v>
      </c>
      <c r="N1843" s="20" t="str">
        <f ca="1">IFERROR(__xludf.DUMMYFUNCTION("IF(COUNTIFS($C$2:C1843, C1843, $A$2:A1843, ""&lt;="" &amp; A1843) &lt; 30, STDEV.P(FILTER($G$2:G1843, $C$2:C1843 = C1843)), STDEV.P(FILTER($G$2:G1843, $C$2:C1843 = C1843, $A$2:A1843 &gt;= A1843 - 30)))
"),"#DIV/0!")</f>
        <v>#DIV/0!</v>
      </c>
    </row>
    <row r="1844" spans="1:14" x14ac:dyDescent="0.2">
      <c r="A1844" s="41"/>
      <c r="B1844" s="40"/>
      <c r="C1844" s="40"/>
      <c r="D1844" s="31"/>
      <c r="E1844" s="31"/>
      <c r="F1844" s="31"/>
      <c r="G1844" s="19" t="e">
        <f t="shared" si="35"/>
        <v>#DIV/0!</v>
      </c>
      <c r="H1844" s="20" t="str">
        <f ca="1">IFERROR(__xludf.DUMMYFUNCTION("IF(COUNTIFS($C$2:C1844, C1844, $A$2:A1844, ""&lt;="" &amp; A1844) &lt; 30, AVERAGEIF($C$2:C1844, C1844, $G$2:G1844), AVERAGE(FILTER($G$2:G1844, $C$2:C1844 = C1844, $A$2:A1844 &gt;= A1844 - 30)))
"),"#DIV/0!")</f>
        <v>#DIV/0!</v>
      </c>
      <c r="I1844" s="20" t="e">
        <f t="shared" ca="1" si="36"/>
        <v>#DIV/0!</v>
      </c>
      <c r="J1844" s="20" t="str">
        <f ca="1">IFERROR(__xludf.DUMMYFUNCTION("IF(OR($I1844=2, $I1844=3), 0, IFERROR(COUNTIFS($C$2:C1844, $C1844, $A$2:A1844, ""&gt;""&amp;IFERROR(MAX(FILTER($A$2:A1844, $C$2:C1844=$C1844, $I$2:I1844&lt;&gt;1)), 0), $I$2:I1844, 1),1))
"),"#DIV/0!")</f>
        <v>#DIV/0!</v>
      </c>
      <c r="K1844" s="7" t="e">
        <f t="shared" ca="1" si="37"/>
        <v>#DIV/0!</v>
      </c>
      <c r="L1844" s="20" t="e">
        <f t="shared" ca="1" si="38"/>
        <v>#DIV/0!</v>
      </c>
      <c r="M1844" s="21" t="e">
        <f t="shared" ca="1" si="39"/>
        <v>#DIV/0!</v>
      </c>
      <c r="N1844" s="20" t="str">
        <f ca="1">IFERROR(__xludf.DUMMYFUNCTION("IF(COUNTIFS($C$2:C1844, C1844, $A$2:A1844, ""&lt;="" &amp; A1844) &lt; 30, STDEV.P(FILTER($G$2:G1844, $C$2:C1844 = C1844)), STDEV.P(FILTER($G$2:G1844, $C$2:C1844 = C1844, $A$2:A1844 &gt;= A1844 - 30)))
"),"#DIV/0!")</f>
        <v>#DIV/0!</v>
      </c>
    </row>
    <row r="1845" spans="1:14" x14ac:dyDescent="0.2">
      <c r="A1845" s="41"/>
      <c r="B1845" s="40"/>
      <c r="C1845" s="40"/>
      <c r="D1845" s="31"/>
      <c r="E1845" s="31"/>
      <c r="F1845" s="31"/>
      <c r="G1845" s="19" t="e">
        <f t="shared" si="35"/>
        <v>#DIV/0!</v>
      </c>
      <c r="H1845" s="20" t="str">
        <f ca="1">IFERROR(__xludf.DUMMYFUNCTION("IF(COUNTIFS($C$2:C1845, C1845, $A$2:A1845, ""&lt;="" &amp; A1845) &lt; 30, AVERAGEIF($C$2:C1845, C1845, $G$2:G1845), AVERAGE(FILTER($G$2:G1845, $C$2:C1845 = C1845, $A$2:A1845 &gt;= A1845 - 30)))
"),"#DIV/0!")</f>
        <v>#DIV/0!</v>
      </c>
      <c r="I1845" s="20" t="e">
        <f t="shared" ca="1" si="36"/>
        <v>#DIV/0!</v>
      </c>
      <c r="J1845" s="20" t="str">
        <f ca="1">IFERROR(__xludf.DUMMYFUNCTION("IF(OR($I1845=2, $I1845=3), 0, IFERROR(COUNTIFS($C$2:C1845, $C1845, $A$2:A1845, ""&gt;""&amp;IFERROR(MAX(FILTER($A$2:A1845, $C$2:C1845=$C1845, $I$2:I1845&lt;&gt;1)), 0), $I$2:I1845, 1),1))
"),"#DIV/0!")</f>
        <v>#DIV/0!</v>
      </c>
      <c r="K1845" s="7" t="e">
        <f t="shared" ca="1" si="37"/>
        <v>#DIV/0!</v>
      </c>
      <c r="L1845" s="20" t="e">
        <f t="shared" ca="1" si="38"/>
        <v>#DIV/0!</v>
      </c>
      <c r="M1845" s="21" t="e">
        <f t="shared" ca="1" si="39"/>
        <v>#DIV/0!</v>
      </c>
      <c r="N1845" s="20" t="str">
        <f ca="1">IFERROR(__xludf.DUMMYFUNCTION("IF(COUNTIFS($C$2:C1845, C1845, $A$2:A1845, ""&lt;="" &amp; A1845) &lt; 30, STDEV.P(FILTER($G$2:G1845, $C$2:C1845 = C1845)), STDEV.P(FILTER($G$2:G1845, $C$2:C1845 = C1845, $A$2:A1845 &gt;= A1845 - 30)))
"),"#DIV/0!")</f>
        <v>#DIV/0!</v>
      </c>
    </row>
    <row r="1846" spans="1:14" x14ac:dyDescent="0.2">
      <c r="A1846" s="41"/>
      <c r="B1846" s="40"/>
      <c r="C1846" s="40"/>
      <c r="D1846" s="31"/>
      <c r="E1846" s="31"/>
      <c r="F1846" s="31"/>
      <c r="G1846" s="19" t="e">
        <f t="shared" si="35"/>
        <v>#DIV/0!</v>
      </c>
      <c r="H1846" s="20" t="str">
        <f ca="1">IFERROR(__xludf.DUMMYFUNCTION("IF(COUNTIFS($C$2:C1846, C1846, $A$2:A1846, ""&lt;="" &amp; A1846) &lt; 30, AVERAGEIF($C$2:C1846, C1846, $G$2:G1846), AVERAGE(FILTER($G$2:G1846, $C$2:C1846 = C1846, $A$2:A1846 &gt;= A1846 - 30)))
"),"#DIV/0!")</f>
        <v>#DIV/0!</v>
      </c>
      <c r="I1846" s="20" t="e">
        <f t="shared" ca="1" si="36"/>
        <v>#DIV/0!</v>
      </c>
      <c r="J1846" s="20" t="str">
        <f ca="1">IFERROR(__xludf.DUMMYFUNCTION("IF(OR($I1846=2, $I1846=3), 0, IFERROR(COUNTIFS($C$2:C1846, $C1846, $A$2:A1846, ""&gt;""&amp;IFERROR(MAX(FILTER($A$2:A1846, $C$2:C1846=$C1846, $I$2:I1846&lt;&gt;1)), 0), $I$2:I1846, 1),1))
"),"#DIV/0!")</f>
        <v>#DIV/0!</v>
      </c>
      <c r="K1846" s="7" t="e">
        <f t="shared" ca="1" si="37"/>
        <v>#DIV/0!</v>
      </c>
      <c r="L1846" s="20" t="e">
        <f t="shared" ca="1" si="38"/>
        <v>#DIV/0!</v>
      </c>
      <c r="M1846" s="21" t="e">
        <f t="shared" ca="1" si="39"/>
        <v>#DIV/0!</v>
      </c>
      <c r="N1846" s="20" t="str">
        <f ca="1">IFERROR(__xludf.DUMMYFUNCTION("IF(COUNTIFS($C$2:C1846, C1846, $A$2:A1846, ""&lt;="" &amp; A1846) &lt; 30, STDEV.P(FILTER($G$2:G1846, $C$2:C1846 = C1846)), STDEV.P(FILTER($G$2:G1846, $C$2:C1846 = C1846, $A$2:A1846 &gt;= A1846 - 30)))
"),"#DIV/0!")</f>
        <v>#DIV/0!</v>
      </c>
    </row>
    <row r="1847" spans="1:14" x14ac:dyDescent="0.2">
      <c r="A1847" s="41"/>
      <c r="B1847" s="40"/>
      <c r="C1847" s="40"/>
      <c r="D1847" s="31"/>
      <c r="E1847" s="31"/>
      <c r="F1847" s="31"/>
      <c r="G1847" s="19" t="e">
        <f t="shared" si="35"/>
        <v>#DIV/0!</v>
      </c>
      <c r="H1847" s="20" t="str">
        <f ca="1">IFERROR(__xludf.DUMMYFUNCTION("IF(COUNTIFS($C$2:C1847, C1847, $A$2:A1847, ""&lt;="" &amp; A1847) &lt; 30, AVERAGEIF($C$2:C1847, C1847, $G$2:G1847), AVERAGE(FILTER($G$2:G1847, $C$2:C1847 = C1847, $A$2:A1847 &gt;= A1847 - 30)))
"),"#DIV/0!")</f>
        <v>#DIV/0!</v>
      </c>
      <c r="I1847" s="20" t="e">
        <f t="shared" ca="1" si="36"/>
        <v>#DIV/0!</v>
      </c>
      <c r="J1847" s="20" t="str">
        <f ca="1">IFERROR(__xludf.DUMMYFUNCTION("IF(OR($I1847=2, $I1847=3), 0, IFERROR(COUNTIFS($C$2:C1847, $C1847, $A$2:A1847, ""&gt;""&amp;IFERROR(MAX(FILTER($A$2:A1847, $C$2:C1847=$C1847, $I$2:I1847&lt;&gt;1)), 0), $I$2:I1847, 1),1))
"),"#DIV/0!")</f>
        <v>#DIV/0!</v>
      </c>
      <c r="K1847" s="7" t="e">
        <f t="shared" ca="1" si="37"/>
        <v>#DIV/0!</v>
      </c>
      <c r="L1847" s="20" t="e">
        <f t="shared" ca="1" si="38"/>
        <v>#DIV/0!</v>
      </c>
      <c r="M1847" s="21" t="e">
        <f t="shared" ca="1" si="39"/>
        <v>#DIV/0!</v>
      </c>
      <c r="N1847" s="20" t="str">
        <f ca="1">IFERROR(__xludf.DUMMYFUNCTION("IF(COUNTIFS($C$2:C1847, C1847, $A$2:A1847, ""&lt;="" &amp; A1847) &lt; 30, STDEV.P(FILTER($G$2:G1847, $C$2:C1847 = C1847)), STDEV.P(FILTER($G$2:G1847, $C$2:C1847 = C1847, $A$2:A1847 &gt;= A1847 - 30)))
"),"#DIV/0!")</f>
        <v>#DIV/0!</v>
      </c>
    </row>
    <row r="1848" spans="1:14" x14ac:dyDescent="0.2">
      <c r="A1848" s="41"/>
      <c r="B1848" s="40"/>
      <c r="C1848" s="40"/>
      <c r="D1848" s="31"/>
      <c r="E1848" s="31"/>
      <c r="F1848" s="31"/>
      <c r="G1848" s="19" t="e">
        <f t="shared" si="35"/>
        <v>#DIV/0!</v>
      </c>
      <c r="H1848" s="20" t="str">
        <f ca="1">IFERROR(__xludf.DUMMYFUNCTION("IF(COUNTIFS($C$2:C1848, C1848, $A$2:A1848, ""&lt;="" &amp; A1848) &lt; 30, AVERAGEIF($C$2:C1848, C1848, $G$2:G1848), AVERAGE(FILTER($G$2:G1848, $C$2:C1848 = C1848, $A$2:A1848 &gt;= A1848 - 30)))
"),"#DIV/0!")</f>
        <v>#DIV/0!</v>
      </c>
      <c r="I1848" s="20" t="e">
        <f t="shared" ca="1" si="36"/>
        <v>#DIV/0!</v>
      </c>
      <c r="J1848" s="20" t="str">
        <f ca="1">IFERROR(__xludf.DUMMYFUNCTION("IF(OR($I1848=2, $I1848=3), 0, IFERROR(COUNTIFS($C$2:C1848, $C1848, $A$2:A1848, ""&gt;""&amp;IFERROR(MAX(FILTER($A$2:A1848, $C$2:C1848=$C1848, $I$2:I1848&lt;&gt;1)), 0), $I$2:I1848, 1),1))
"),"#DIV/0!")</f>
        <v>#DIV/0!</v>
      </c>
      <c r="K1848" s="7" t="e">
        <f t="shared" ca="1" si="37"/>
        <v>#DIV/0!</v>
      </c>
      <c r="L1848" s="20" t="e">
        <f t="shared" ca="1" si="38"/>
        <v>#DIV/0!</v>
      </c>
      <c r="M1848" s="21" t="e">
        <f t="shared" ca="1" si="39"/>
        <v>#DIV/0!</v>
      </c>
      <c r="N1848" s="20" t="str">
        <f ca="1">IFERROR(__xludf.DUMMYFUNCTION("IF(COUNTIFS($C$2:C1848, C1848, $A$2:A1848, ""&lt;="" &amp; A1848) &lt; 30, STDEV.P(FILTER($G$2:G1848, $C$2:C1848 = C1848)), STDEV.P(FILTER($G$2:G1848, $C$2:C1848 = C1848, $A$2:A1848 &gt;= A1848 - 30)))
"),"#DIV/0!")</f>
        <v>#DIV/0!</v>
      </c>
    </row>
    <row r="1849" spans="1:14" x14ac:dyDescent="0.2">
      <c r="A1849" s="41"/>
      <c r="B1849" s="40"/>
      <c r="C1849" s="40"/>
      <c r="D1849" s="31"/>
      <c r="E1849" s="31"/>
      <c r="F1849" s="31"/>
      <c r="G1849" s="19" t="e">
        <f t="shared" si="35"/>
        <v>#DIV/0!</v>
      </c>
      <c r="H1849" s="20" t="str">
        <f ca="1">IFERROR(__xludf.DUMMYFUNCTION("IF(COUNTIFS($C$2:C1849, C1849, $A$2:A1849, ""&lt;="" &amp; A1849) &lt; 30, AVERAGEIF($C$2:C1849, C1849, $G$2:G1849), AVERAGE(FILTER($G$2:G1849, $C$2:C1849 = C1849, $A$2:A1849 &gt;= A1849 - 30)))
"),"#DIV/0!")</f>
        <v>#DIV/0!</v>
      </c>
      <c r="I1849" s="20" t="e">
        <f t="shared" ca="1" si="36"/>
        <v>#DIV/0!</v>
      </c>
      <c r="J1849" s="20" t="str">
        <f ca="1">IFERROR(__xludf.DUMMYFUNCTION("IF(OR($I1849=2, $I1849=3), 0, IFERROR(COUNTIFS($C$2:C1849, $C1849, $A$2:A1849, ""&gt;""&amp;IFERROR(MAX(FILTER($A$2:A1849, $C$2:C1849=$C1849, $I$2:I1849&lt;&gt;1)), 0), $I$2:I1849, 1),1))
"),"#DIV/0!")</f>
        <v>#DIV/0!</v>
      </c>
      <c r="K1849" s="7" t="e">
        <f t="shared" ca="1" si="37"/>
        <v>#DIV/0!</v>
      </c>
      <c r="L1849" s="20" t="e">
        <f t="shared" ca="1" si="38"/>
        <v>#DIV/0!</v>
      </c>
      <c r="M1849" s="21" t="e">
        <f t="shared" ca="1" si="39"/>
        <v>#DIV/0!</v>
      </c>
      <c r="N1849" s="20" t="str">
        <f ca="1">IFERROR(__xludf.DUMMYFUNCTION("IF(COUNTIFS($C$2:C1849, C1849, $A$2:A1849, ""&lt;="" &amp; A1849) &lt; 30, STDEV.P(FILTER($G$2:G1849, $C$2:C1849 = C1849)), STDEV.P(FILTER($G$2:G1849, $C$2:C1849 = C1849, $A$2:A1849 &gt;= A1849 - 30)))
"),"#DIV/0!")</f>
        <v>#DIV/0!</v>
      </c>
    </row>
    <row r="1850" spans="1:14" x14ac:dyDescent="0.2">
      <c r="A1850" s="41"/>
      <c r="B1850" s="40"/>
      <c r="C1850" s="40"/>
      <c r="D1850" s="31"/>
      <c r="E1850" s="31"/>
      <c r="F1850" s="31"/>
      <c r="G1850" s="19" t="e">
        <f t="shared" si="35"/>
        <v>#DIV/0!</v>
      </c>
      <c r="H1850" s="20" t="str">
        <f ca="1">IFERROR(__xludf.DUMMYFUNCTION("IF(COUNTIFS($C$2:C1850, C1850, $A$2:A1850, ""&lt;="" &amp; A1850) &lt; 30, AVERAGEIF($C$2:C1850, C1850, $G$2:G1850), AVERAGE(FILTER($G$2:G1850, $C$2:C1850 = C1850, $A$2:A1850 &gt;= A1850 - 30)))
"),"#DIV/0!")</f>
        <v>#DIV/0!</v>
      </c>
      <c r="I1850" s="20" t="e">
        <f t="shared" ca="1" si="36"/>
        <v>#DIV/0!</v>
      </c>
      <c r="J1850" s="20" t="str">
        <f ca="1">IFERROR(__xludf.DUMMYFUNCTION("IF(OR($I1850=2, $I1850=3), 0, IFERROR(COUNTIFS($C$2:C1850, $C1850, $A$2:A1850, ""&gt;""&amp;IFERROR(MAX(FILTER($A$2:A1850, $C$2:C1850=$C1850, $I$2:I1850&lt;&gt;1)), 0), $I$2:I1850, 1),1))
"),"#DIV/0!")</f>
        <v>#DIV/0!</v>
      </c>
      <c r="K1850" s="7" t="e">
        <f t="shared" ca="1" si="37"/>
        <v>#DIV/0!</v>
      </c>
      <c r="L1850" s="20" t="e">
        <f t="shared" ca="1" si="38"/>
        <v>#DIV/0!</v>
      </c>
      <c r="M1850" s="21" t="e">
        <f t="shared" ca="1" si="39"/>
        <v>#DIV/0!</v>
      </c>
      <c r="N1850" s="20" t="str">
        <f ca="1">IFERROR(__xludf.DUMMYFUNCTION("IF(COUNTIFS($C$2:C1850, C1850, $A$2:A1850, ""&lt;="" &amp; A1850) &lt; 30, STDEV.P(FILTER($G$2:G1850, $C$2:C1850 = C1850)), STDEV.P(FILTER($G$2:G1850, $C$2:C1850 = C1850, $A$2:A1850 &gt;= A1850 - 30)))
"),"#DIV/0!")</f>
        <v>#DIV/0!</v>
      </c>
    </row>
    <row r="1851" spans="1:14" x14ac:dyDescent="0.2">
      <c r="A1851" s="41"/>
      <c r="B1851" s="40"/>
      <c r="C1851" s="40"/>
      <c r="D1851" s="31"/>
      <c r="E1851" s="31"/>
      <c r="F1851" s="31"/>
      <c r="G1851" s="19" t="e">
        <f t="shared" si="35"/>
        <v>#DIV/0!</v>
      </c>
      <c r="H1851" s="20" t="str">
        <f ca="1">IFERROR(__xludf.DUMMYFUNCTION("IF(COUNTIFS($C$2:C1851, C1851, $A$2:A1851, ""&lt;="" &amp; A1851) &lt; 30, AVERAGEIF($C$2:C1851, C1851, $G$2:G1851), AVERAGE(FILTER($G$2:G1851, $C$2:C1851 = C1851, $A$2:A1851 &gt;= A1851 - 30)))
"),"#DIV/0!")</f>
        <v>#DIV/0!</v>
      </c>
      <c r="I1851" s="20" t="e">
        <f t="shared" ca="1" si="36"/>
        <v>#DIV/0!</v>
      </c>
      <c r="J1851" s="20" t="str">
        <f ca="1">IFERROR(__xludf.DUMMYFUNCTION("IF(OR($I1851=2, $I1851=3), 0, IFERROR(COUNTIFS($C$2:C1851, $C1851, $A$2:A1851, ""&gt;""&amp;IFERROR(MAX(FILTER($A$2:A1851, $C$2:C1851=$C1851, $I$2:I1851&lt;&gt;1)), 0), $I$2:I1851, 1),1))
"),"#DIV/0!")</f>
        <v>#DIV/0!</v>
      </c>
      <c r="K1851" s="7" t="e">
        <f t="shared" ca="1" si="37"/>
        <v>#DIV/0!</v>
      </c>
      <c r="L1851" s="20" t="e">
        <f t="shared" ca="1" si="38"/>
        <v>#DIV/0!</v>
      </c>
      <c r="M1851" s="21" t="e">
        <f t="shared" ca="1" si="39"/>
        <v>#DIV/0!</v>
      </c>
      <c r="N1851" s="20" t="str">
        <f ca="1">IFERROR(__xludf.DUMMYFUNCTION("IF(COUNTIFS($C$2:C1851, C1851, $A$2:A1851, ""&lt;="" &amp; A1851) &lt; 30, STDEV.P(FILTER($G$2:G1851, $C$2:C1851 = C1851)), STDEV.P(FILTER($G$2:G1851, $C$2:C1851 = C1851, $A$2:A1851 &gt;= A1851 - 30)))
"),"#DIV/0!")</f>
        <v>#DIV/0!</v>
      </c>
    </row>
    <row r="1852" spans="1:14" x14ac:dyDescent="0.2">
      <c r="A1852" s="41"/>
      <c r="B1852" s="40"/>
      <c r="C1852" s="40"/>
      <c r="D1852" s="31"/>
      <c r="E1852" s="31"/>
      <c r="F1852" s="31"/>
      <c r="G1852" s="19" t="e">
        <f t="shared" si="35"/>
        <v>#DIV/0!</v>
      </c>
      <c r="H1852" s="20" t="str">
        <f ca="1">IFERROR(__xludf.DUMMYFUNCTION("IF(COUNTIFS($C$2:C1852, C1852, $A$2:A1852, ""&lt;="" &amp; A1852) &lt; 30, AVERAGEIF($C$2:C1852, C1852, $G$2:G1852), AVERAGE(FILTER($G$2:G1852, $C$2:C1852 = C1852, $A$2:A1852 &gt;= A1852 - 30)))
"),"#DIV/0!")</f>
        <v>#DIV/0!</v>
      </c>
      <c r="I1852" s="20" t="e">
        <f t="shared" ca="1" si="36"/>
        <v>#DIV/0!</v>
      </c>
      <c r="J1852" s="20" t="str">
        <f ca="1">IFERROR(__xludf.DUMMYFUNCTION("IF(OR($I1852=2, $I1852=3), 0, IFERROR(COUNTIFS($C$2:C1852, $C1852, $A$2:A1852, ""&gt;""&amp;IFERROR(MAX(FILTER($A$2:A1852, $C$2:C1852=$C1852, $I$2:I1852&lt;&gt;1)), 0), $I$2:I1852, 1),1))
"),"#DIV/0!")</f>
        <v>#DIV/0!</v>
      </c>
      <c r="K1852" s="7" t="e">
        <f t="shared" ca="1" si="37"/>
        <v>#DIV/0!</v>
      </c>
      <c r="L1852" s="20" t="e">
        <f t="shared" ca="1" si="38"/>
        <v>#DIV/0!</v>
      </c>
      <c r="M1852" s="21" t="e">
        <f t="shared" ca="1" si="39"/>
        <v>#DIV/0!</v>
      </c>
      <c r="N1852" s="20" t="str">
        <f ca="1">IFERROR(__xludf.DUMMYFUNCTION("IF(COUNTIFS($C$2:C1852, C1852, $A$2:A1852, ""&lt;="" &amp; A1852) &lt; 30, STDEV.P(FILTER($G$2:G1852, $C$2:C1852 = C1852)), STDEV.P(FILTER($G$2:G1852, $C$2:C1852 = C1852, $A$2:A1852 &gt;= A1852 - 30)))
"),"#DIV/0!")</f>
        <v>#DIV/0!</v>
      </c>
    </row>
    <row r="1853" spans="1:14" x14ac:dyDescent="0.2">
      <c r="A1853" s="41"/>
      <c r="B1853" s="40"/>
      <c r="C1853" s="40"/>
      <c r="D1853" s="31"/>
      <c r="E1853" s="31"/>
      <c r="F1853" s="31"/>
      <c r="G1853" s="19" t="e">
        <f t="shared" si="35"/>
        <v>#DIV/0!</v>
      </c>
      <c r="H1853" s="20" t="str">
        <f ca="1">IFERROR(__xludf.DUMMYFUNCTION("IF(COUNTIFS($C$2:C1853, C1853, $A$2:A1853, ""&lt;="" &amp; A1853) &lt; 30, AVERAGEIF($C$2:C1853, C1853, $G$2:G1853), AVERAGE(FILTER($G$2:G1853, $C$2:C1853 = C1853, $A$2:A1853 &gt;= A1853 - 30)))
"),"#DIV/0!")</f>
        <v>#DIV/0!</v>
      </c>
      <c r="I1853" s="20" t="e">
        <f t="shared" ca="1" si="36"/>
        <v>#DIV/0!</v>
      </c>
      <c r="J1853" s="20" t="str">
        <f ca="1">IFERROR(__xludf.DUMMYFUNCTION("IF(OR($I1853=2, $I1853=3), 0, IFERROR(COUNTIFS($C$2:C1853, $C1853, $A$2:A1853, ""&gt;""&amp;IFERROR(MAX(FILTER($A$2:A1853, $C$2:C1853=$C1853, $I$2:I1853&lt;&gt;1)), 0), $I$2:I1853, 1),1))
"),"#DIV/0!")</f>
        <v>#DIV/0!</v>
      </c>
      <c r="K1853" s="7" t="e">
        <f t="shared" ca="1" si="37"/>
        <v>#DIV/0!</v>
      </c>
      <c r="L1853" s="20" t="e">
        <f t="shared" ca="1" si="38"/>
        <v>#DIV/0!</v>
      </c>
      <c r="M1853" s="21" t="e">
        <f t="shared" ca="1" si="39"/>
        <v>#DIV/0!</v>
      </c>
      <c r="N1853" s="20" t="str">
        <f ca="1">IFERROR(__xludf.DUMMYFUNCTION("IF(COUNTIFS($C$2:C1853, C1853, $A$2:A1853, ""&lt;="" &amp; A1853) &lt; 30, STDEV.P(FILTER($G$2:G1853, $C$2:C1853 = C1853)), STDEV.P(FILTER($G$2:G1853, $C$2:C1853 = C1853, $A$2:A1853 &gt;= A1853 - 30)))
"),"#DIV/0!")</f>
        <v>#DIV/0!</v>
      </c>
    </row>
    <row r="1854" spans="1:14" x14ac:dyDescent="0.2">
      <c r="A1854" s="41"/>
      <c r="B1854" s="40"/>
      <c r="C1854" s="40"/>
      <c r="D1854" s="31"/>
      <c r="E1854" s="31"/>
      <c r="F1854" s="31"/>
      <c r="G1854" s="19" t="e">
        <f t="shared" si="35"/>
        <v>#DIV/0!</v>
      </c>
      <c r="H1854" s="20" t="str">
        <f ca="1">IFERROR(__xludf.DUMMYFUNCTION("IF(COUNTIFS($C$2:C1854, C1854, $A$2:A1854, ""&lt;="" &amp; A1854) &lt; 30, AVERAGEIF($C$2:C1854, C1854, $G$2:G1854), AVERAGE(FILTER($G$2:G1854, $C$2:C1854 = C1854, $A$2:A1854 &gt;= A1854 - 30)))
"),"#DIV/0!")</f>
        <v>#DIV/0!</v>
      </c>
      <c r="I1854" s="20" t="e">
        <f t="shared" ca="1" si="36"/>
        <v>#DIV/0!</v>
      </c>
      <c r="J1854" s="20" t="str">
        <f ca="1">IFERROR(__xludf.DUMMYFUNCTION("IF(OR($I1854=2, $I1854=3), 0, IFERROR(COUNTIFS($C$2:C1854, $C1854, $A$2:A1854, ""&gt;""&amp;IFERROR(MAX(FILTER($A$2:A1854, $C$2:C1854=$C1854, $I$2:I1854&lt;&gt;1)), 0), $I$2:I1854, 1),1))
"),"#DIV/0!")</f>
        <v>#DIV/0!</v>
      </c>
      <c r="K1854" s="7" t="e">
        <f t="shared" ca="1" si="37"/>
        <v>#DIV/0!</v>
      </c>
      <c r="L1854" s="20" t="e">
        <f t="shared" ca="1" si="38"/>
        <v>#DIV/0!</v>
      </c>
      <c r="M1854" s="21" t="e">
        <f t="shared" ca="1" si="39"/>
        <v>#DIV/0!</v>
      </c>
      <c r="N1854" s="20" t="str">
        <f ca="1">IFERROR(__xludf.DUMMYFUNCTION("IF(COUNTIFS($C$2:C1854, C1854, $A$2:A1854, ""&lt;="" &amp; A1854) &lt; 30, STDEV.P(FILTER($G$2:G1854, $C$2:C1854 = C1854)), STDEV.P(FILTER($G$2:G1854, $C$2:C1854 = C1854, $A$2:A1854 &gt;= A1854 - 30)))
"),"#DIV/0!")</f>
        <v>#DIV/0!</v>
      </c>
    </row>
    <row r="1855" spans="1:14" x14ac:dyDescent="0.2">
      <c r="A1855" s="41"/>
      <c r="B1855" s="40"/>
      <c r="C1855" s="40"/>
      <c r="D1855" s="31"/>
      <c r="E1855" s="31"/>
      <c r="F1855" s="31"/>
      <c r="G1855" s="19" t="e">
        <f t="shared" si="35"/>
        <v>#DIV/0!</v>
      </c>
      <c r="H1855" s="20" t="str">
        <f ca="1">IFERROR(__xludf.DUMMYFUNCTION("IF(COUNTIFS($C$2:C1855, C1855, $A$2:A1855, ""&lt;="" &amp; A1855) &lt; 30, AVERAGEIF($C$2:C1855, C1855, $G$2:G1855), AVERAGE(FILTER($G$2:G1855, $C$2:C1855 = C1855, $A$2:A1855 &gt;= A1855 - 30)))
"),"#DIV/0!")</f>
        <v>#DIV/0!</v>
      </c>
      <c r="I1855" s="20" t="e">
        <f t="shared" ca="1" si="36"/>
        <v>#DIV/0!</v>
      </c>
      <c r="J1855" s="20" t="str">
        <f ca="1">IFERROR(__xludf.DUMMYFUNCTION("IF(OR($I1855=2, $I1855=3), 0, IFERROR(COUNTIFS($C$2:C1855, $C1855, $A$2:A1855, ""&gt;""&amp;IFERROR(MAX(FILTER($A$2:A1855, $C$2:C1855=$C1855, $I$2:I1855&lt;&gt;1)), 0), $I$2:I1855, 1),1))
"),"#DIV/0!")</f>
        <v>#DIV/0!</v>
      </c>
      <c r="K1855" s="7" t="e">
        <f t="shared" ca="1" si="37"/>
        <v>#DIV/0!</v>
      </c>
      <c r="L1855" s="20" t="e">
        <f t="shared" ca="1" si="38"/>
        <v>#DIV/0!</v>
      </c>
      <c r="M1855" s="21" t="e">
        <f t="shared" ca="1" si="39"/>
        <v>#DIV/0!</v>
      </c>
      <c r="N1855" s="20" t="str">
        <f ca="1">IFERROR(__xludf.DUMMYFUNCTION("IF(COUNTIFS($C$2:C1855, C1855, $A$2:A1855, ""&lt;="" &amp; A1855) &lt; 30, STDEV.P(FILTER($G$2:G1855, $C$2:C1855 = C1855)), STDEV.P(FILTER($G$2:G1855, $C$2:C1855 = C1855, $A$2:A1855 &gt;= A1855 - 30)))
"),"#DIV/0!")</f>
        <v>#DIV/0!</v>
      </c>
    </row>
    <row r="1856" spans="1:14" x14ac:dyDescent="0.2">
      <c r="A1856" s="41"/>
      <c r="B1856" s="40"/>
      <c r="C1856" s="40"/>
      <c r="D1856" s="31"/>
      <c r="E1856" s="31"/>
      <c r="F1856" s="31"/>
      <c r="G1856" s="19" t="e">
        <f t="shared" si="35"/>
        <v>#DIV/0!</v>
      </c>
      <c r="H1856" s="20" t="str">
        <f ca="1">IFERROR(__xludf.DUMMYFUNCTION("IF(COUNTIFS($C$2:C1856, C1856, $A$2:A1856, ""&lt;="" &amp; A1856) &lt; 30, AVERAGEIF($C$2:C1856, C1856, $G$2:G1856), AVERAGE(FILTER($G$2:G1856, $C$2:C1856 = C1856, $A$2:A1856 &gt;= A1856 - 30)))
"),"#DIV/0!")</f>
        <v>#DIV/0!</v>
      </c>
      <c r="I1856" s="20" t="e">
        <f t="shared" ca="1" si="36"/>
        <v>#DIV/0!</v>
      </c>
      <c r="J1856" s="20" t="str">
        <f ca="1">IFERROR(__xludf.DUMMYFUNCTION("IF(OR($I1856=2, $I1856=3), 0, IFERROR(COUNTIFS($C$2:C1856, $C1856, $A$2:A1856, ""&gt;""&amp;IFERROR(MAX(FILTER($A$2:A1856, $C$2:C1856=$C1856, $I$2:I1856&lt;&gt;1)), 0), $I$2:I1856, 1),1))
"),"#DIV/0!")</f>
        <v>#DIV/0!</v>
      </c>
      <c r="K1856" s="7" t="e">
        <f t="shared" ca="1" si="37"/>
        <v>#DIV/0!</v>
      </c>
      <c r="L1856" s="20" t="e">
        <f t="shared" ca="1" si="38"/>
        <v>#DIV/0!</v>
      </c>
      <c r="M1856" s="21" t="e">
        <f t="shared" ca="1" si="39"/>
        <v>#DIV/0!</v>
      </c>
      <c r="N1856" s="20" t="str">
        <f ca="1">IFERROR(__xludf.DUMMYFUNCTION("IF(COUNTIFS($C$2:C1856, C1856, $A$2:A1856, ""&lt;="" &amp; A1856) &lt; 30, STDEV.P(FILTER($G$2:G1856, $C$2:C1856 = C1856)), STDEV.P(FILTER($G$2:G1856, $C$2:C1856 = C1856, $A$2:A1856 &gt;= A1856 - 30)))
"),"#DIV/0!")</f>
        <v>#DIV/0!</v>
      </c>
    </row>
    <row r="1857" spans="1:14" x14ac:dyDescent="0.2">
      <c r="A1857" s="41"/>
      <c r="B1857" s="40"/>
      <c r="C1857" s="40"/>
      <c r="D1857" s="31"/>
      <c r="E1857" s="31"/>
      <c r="F1857" s="31"/>
      <c r="G1857" s="19" t="e">
        <f t="shared" si="35"/>
        <v>#DIV/0!</v>
      </c>
      <c r="H1857" s="20" t="str">
        <f ca="1">IFERROR(__xludf.DUMMYFUNCTION("IF(COUNTIFS($C$2:C1857, C1857, $A$2:A1857, ""&lt;="" &amp; A1857) &lt; 30, AVERAGEIF($C$2:C1857, C1857, $G$2:G1857), AVERAGE(FILTER($G$2:G1857, $C$2:C1857 = C1857, $A$2:A1857 &gt;= A1857 - 30)))
"),"#DIV/0!")</f>
        <v>#DIV/0!</v>
      </c>
      <c r="I1857" s="20" t="e">
        <f t="shared" ca="1" si="36"/>
        <v>#DIV/0!</v>
      </c>
      <c r="J1857" s="20" t="str">
        <f ca="1">IFERROR(__xludf.DUMMYFUNCTION("IF(OR($I1857=2, $I1857=3), 0, IFERROR(COUNTIFS($C$2:C1857, $C1857, $A$2:A1857, ""&gt;""&amp;IFERROR(MAX(FILTER($A$2:A1857, $C$2:C1857=$C1857, $I$2:I1857&lt;&gt;1)), 0), $I$2:I1857, 1),1))
"),"#DIV/0!")</f>
        <v>#DIV/0!</v>
      </c>
      <c r="K1857" s="7" t="e">
        <f t="shared" ca="1" si="37"/>
        <v>#DIV/0!</v>
      </c>
      <c r="L1857" s="20" t="e">
        <f t="shared" ca="1" si="38"/>
        <v>#DIV/0!</v>
      </c>
      <c r="M1857" s="21" t="e">
        <f t="shared" ca="1" si="39"/>
        <v>#DIV/0!</v>
      </c>
      <c r="N1857" s="20" t="str">
        <f ca="1">IFERROR(__xludf.DUMMYFUNCTION("IF(COUNTIFS($C$2:C1857, C1857, $A$2:A1857, ""&lt;="" &amp; A1857) &lt; 30, STDEV.P(FILTER($G$2:G1857, $C$2:C1857 = C1857)), STDEV.P(FILTER($G$2:G1857, $C$2:C1857 = C1857, $A$2:A1857 &gt;= A1857 - 30)))
"),"#DIV/0!")</f>
        <v>#DIV/0!</v>
      </c>
    </row>
    <row r="1858" spans="1:14" x14ac:dyDescent="0.2">
      <c r="A1858" s="41"/>
      <c r="B1858" s="40"/>
      <c r="C1858" s="40"/>
      <c r="D1858" s="31"/>
      <c r="E1858" s="31"/>
      <c r="F1858" s="31"/>
      <c r="G1858" s="19" t="e">
        <f t="shared" si="35"/>
        <v>#DIV/0!</v>
      </c>
      <c r="H1858" s="20" t="str">
        <f ca="1">IFERROR(__xludf.DUMMYFUNCTION("IF(COUNTIFS($C$2:C1858, C1858, $A$2:A1858, ""&lt;="" &amp; A1858) &lt; 30, AVERAGEIF($C$2:C1858, C1858, $G$2:G1858), AVERAGE(FILTER($G$2:G1858, $C$2:C1858 = C1858, $A$2:A1858 &gt;= A1858 - 30)))
"),"#DIV/0!")</f>
        <v>#DIV/0!</v>
      </c>
      <c r="I1858" s="20" t="e">
        <f t="shared" ca="1" si="36"/>
        <v>#DIV/0!</v>
      </c>
      <c r="J1858" s="20" t="str">
        <f ca="1">IFERROR(__xludf.DUMMYFUNCTION("IF(OR($I1858=2, $I1858=3), 0, IFERROR(COUNTIFS($C$2:C1858, $C1858, $A$2:A1858, ""&gt;""&amp;IFERROR(MAX(FILTER($A$2:A1858, $C$2:C1858=$C1858, $I$2:I1858&lt;&gt;1)), 0), $I$2:I1858, 1),1))
"),"#DIV/0!")</f>
        <v>#DIV/0!</v>
      </c>
      <c r="K1858" s="7" t="e">
        <f t="shared" ca="1" si="37"/>
        <v>#DIV/0!</v>
      </c>
      <c r="L1858" s="20" t="e">
        <f t="shared" ca="1" si="38"/>
        <v>#DIV/0!</v>
      </c>
      <c r="M1858" s="21" t="e">
        <f t="shared" ca="1" si="39"/>
        <v>#DIV/0!</v>
      </c>
      <c r="N1858" s="20" t="str">
        <f ca="1">IFERROR(__xludf.DUMMYFUNCTION("IF(COUNTIFS($C$2:C1858, C1858, $A$2:A1858, ""&lt;="" &amp; A1858) &lt; 30, STDEV.P(FILTER($G$2:G1858, $C$2:C1858 = C1858)), STDEV.P(FILTER($G$2:G1858, $C$2:C1858 = C1858, $A$2:A1858 &gt;= A1858 - 30)))
"),"#DIV/0!")</f>
        <v>#DIV/0!</v>
      </c>
    </row>
    <row r="1859" spans="1:14" x14ac:dyDescent="0.2">
      <c r="A1859" s="41"/>
      <c r="B1859" s="40"/>
      <c r="C1859" s="40"/>
      <c r="D1859" s="31"/>
      <c r="E1859" s="31"/>
      <c r="F1859" s="31"/>
      <c r="G1859" s="19" t="e">
        <f t="shared" si="35"/>
        <v>#DIV/0!</v>
      </c>
      <c r="H1859" s="20" t="str">
        <f ca="1">IFERROR(__xludf.DUMMYFUNCTION("IF(COUNTIFS($C$2:C1859, C1859, $A$2:A1859, ""&lt;="" &amp; A1859) &lt; 30, AVERAGEIF($C$2:C1859, C1859, $G$2:G1859), AVERAGE(FILTER($G$2:G1859, $C$2:C1859 = C1859, $A$2:A1859 &gt;= A1859 - 30)))
"),"#DIV/0!")</f>
        <v>#DIV/0!</v>
      </c>
      <c r="I1859" s="20" t="e">
        <f t="shared" ca="1" si="36"/>
        <v>#DIV/0!</v>
      </c>
      <c r="J1859" s="20" t="str">
        <f ca="1">IFERROR(__xludf.DUMMYFUNCTION("IF(OR($I1859=2, $I1859=3), 0, IFERROR(COUNTIFS($C$2:C1859, $C1859, $A$2:A1859, ""&gt;""&amp;IFERROR(MAX(FILTER($A$2:A1859, $C$2:C1859=$C1859, $I$2:I1859&lt;&gt;1)), 0), $I$2:I1859, 1),1))
"),"#DIV/0!")</f>
        <v>#DIV/0!</v>
      </c>
      <c r="K1859" s="7" t="e">
        <f t="shared" ca="1" si="37"/>
        <v>#DIV/0!</v>
      </c>
      <c r="L1859" s="20" t="e">
        <f t="shared" ca="1" si="38"/>
        <v>#DIV/0!</v>
      </c>
      <c r="M1859" s="21" t="e">
        <f t="shared" ca="1" si="39"/>
        <v>#DIV/0!</v>
      </c>
      <c r="N1859" s="20" t="str">
        <f ca="1">IFERROR(__xludf.DUMMYFUNCTION("IF(COUNTIFS($C$2:C1859, C1859, $A$2:A1859, ""&lt;="" &amp; A1859) &lt; 30, STDEV.P(FILTER($G$2:G1859, $C$2:C1859 = C1859)), STDEV.P(FILTER($G$2:G1859, $C$2:C1859 = C1859, $A$2:A1859 &gt;= A1859 - 30)))
"),"#DIV/0!")</f>
        <v>#DIV/0!</v>
      </c>
    </row>
    <row r="1860" spans="1:14" x14ac:dyDescent="0.2">
      <c r="A1860" s="41"/>
      <c r="B1860" s="40"/>
      <c r="C1860" s="40"/>
      <c r="D1860" s="31"/>
      <c r="E1860" s="31"/>
      <c r="F1860" s="31"/>
      <c r="G1860" s="19" t="e">
        <f t="shared" si="35"/>
        <v>#DIV/0!</v>
      </c>
      <c r="H1860" s="20" t="str">
        <f ca="1">IFERROR(__xludf.DUMMYFUNCTION("IF(COUNTIFS($C$2:C1860, C1860, $A$2:A1860, ""&lt;="" &amp; A1860) &lt; 30, AVERAGEIF($C$2:C1860, C1860, $G$2:G1860), AVERAGE(FILTER($G$2:G1860, $C$2:C1860 = C1860, $A$2:A1860 &gt;= A1860 - 30)))
"),"#DIV/0!")</f>
        <v>#DIV/0!</v>
      </c>
      <c r="I1860" s="20" t="e">
        <f t="shared" ca="1" si="36"/>
        <v>#DIV/0!</v>
      </c>
      <c r="J1860" s="20" t="str">
        <f ca="1">IFERROR(__xludf.DUMMYFUNCTION("IF(OR($I1860=2, $I1860=3), 0, IFERROR(COUNTIFS($C$2:C1860, $C1860, $A$2:A1860, ""&gt;""&amp;IFERROR(MAX(FILTER($A$2:A1860, $C$2:C1860=$C1860, $I$2:I1860&lt;&gt;1)), 0), $I$2:I1860, 1),1))
"),"#DIV/0!")</f>
        <v>#DIV/0!</v>
      </c>
      <c r="K1860" s="7" t="e">
        <f t="shared" ca="1" si="37"/>
        <v>#DIV/0!</v>
      </c>
      <c r="L1860" s="20" t="e">
        <f t="shared" ca="1" si="38"/>
        <v>#DIV/0!</v>
      </c>
      <c r="M1860" s="21" t="e">
        <f t="shared" ca="1" si="39"/>
        <v>#DIV/0!</v>
      </c>
      <c r="N1860" s="20" t="str">
        <f ca="1">IFERROR(__xludf.DUMMYFUNCTION("IF(COUNTIFS($C$2:C1860, C1860, $A$2:A1860, ""&lt;="" &amp; A1860) &lt; 30, STDEV.P(FILTER($G$2:G1860, $C$2:C1860 = C1860)), STDEV.P(FILTER($G$2:G1860, $C$2:C1860 = C1860, $A$2:A1860 &gt;= A1860 - 30)))
"),"#DIV/0!")</f>
        <v>#DIV/0!</v>
      </c>
    </row>
    <row r="1861" spans="1:14" x14ac:dyDescent="0.2">
      <c r="A1861" s="41"/>
      <c r="B1861" s="40"/>
      <c r="C1861" s="40"/>
      <c r="D1861" s="31"/>
      <c r="E1861" s="31"/>
      <c r="F1861" s="31"/>
      <c r="G1861" s="19" t="e">
        <f t="shared" si="35"/>
        <v>#DIV/0!</v>
      </c>
      <c r="H1861" s="20" t="str">
        <f ca="1">IFERROR(__xludf.DUMMYFUNCTION("IF(COUNTIFS($C$2:C1861, C1861, $A$2:A1861, ""&lt;="" &amp; A1861) &lt; 30, AVERAGEIF($C$2:C1861, C1861, $G$2:G1861), AVERAGE(FILTER($G$2:G1861, $C$2:C1861 = C1861, $A$2:A1861 &gt;= A1861 - 30)))
"),"#DIV/0!")</f>
        <v>#DIV/0!</v>
      </c>
      <c r="I1861" s="20" t="e">
        <f t="shared" ca="1" si="36"/>
        <v>#DIV/0!</v>
      </c>
      <c r="J1861" s="20" t="str">
        <f ca="1">IFERROR(__xludf.DUMMYFUNCTION("IF(OR($I1861=2, $I1861=3), 0, IFERROR(COUNTIFS($C$2:C1861, $C1861, $A$2:A1861, ""&gt;""&amp;IFERROR(MAX(FILTER($A$2:A1861, $C$2:C1861=$C1861, $I$2:I1861&lt;&gt;1)), 0), $I$2:I1861, 1),1))
"),"#DIV/0!")</f>
        <v>#DIV/0!</v>
      </c>
      <c r="K1861" s="7" t="e">
        <f t="shared" ca="1" si="37"/>
        <v>#DIV/0!</v>
      </c>
      <c r="L1861" s="20" t="e">
        <f t="shared" ca="1" si="38"/>
        <v>#DIV/0!</v>
      </c>
      <c r="M1861" s="21" t="e">
        <f t="shared" ca="1" si="39"/>
        <v>#DIV/0!</v>
      </c>
      <c r="N1861" s="20" t="str">
        <f ca="1">IFERROR(__xludf.DUMMYFUNCTION("IF(COUNTIFS($C$2:C1861, C1861, $A$2:A1861, ""&lt;="" &amp; A1861) &lt; 30, STDEV.P(FILTER($G$2:G1861, $C$2:C1861 = C1861)), STDEV.P(FILTER($G$2:G1861, $C$2:C1861 = C1861, $A$2:A1861 &gt;= A1861 - 30)))
"),"#DIV/0!")</f>
        <v>#DIV/0!</v>
      </c>
    </row>
    <row r="1862" spans="1:14" x14ac:dyDescent="0.2">
      <c r="A1862" s="41"/>
      <c r="B1862" s="40"/>
      <c r="C1862" s="40"/>
      <c r="D1862" s="31"/>
      <c r="E1862" s="31"/>
      <c r="F1862" s="31"/>
      <c r="G1862" s="19" t="e">
        <f t="shared" si="35"/>
        <v>#DIV/0!</v>
      </c>
      <c r="H1862" s="20" t="str">
        <f ca="1">IFERROR(__xludf.DUMMYFUNCTION("IF(COUNTIFS($C$2:C1862, C1862, $A$2:A1862, ""&lt;="" &amp; A1862) &lt; 30, AVERAGEIF($C$2:C1862, C1862, $G$2:G1862), AVERAGE(FILTER($G$2:G1862, $C$2:C1862 = C1862, $A$2:A1862 &gt;= A1862 - 30)))
"),"#DIV/0!")</f>
        <v>#DIV/0!</v>
      </c>
      <c r="I1862" s="20" t="e">
        <f t="shared" ca="1" si="36"/>
        <v>#DIV/0!</v>
      </c>
      <c r="J1862" s="20" t="str">
        <f ca="1">IFERROR(__xludf.DUMMYFUNCTION("IF(OR($I1862=2, $I1862=3), 0, IFERROR(COUNTIFS($C$2:C1862, $C1862, $A$2:A1862, ""&gt;""&amp;IFERROR(MAX(FILTER($A$2:A1862, $C$2:C1862=$C1862, $I$2:I1862&lt;&gt;1)), 0), $I$2:I1862, 1),1))
"),"#DIV/0!")</f>
        <v>#DIV/0!</v>
      </c>
      <c r="K1862" s="7" t="e">
        <f t="shared" ca="1" si="37"/>
        <v>#DIV/0!</v>
      </c>
      <c r="L1862" s="20" t="e">
        <f t="shared" ca="1" si="38"/>
        <v>#DIV/0!</v>
      </c>
      <c r="M1862" s="21" t="e">
        <f t="shared" ca="1" si="39"/>
        <v>#DIV/0!</v>
      </c>
      <c r="N1862" s="20" t="str">
        <f ca="1">IFERROR(__xludf.DUMMYFUNCTION("IF(COUNTIFS($C$2:C1862, C1862, $A$2:A1862, ""&lt;="" &amp; A1862) &lt; 30, STDEV.P(FILTER($G$2:G1862, $C$2:C1862 = C1862)), STDEV.P(FILTER($G$2:G1862, $C$2:C1862 = C1862, $A$2:A1862 &gt;= A1862 - 30)))
"),"#DIV/0!")</f>
        <v>#DIV/0!</v>
      </c>
    </row>
    <row r="1863" spans="1:14" x14ac:dyDescent="0.2">
      <c r="A1863" s="41"/>
      <c r="B1863" s="40"/>
      <c r="C1863" s="40"/>
      <c r="D1863" s="31"/>
      <c r="E1863" s="31"/>
      <c r="F1863" s="31"/>
      <c r="G1863" s="19" t="e">
        <f t="shared" si="35"/>
        <v>#DIV/0!</v>
      </c>
      <c r="H1863" s="20" t="str">
        <f ca="1">IFERROR(__xludf.DUMMYFUNCTION("IF(COUNTIFS($C$2:C1863, C1863, $A$2:A1863, ""&lt;="" &amp; A1863) &lt; 30, AVERAGEIF($C$2:C1863, C1863, $G$2:G1863), AVERAGE(FILTER($G$2:G1863, $C$2:C1863 = C1863, $A$2:A1863 &gt;= A1863 - 30)))
"),"#DIV/0!")</f>
        <v>#DIV/0!</v>
      </c>
      <c r="I1863" s="20" t="e">
        <f t="shared" ca="1" si="36"/>
        <v>#DIV/0!</v>
      </c>
      <c r="J1863" s="20" t="str">
        <f ca="1">IFERROR(__xludf.DUMMYFUNCTION("IF(OR($I1863=2, $I1863=3), 0, IFERROR(COUNTIFS($C$2:C1863, $C1863, $A$2:A1863, ""&gt;""&amp;IFERROR(MAX(FILTER($A$2:A1863, $C$2:C1863=$C1863, $I$2:I1863&lt;&gt;1)), 0), $I$2:I1863, 1),1))
"),"#DIV/0!")</f>
        <v>#DIV/0!</v>
      </c>
      <c r="K1863" s="7" t="e">
        <f t="shared" ca="1" si="37"/>
        <v>#DIV/0!</v>
      </c>
      <c r="L1863" s="20" t="e">
        <f t="shared" ca="1" si="38"/>
        <v>#DIV/0!</v>
      </c>
      <c r="M1863" s="21" t="e">
        <f t="shared" ca="1" si="39"/>
        <v>#DIV/0!</v>
      </c>
      <c r="N1863" s="20" t="str">
        <f ca="1">IFERROR(__xludf.DUMMYFUNCTION("IF(COUNTIFS($C$2:C1863, C1863, $A$2:A1863, ""&lt;="" &amp; A1863) &lt; 30, STDEV.P(FILTER($G$2:G1863, $C$2:C1863 = C1863)), STDEV.P(FILTER($G$2:G1863, $C$2:C1863 = C1863, $A$2:A1863 &gt;= A1863 - 30)))
"),"#DIV/0!")</f>
        <v>#DIV/0!</v>
      </c>
    </row>
    <row r="1864" spans="1:14" x14ac:dyDescent="0.2">
      <c r="A1864" s="41"/>
      <c r="B1864" s="40"/>
      <c r="C1864" s="40"/>
      <c r="D1864" s="31"/>
      <c r="E1864" s="31"/>
      <c r="F1864" s="31"/>
      <c r="G1864" s="19" t="e">
        <f t="shared" si="35"/>
        <v>#DIV/0!</v>
      </c>
      <c r="H1864" s="20" t="str">
        <f ca="1">IFERROR(__xludf.DUMMYFUNCTION("IF(COUNTIFS($C$2:C1864, C1864, $A$2:A1864, ""&lt;="" &amp; A1864) &lt; 30, AVERAGEIF($C$2:C1864, C1864, $G$2:G1864), AVERAGE(FILTER($G$2:G1864, $C$2:C1864 = C1864, $A$2:A1864 &gt;= A1864 - 30)))
"),"#DIV/0!")</f>
        <v>#DIV/0!</v>
      </c>
      <c r="I1864" s="20" t="e">
        <f t="shared" ca="1" si="36"/>
        <v>#DIV/0!</v>
      </c>
      <c r="J1864" s="20" t="str">
        <f ca="1">IFERROR(__xludf.DUMMYFUNCTION("IF(OR($I1864=2, $I1864=3), 0, IFERROR(COUNTIFS($C$2:C1864, $C1864, $A$2:A1864, ""&gt;""&amp;IFERROR(MAX(FILTER($A$2:A1864, $C$2:C1864=$C1864, $I$2:I1864&lt;&gt;1)), 0), $I$2:I1864, 1),1))
"),"#DIV/0!")</f>
        <v>#DIV/0!</v>
      </c>
      <c r="K1864" s="7" t="e">
        <f t="shared" ca="1" si="37"/>
        <v>#DIV/0!</v>
      </c>
      <c r="L1864" s="20" t="e">
        <f t="shared" ca="1" si="38"/>
        <v>#DIV/0!</v>
      </c>
      <c r="M1864" s="21" t="e">
        <f t="shared" ca="1" si="39"/>
        <v>#DIV/0!</v>
      </c>
      <c r="N1864" s="20" t="str">
        <f ca="1">IFERROR(__xludf.DUMMYFUNCTION("IF(COUNTIFS($C$2:C1864, C1864, $A$2:A1864, ""&lt;="" &amp; A1864) &lt; 30, STDEV.P(FILTER($G$2:G1864, $C$2:C1864 = C1864)), STDEV.P(FILTER($G$2:G1864, $C$2:C1864 = C1864, $A$2:A1864 &gt;= A1864 - 30)))
"),"#DIV/0!")</f>
        <v>#DIV/0!</v>
      </c>
    </row>
    <row r="1865" spans="1:14" x14ac:dyDescent="0.2">
      <c r="A1865" s="41"/>
      <c r="B1865" s="40"/>
      <c r="C1865" s="40"/>
      <c r="D1865" s="31"/>
      <c r="E1865" s="31"/>
      <c r="F1865" s="31"/>
      <c r="G1865" s="19" t="e">
        <f t="shared" si="35"/>
        <v>#DIV/0!</v>
      </c>
      <c r="H1865" s="20" t="str">
        <f ca="1">IFERROR(__xludf.DUMMYFUNCTION("IF(COUNTIFS($C$2:C1865, C1865, $A$2:A1865, ""&lt;="" &amp; A1865) &lt; 30, AVERAGEIF($C$2:C1865, C1865, $G$2:G1865), AVERAGE(FILTER($G$2:G1865, $C$2:C1865 = C1865, $A$2:A1865 &gt;= A1865 - 30)))
"),"#DIV/0!")</f>
        <v>#DIV/0!</v>
      </c>
      <c r="I1865" s="20" t="e">
        <f t="shared" ca="1" si="36"/>
        <v>#DIV/0!</v>
      </c>
      <c r="J1865" s="20" t="str">
        <f ca="1">IFERROR(__xludf.DUMMYFUNCTION("IF(OR($I1865=2, $I1865=3), 0, IFERROR(COUNTIFS($C$2:C1865, $C1865, $A$2:A1865, ""&gt;""&amp;IFERROR(MAX(FILTER($A$2:A1865, $C$2:C1865=$C1865, $I$2:I1865&lt;&gt;1)), 0), $I$2:I1865, 1),1))
"),"#DIV/0!")</f>
        <v>#DIV/0!</v>
      </c>
      <c r="K1865" s="7" t="e">
        <f t="shared" ca="1" si="37"/>
        <v>#DIV/0!</v>
      </c>
      <c r="L1865" s="20" t="e">
        <f t="shared" ca="1" si="38"/>
        <v>#DIV/0!</v>
      </c>
      <c r="M1865" s="21" t="e">
        <f t="shared" ca="1" si="39"/>
        <v>#DIV/0!</v>
      </c>
      <c r="N1865" s="20" t="str">
        <f ca="1">IFERROR(__xludf.DUMMYFUNCTION("IF(COUNTIFS($C$2:C1865, C1865, $A$2:A1865, ""&lt;="" &amp; A1865) &lt; 30, STDEV.P(FILTER($G$2:G1865, $C$2:C1865 = C1865)), STDEV.P(FILTER($G$2:G1865, $C$2:C1865 = C1865, $A$2:A1865 &gt;= A1865 - 30)))
"),"#DIV/0!")</f>
        <v>#DIV/0!</v>
      </c>
    </row>
    <row r="1866" spans="1:14" x14ac:dyDescent="0.2">
      <c r="A1866" s="41"/>
      <c r="B1866" s="40"/>
      <c r="C1866" s="40"/>
      <c r="D1866" s="31"/>
      <c r="E1866" s="31"/>
      <c r="F1866" s="31"/>
      <c r="G1866" s="19" t="e">
        <f t="shared" si="35"/>
        <v>#DIV/0!</v>
      </c>
      <c r="H1866" s="20" t="str">
        <f ca="1">IFERROR(__xludf.DUMMYFUNCTION("IF(COUNTIFS($C$2:C1866, C1866, $A$2:A1866, ""&lt;="" &amp; A1866) &lt; 30, AVERAGEIF($C$2:C1866, C1866, $G$2:G1866), AVERAGE(FILTER($G$2:G1866, $C$2:C1866 = C1866, $A$2:A1866 &gt;= A1866 - 30)))
"),"#DIV/0!")</f>
        <v>#DIV/0!</v>
      </c>
      <c r="I1866" s="20" t="e">
        <f t="shared" ca="1" si="36"/>
        <v>#DIV/0!</v>
      </c>
      <c r="J1866" s="20" t="str">
        <f ca="1">IFERROR(__xludf.DUMMYFUNCTION("IF(OR($I1866=2, $I1866=3), 0, IFERROR(COUNTIFS($C$2:C1866, $C1866, $A$2:A1866, ""&gt;""&amp;IFERROR(MAX(FILTER($A$2:A1866, $C$2:C1866=$C1866, $I$2:I1866&lt;&gt;1)), 0), $I$2:I1866, 1),1))
"),"#DIV/0!")</f>
        <v>#DIV/0!</v>
      </c>
      <c r="K1866" s="7" t="e">
        <f t="shared" ca="1" si="37"/>
        <v>#DIV/0!</v>
      </c>
      <c r="L1866" s="20" t="e">
        <f t="shared" ca="1" si="38"/>
        <v>#DIV/0!</v>
      </c>
      <c r="M1866" s="21" t="e">
        <f t="shared" ca="1" si="39"/>
        <v>#DIV/0!</v>
      </c>
      <c r="N1866" s="20" t="str">
        <f ca="1">IFERROR(__xludf.DUMMYFUNCTION("IF(COUNTIFS($C$2:C1866, C1866, $A$2:A1866, ""&lt;="" &amp; A1866) &lt; 30, STDEV.P(FILTER($G$2:G1866, $C$2:C1866 = C1866)), STDEV.P(FILTER($G$2:G1866, $C$2:C1866 = C1866, $A$2:A1866 &gt;= A1866 - 30)))
"),"#DIV/0!")</f>
        <v>#DIV/0!</v>
      </c>
    </row>
    <row r="1867" spans="1:14" x14ac:dyDescent="0.2">
      <c r="A1867" s="41"/>
      <c r="B1867" s="40"/>
      <c r="C1867" s="40"/>
      <c r="D1867" s="31"/>
      <c r="E1867" s="31"/>
      <c r="F1867" s="31"/>
      <c r="G1867" s="19" t="e">
        <f t="shared" si="35"/>
        <v>#DIV/0!</v>
      </c>
      <c r="H1867" s="20" t="str">
        <f ca="1">IFERROR(__xludf.DUMMYFUNCTION("IF(COUNTIFS($C$2:C1867, C1867, $A$2:A1867, ""&lt;="" &amp; A1867) &lt; 30, AVERAGEIF($C$2:C1867, C1867, $G$2:G1867), AVERAGE(FILTER($G$2:G1867, $C$2:C1867 = C1867, $A$2:A1867 &gt;= A1867 - 30)))
"),"#DIV/0!")</f>
        <v>#DIV/0!</v>
      </c>
      <c r="I1867" s="20" t="e">
        <f t="shared" ca="1" si="36"/>
        <v>#DIV/0!</v>
      </c>
      <c r="J1867" s="20" t="str">
        <f ca="1">IFERROR(__xludf.DUMMYFUNCTION("IF(OR($I1867=2, $I1867=3), 0, IFERROR(COUNTIFS($C$2:C1867, $C1867, $A$2:A1867, ""&gt;""&amp;IFERROR(MAX(FILTER($A$2:A1867, $C$2:C1867=$C1867, $I$2:I1867&lt;&gt;1)), 0), $I$2:I1867, 1),1))
"),"#DIV/0!")</f>
        <v>#DIV/0!</v>
      </c>
      <c r="K1867" s="7" t="e">
        <f t="shared" ca="1" si="37"/>
        <v>#DIV/0!</v>
      </c>
      <c r="L1867" s="20" t="e">
        <f t="shared" ca="1" si="38"/>
        <v>#DIV/0!</v>
      </c>
      <c r="M1867" s="21" t="e">
        <f t="shared" ca="1" si="39"/>
        <v>#DIV/0!</v>
      </c>
      <c r="N1867" s="20" t="str">
        <f ca="1">IFERROR(__xludf.DUMMYFUNCTION("IF(COUNTIFS($C$2:C1867, C1867, $A$2:A1867, ""&lt;="" &amp; A1867) &lt; 30, STDEV.P(FILTER($G$2:G1867, $C$2:C1867 = C1867)), STDEV.P(FILTER($G$2:G1867, $C$2:C1867 = C1867, $A$2:A1867 &gt;= A1867 - 30)))
"),"#DIV/0!")</f>
        <v>#DIV/0!</v>
      </c>
    </row>
    <row r="1868" spans="1:14" x14ac:dyDescent="0.2">
      <c r="A1868" s="41"/>
      <c r="B1868" s="40"/>
      <c r="C1868" s="40"/>
      <c r="D1868" s="31"/>
      <c r="E1868" s="31"/>
      <c r="F1868" s="31"/>
      <c r="G1868" s="19" t="e">
        <f t="shared" si="35"/>
        <v>#DIV/0!</v>
      </c>
      <c r="H1868" s="20" t="str">
        <f ca="1">IFERROR(__xludf.DUMMYFUNCTION("IF(COUNTIFS($C$2:C1868, C1868, $A$2:A1868, ""&lt;="" &amp; A1868) &lt; 30, AVERAGEIF($C$2:C1868, C1868, $G$2:G1868), AVERAGE(FILTER($G$2:G1868, $C$2:C1868 = C1868, $A$2:A1868 &gt;= A1868 - 30)))
"),"#DIV/0!")</f>
        <v>#DIV/0!</v>
      </c>
      <c r="I1868" s="20" t="e">
        <f t="shared" ca="1" si="36"/>
        <v>#DIV/0!</v>
      </c>
      <c r="J1868" s="20" t="str">
        <f ca="1">IFERROR(__xludf.DUMMYFUNCTION("IF(OR($I1868=2, $I1868=3), 0, IFERROR(COUNTIFS($C$2:C1868, $C1868, $A$2:A1868, ""&gt;""&amp;IFERROR(MAX(FILTER($A$2:A1868, $C$2:C1868=$C1868, $I$2:I1868&lt;&gt;1)), 0), $I$2:I1868, 1),1))
"),"#DIV/0!")</f>
        <v>#DIV/0!</v>
      </c>
      <c r="K1868" s="7" t="e">
        <f t="shared" ca="1" si="37"/>
        <v>#DIV/0!</v>
      </c>
      <c r="L1868" s="20" t="e">
        <f t="shared" ca="1" si="38"/>
        <v>#DIV/0!</v>
      </c>
      <c r="M1868" s="21" t="e">
        <f t="shared" ca="1" si="39"/>
        <v>#DIV/0!</v>
      </c>
      <c r="N1868" s="20" t="str">
        <f ca="1">IFERROR(__xludf.DUMMYFUNCTION("IF(COUNTIFS($C$2:C1868, C1868, $A$2:A1868, ""&lt;="" &amp; A1868) &lt; 30, STDEV.P(FILTER($G$2:G1868, $C$2:C1868 = C1868)), STDEV.P(FILTER($G$2:G1868, $C$2:C1868 = C1868, $A$2:A1868 &gt;= A1868 - 30)))
"),"#DIV/0!")</f>
        <v>#DIV/0!</v>
      </c>
    </row>
    <row r="1869" spans="1:14" x14ac:dyDescent="0.2">
      <c r="A1869" s="41"/>
      <c r="B1869" s="40"/>
      <c r="C1869" s="40"/>
      <c r="D1869" s="31"/>
      <c r="E1869" s="31"/>
      <c r="F1869" s="31"/>
      <c r="G1869" s="19" t="e">
        <f t="shared" si="35"/>
        <v>#DIV/0!</v>
      </c>
      <c r="H1869" s="20" t="str">
        <f ca="1">IFERROR(__xludf.DUMMYFUNCTION("IF(COUNTIFS($C$2:C1869, C1869, $A$2:A1869, ""&lt;="" &amp; A1869) &lt; 30, AVERAGEIF($C$2:C1869, C1869, $G$2:G1869), AVERAGE(FILTER($G$2:G1869, $C$2:C1869 = C1869, $A$2:A1869 &gt;= A1869 - 30)))
"),"#DIV/0!")</f>
        <v>#DIV/0!</v>
      </c>
      <c r="I1869" s="20" t="e">
        <f t="shared" ca="1" si="36"/>
        <v>#DIV/0!</v>
      </c>
      <c r="J1869" s="20" t="str">
        <f ca="1">IFERROR(__xludf.DUMMYFUNCTION("IF(OR($I1869=2, $I1869=3), 0, IFERROR(COUNTIFS($C$2:C1869, $C1869, $A$2:A1869, ""&gt;""&amp;IFERROR(MAX(FILTER($A$2:A1869, $C$2:C1869=$C1869, $I$2:I1869&lt;&gt;1)), 0), $I$2:I1869, 1),1))
"),"#DIV/0!")</f>
        <v>#DIV/0!</v>
      </c>
      <c r="K1869" s="7" t="e">
        <f t="shared" ca="1" si="37"/>
        <v>#DIV/0!</v>
      </c>
      <c r="L1869" s="20" t="e">
        <f t="shared" ca="1" si="38"/>
        <v>#DIV/0!</v>
      </c>
      <c r="M1869" s="21" t="e">
        <f t="shared" ca="1" si="39"/>
        <v>#DIV/0!</v>
      </c>
      <c r="N1869" s="20" t="str">
        <f ca="1">IFERROR(__xludf.DUMMYFUNCTION("IF(COUNTIFS($C$2:C1869, C1869, $A$2:A1869, ""&lt;="" &amp; A1869) &lt; 30, STDEV.P(FILTER($G$2:G1869, $C$2:C1869 = C1869)), STDEV.P(FILTER($G$2:G1869, $C$2:C1869 = C1869, $A$2:A1869 &gt;= A1869 - 30)))
"),"#DIV/0!")</f>
        <v>#DIV/0!</v>
      </c>
    </row>
    <row r="1870" spans="1:14" x14ac:dyDescent="0.2">
      <c r="A1870" s="41"/>
      <c r="B1870" s="40"/>
      <c r="C1870" s="40"/>
      <c r="D1870" s="31"/>
      <c r="E1870" s="31"/>
      <c r="F1870" s="31"/>
      <c r="G1870" s="19" t="e">
        <f t="shared" si="35"/>
        <v>#DIV/0!</v>
      </c>
      <c r="H1870" s="20" t="str">
        <f ca="1">IFERROR(__xludf.DUMMYFUNCTION("IF(COUNTIFS($C$2:C1870, C1870, $A$2:A1870, ""&lt;="" &amp; A1870) &lt; 30, AVERAGEIF($C$2:C1870, C1870, $G$2:G1870), AVERAGE(FILTER($G$2:G1870, $C$2:C1870 = C1870, $A$2:A1870 &gt;= A1870 - 30)))
"),"#DIV/0!")</f>
        <v>#DIV/0!</v>
      </c>
      <c r="I1870" s="20" t="e">
        <f t="shared" ca="1" si="36"/>
        <v>#DIV/0!</v>
      </c>
      <c r="J1870" s="20" t="str">
        <f ca="1">IFERROR(__xludf.DUMMYFUNCTION("IF(OR($I1870=2, $I1870=3), 0, IFERROR(COUNTIFS($C$2:C1870, $C1870, $A$2:A1870, ""&gt;""&amp;IFERROR(MAX(FILTER($A$2:A1870, $C$2:C1870=$C1870, $I$2:I1870&lt;&gt;1)), 0), $I$2:I1870, 1),1))
"),"#DIV/0!")</f>
        <v>#DIV/0!</v>
      </c>
      <c r="K1870" s="7" t="e">
        <f t="shared" ca="1" si="37"/>
        <v>#DIV/0!</v>
      </c>
      <c r="L1870" s="20" t="e">
        <f t="shared" ca="1" si="38"/>
        <v>#DIV/0!</v>
      </c>
      <c r="M1870" s="21" t="e">
        <f t="shared" ca="1" si="39"/>
        <v>#DIV/0!</v>
      </c>
      <c r="N1870" s="20" t="str">
        <f ca="1">IFERROR(__xludf.DUMMYFUNCTION("IF(COUNTIFS($C$2:C1870, C1870, $A$2:A1870, ""&lt;="" &amp; A1870) &lt; 30, STDEV.P(FILTER($G$2:G1870, $C$2:C1870 = C1870)), STDEV.P(FILTER($G$2:G1870, $C$2:C1870 = C1870, $A$2:A1870 &gt;= A1870 - 30)))
"),"#DIV/0!")</f>
        <v>#DIV/0!</v>
      </c>
    </row>
    <row r="1871" spans="1:14" x14ac:dyDescent="0.2">
      <c r="A1871" s="41"/>
      <c r="B1871" s="40"/>
      <c r="C1871" s="40"/>
      <c r="D1871" s="31"/>
      <c r="E1871" s="31"/>
      <c r="F1871" s="31"/>
      <c r="G1871" s="19" t="e">
        <f t="shared" si="35"/>
        <v>#DIV/0!</v>
      </c>
      <c r="H1871" s="20" t="str">
        <f ca="1">IFERROR(__xludf.DUMMYFUNCTION("IF(COUNTIFS($C$2:C1871, C1871, $A$2:A1871, ""&lt;="" &amp; A1871) &lt; 30, AVERAGEIF($C$2:C1871, C1871, $G$2:G1871), AVERAGE(FILTER($G$2:G1871, $C$2:C1871 = C1871, $A$2:A1871 &gt;= A1871 - 30)))
"),"#DIV/0!")</f>
        <v>#DIV/0!</v>
      </c>
      <c r="I1871" s="20" t="e">
        <f t="shared" ca="1" si="36"/>
        <v>#DIV/0!</v>
      </c>
      <c r="J1871" s="20" t="str">
        <f ca="1">IFERROR(__xludf.DUMMYFUNCTION("IF(OR($I1871=2, $I1871=3), 0, IFERROR(COUNTIFS($C$2:C1871, $C1871, $A$2:A1871, ""&gt;""&amp;IFERROR(MAX(FILTER($A$2:A1871, $C$2:C1871=$C1871, $I$2:I1871&lt;&gt;1)), 0), $I$2:I1871, 1),1))
"),"#DIV/0!")</f>
        <v>#DIV/0!</v>
      </c>
      <c r="K1871" s="7" t="e">
        <f t="shared" ca="1" si="37"/>
        <v>#DIV/0!</v>
      </c>
      <c r="L1871" s="20" t="e">
        <f t="shared" ca="1" si="38"/>
        <v>#DIV/0!</v>
      </c>
      <c r="M1871" s="21" t="e">
        <f t="shared" ca="1" si="39"/>
        <v>#DIV/0!</v>
      </c>
      <c r="N1871" s="20" t="str">
        <f ca="1">IFERROR(__xludf.DUMMYFUNCTION("IF(COUNTIFS($C$2:C1871, C1871, $A$2:A1871, ""&lt;="" &amp; A1871) &lt; 30, STDEV.P(FILTER($G$2:G1871, $C$2:C1871 = C1871)), STDEV.P(FILTER($G$2:G1871, $C$2:C1871 = C1871, $A$2:A1871 &gt;= A1871 - 30)))
"),"#DIV/0!")</f>
        <v>#DIV/0!</v>
      </c>
    </row>
    <row r="1872" spans="1:14" x14ac:dyDescent="0.2">
      <c r="A1872" s="41"/>
      <c r="B1872" s="40"/>
      <c r="C1872" s="40"/>
      <c r="D1872" s="31"/>
      <c r="E1872" s="31"/>
      <c r="F1872" s="31"/>
      <c r="G1872" s="19" t="e">
        <f t="shared" si="35"/>
        <v>#DIV/0!</v>
      </c>
      <c r="H1872" s="20" t="str">
        <f ca="1">IFERROR(__xludf.DUMMYFUNCTION("IF(COUNTIFS($C$2:C1872, C1872, $A$2:A1872, ""&lt;="" &amp; A1872) &lt; 30, AVERAGEIF($C$2:C1872, C1872, $G$2:G1872), AVERAGE(FILTER($G$2:G1872, $C$2:C1872 = C1872, $A$2:A1872 &gt;= A1872 - 30)))
"),"#DIV/0!")</f>
        <v>#DIV/0!</v>
      </c>
      <c r="I1872" s="20" t="e">
        <f t="shared" ca="1" si="36"/>
        <v>#DIV/0!</v>
      </c>
      <c r="J1872" s="20" t="str">
        <f ca="1">IFERROR(__xludf.DUMMYFUNCTION("IF(OR($I1872=2, $I1872=3), 0, IFERROR(COUNTIFS($C$2:C1872, $C1872, $A$2:A1872, ""&gt;""&amp;IFERROR(MAX(FILTER($A$2:A1872, $C$2:C1872=$C1872, $I$2:I1872&lt;&gt;1)), 0), $I$2:I1872, 1),1))
"),"#DIV/0!")</f>
        <v>#DIV/0!</v>
      </c>
      <c r="K1872" s="7" t="e">
        <f t="shared" ca="1" si="37"/>
        <v>#DIV/0!</v>
      </c>
      <c r="L1872" s="20" t="e">
        <f t="shared" ca="1" si="38"/>
        <v>#DIV/0!</v>
      </c>
      <c r="M1872" s="21" t="e">
        <f t="shared" ca="1" si="39"/>
        <v>#DIV/0!</v>
      </c>
      <c r="N1872" s="20" t="str">
        <f ca="1">IFERROR(__xludf.DUMMYFUNCTION("IF(COUNTIFS($C$2:C1872, C1872, $A$2:A1872, ""&lt;="" &amp; A1872) &lt; 30, STDEV.P(FILTER($G$2:G1872, $C$2:C1872 = C1872)), STDEV.P(FILTER($G$2:G1872, $C$2:C1872 = C1872, $A$2:A1872 &gt;= A1872 - 30)))
"),"#DIV/0!")</f>
        <v>#DIV/0!</v>
      </c>
    </row>
    <row r="1873" spans="1:14" x14ac:dyDescent="0.2">
      <c r="A1873" s="41"/>
      <c r="B1873" s="40"/>
      <c r="C1873" s="40"/>
      <c r="D1873" s="31"/>
      <c r="E1873" s="31"/>
      <c r="F1873" s="31"/>
      <c r="G1873" s="19" t="e">
        <f t="shared" si="35"/>
        <v>#DIV/0!</v>
      </c>
      <c r="H1873" s="20" t="str">
        <f ca="1">IFERROR(__xludf.DUMMYFUNCTION("IF(COUNTIFS($C$2:C1873, C1873, $A$2:A1873, ""&lt;="" &amp; A1873) &lt; 30, AVERAGEIF($C$2:C1873, C1873, $G$2:G1873), AVERAGE(FILTER($G$2:G1873, $C$2:C1873 = C1873, $A$2:A1873 &gt;= A1873 - 30)))
"),"#DIV/0!")</f>
        <v>#DIV/0!</v>
      </c>
      <c r="I1873" s="20" t="e">
        <f t="shared" ca="1" si="36"/>
        <v>#DIV/0!</v>
      </c>
      <c r="J1873" s="20" t="str">
        <f ca="1">IFERROR(__xludf.DUMMYFUNCTION("IF(OR($I1873=2, $I1873=3), 0, IFERROR(COUNTIFS($C$2:C1873, $C1873, $A$2:A1873, ""&gt;""&amp;IFERROR(MAX(FILTER($A$2:A1873, $C$2:C1873=$C1873, $I$2:I1873&lt;&gt;1)), 0), $I$2:I1873, 1),1))
"),"#DIV/0!")</f>
        <v>#DIV/0!</v>
      </c>
      <c r="K1873" s="7" t="e">
        <f t="shared" ca="1" si="37"/>
        <v>#DIV/0!</v>
      </c>
      <c r="L1873" s="20" t="e">
        <f t="shared" ca="1" si="38"/>
        <v>#DIV/0!</v>
      </c>
      <c r="M1873" s="21" t="e">
        <f t="shared" ca="1" si="39"/>
        <v>#DIV/0!</v>
      </c>
      <c r="N1873" s="20" t="str">
        <f ca="1">IFERROR(__xludf.DUMMYFUNCTION("IF(COUNTIFS($C$2:C1873, C1873, $A$2:A1873, ""&lt;="" &amp; A1873) &lt; 30, STDEV.P(FILTER($G$2:G1873, $C$2:C1873 = C1873)), STDEV.P(FILTER($G$2:G1873, $C$2:C1873 = C1873, $A$2:A1873 &gt;= A1873 - 30)))
"),"#DIV/0!")</f>
        <v>#DIV/0!</v>
      </c>
    </row>
    <row r="1874" spans="1:14" x14ac:dyDescent="0.2">
      <c r="A1874" s="41"/>
      <c r="B1874" s="40"/>
      <c r="C1874" s="40"/>
      <c r="D1874" s="31"/>
      <c r="E1874" s="31"/>
      <c r="F1874" s="31"/>
      <c r="G1874" s="19" t="e">
        <f t="shared" si="35"/>
        <v>#DIV/0!</v>
      </c>
      <c r="H1874" s="20" t="str">
        <f ca="1">IFERROR(__xludf.DUMMYFUNCTION("IF(COUNTIFS($C$2:C1874, C1874, $A$2:A1874, ""&lt;="" &amp; A1874) &lt; 30, AVERAGEIF($C$2:C1874, C1874, $G$2:G1874), AVERAGE(FILTER($G$2:G1874, $C$2:C1874 = C1874, $A$2:A1874 &gt;= A1874 - 30)))
"),"#DIV/0!")</f>
        <v>#DIV/0!</v>
      </c>
      <c r="I1874" s="20" t="e">
        <f t="shared" ca="1" si="36"/>
        <v>#DIV/0!</v>
      </c>
      <c r="J1874" s="20" t="str">
        <f ca="1">IFERROR(__xludf.DUMMYFUNCTION("IF(OR($I1874=2, $I1874=3), 0, IFERROR(COUNTIFS($C$2:C1874, $C1874, $A$2:A1874, ""&gt;""&amp;IFERROR(MAX(FILTER($A$2:A1874, $C$2:C1874=$C1874, $I$2:I1874&lt;&gt;1)), 0), $I$2:I1874, 1),1))
"),"#DIV/0!")</f>
        <v>#DIV/0!</v>
      </c>
      <c r="K1874" s="7" t="e">
        <f t="shared" ca="1" si="37"/>
        <v>#DIV/0!</v>
      </c>
      <c r="L1874" s="20" t="e">
        <f t="shared" ca="1" si="38"/>
        <v>#DIV/0!</v>
      </c>
      <c r="M1874" s="21" t="e">
        <f t="shared" ca="1" si="39"/>
        <v>#DIV/0!</v>
      </c>
      <c r="N1874" s="20" t="str">
        <f ca="1">IFERROR(__xludf.DUMMYFUNCTION("IF(COUNTIFS($C$2:C1874, C1874, $A$2:A1874, ""&lt;="" &amp; A1874) &lt; 30, STDEV.P(FILTER($G$2:G1874, $C$2:C1874 = C1874)), STDEV.P(FILTER($G$2:G1874, $C$2:C1874 = C1874, $A$2:A1874 &gt;= A1874 - 30)))
"),"#DIV/0!")</f>
        <v>#DIV/0!</v>
      </c>
    </row>
    <row r="1875" spans="1:14" x14ac:dyDescent="0.2">
      <c r="A1875" s="41"/>
      <c r="B1875" s="40"/>
      <c r="C1875" s="40"/>
      <c r="D1875" s="31"/>
      <c r="E1875" s="31"/>
      <c r="F1875" s="31"/>
      <c r="G1875" s="19" t="e">
        <f t="shared" si="35"/>
        <v>#DIV/0!</v>
      </c>
      <c r="H1875" s="20" t="str">
        <f ca="1">IFERROR(__xludf.DUMMYFUNCTION("IF(COUNTIFS($C$2:C1875, C1875, $A$2:A1875, ""&lt;="" &amp; A1875) &lt; 30, AVERAGEIF($C$2:C1875, C1875, $G$2:G1875), AVERAGE(FILTER($G$2:G1875, $C$2:C1875 = C1875, $A$2:A1875 &gt;= A1875 - 30)))
"),"#DIV/0!")</f>
        <v>#DIV/0!</v>
      </c>
      <c r="I1875" s="20" t="e">
        <f t="shared" ca="1" si="36"/>
        <v>#DIV/0!</v>
      </c>
      <c r="J1875" s="20" t="str">
        <f ca="1">IFERROR(__xludf.DUMMYFUNCTION("IF(OR($I1875=2, $I1875=3), 0, IFERROR(COUNTIFS($C$2:C1875, $C1875, $A$2:A1875, ""&gt;""&amp;IFERROR(MAX(FILTER($A$2:A1875, $C$2:C1875=$C1875, $I$2:I1875&lt;&gt;1)), 0), $I$2:I1875, 1),1))
"),"#DIV/0!")</f>
        <v>#DIV/0!</v>
      </c>
      <c r="K1875" s="7" t="e">
        <f t="shared" ca="1" si="37"/>
        <v>#DIV/0!</v>
      </c>
      <c r="L1875" s="20" t="e">
        <f t="shared" ca="1" si="38"/>
        <v>#DIV/0!</v>
      </c>
      <c r="M1875" s="21" t="e">
        <f t="shared" ca="1" si="39"/>
        <v>#DIV/0!</v>
      </c>
      <c r="N1875" s="20" t="str">
        <f ca="1">IFERROR(__xludf.DUMMYFUNCTION("IF(COUNTIFS($C$2:C1875, C1875, $A$2:A1875, ""&lt;="" &amp; A1875) &lt; 30, STDEV.P(FILTER($G$2:G1875, $C$2:C1875 = C1875)), STDEV.P(FILTER($G$2:G1875, $C$2:C1875 = C1875, $A$2:A1875 &gt;= A1875 - 30)))
"),"#DIV/0!")</f>
        <v>#DIV/0!</v>
      </c>
    </row>
    <row r="1876" spans="1:14" x14ac:dyDescent="0.2">
      <c r="A1876" s="41"/>
      <c r="B1876" s="40"/>
      <c r="C1876" s="40"/>
      <c r="D1876" s="31"/>
      <c r="E1876" s="31"/>
      <c r="F1876" s="31"/>
      <c r="G1876" s="19" t="e">
        <f t="shared" si="35"/>
        <v>#DIV/0!</v>
      </c>
      <c r="H1876" s="20" t="str">
        <f ca="1">IFERROR(__xludf.DUMMYFUNCTION("IF(COUNTIFS($C$2:C1876, C1876, $A$2:A1876, ""&lt;="" &amp; A1876) &lt; 30, AVERAGEIF($C$2:C1876, C1876, $G$2:G1876), AVERAGE(FILTER($G$2:G1876, $C$2:C1876 = C1876, $A$2:A1876 &gt;= A1876 - 30)))
"),"#DIV/0!")</f>
        <v>#DIV/0!</v>
      </c>
      <c r="I1876" s="20" t="e">
        <f t="shared" ca="1" si="36"/>
        <v>#DIV/0!</v>
      </c>
      <c r="J1876" s="20" t="str">
        <f ca="1">IFERROR(__xludf.DUMMYFUNCTION("IF(OR($I1876=2, $I1876=3), 0, IFERROR(COUNTIFS($C$2:C1876, $C1876, $A$2:A1876, ""&gt;""&amp;IFERROR(MAX(FILTER($A$2:A1876, $C$2:C1876=$C1876, $I$2:I1876&lt;&gt;1)), 0), $I$2:I1876, 1),1))
"),"#DIV/0!")</f>
        <v>#DIV/0!</v>
      </c>
      <c r="K1876" s="7" t="e">
        <f t="shared" ca="1" si="37"/>
        <v>#DIV/0!</v>
      </c>
      <c r="L1876" s="20" t="e">
        <f t="shared" ca="1" si="38"/>
        <v>#DIV/0!</v>
      </c>
      <c r="M1876" s="21" t="e">
        <f t="shared" ca="1" si="39"/>
        <v>#DIV/0!</v>
      </c>
      <c r="N1876" s="20" t="str">
        <f ca="1">IFERROR(__xludf.DUMMYFUNCTION("IF(COUNTIFS($C$2:C1876, C1876, $A$2:A1876, ""&lt;="" &amp; A1876) &lt; 30, STDEV.P(FILTER($G$2:G1876, $C$2:C1876 = C1876)), STDEV.P(FILTER($G$2:G1876, $C$2:C1876 = C1876, $A$2:A1876 &gt;= A1876 - 30)))
"),"#DIV/0!")</f>
        <v>#DIV/0!</v>
      </c>
    </row>
    <row r="1877" spans="1:14" x14ac:dyDescent="0.2">
      <c r="A1877" s="41"/>
      <c r="B1877" s="40"/>
      <c r="C1877" s="40"/>
      <c r="D1877" s="31"/>
      <c r="E1877" s="31"/>
      <c r="F1877" s="31"/>
      <c r="G1877" s="19" t="e">
        <f t="shared" si="35"/>
        <v>#DIV/0!</v>
      </c>
      <c r="H1877" s="20" t="str">
        <f ca="1">IFERROR(__xludf.DUMMYFUNCTION("IF(COUNTIFS($C$2:C1877, C1877, $A$2:A1877, ""&lt;="" &amp; A1877) &lt; 30, AVERAGEIF($C$2:C1877, C1877, $G$2:G1877), AVERAGE(FILTER($G$2:G1877, $C$2:C1877 = C1877, $A$2:A1877 &gt;= A1877 - 30)))
"),"#DIV/0!")</f>
        <v>#DIV/0!</v>
      </c>
      <c r="I1877" s="20" t="e">
        <f t="shared" ca="1" si="36"/>
        <v>#DIV/0!</v>
      </c>
      <c r="J1877" s="20" t="str">
        <f ca="1">IFERROR(__xludf.DUMMYFUNCTION("IF(OR($I1877=2, $I1877=3), 0, IFERROR(COUNTIFS($C$2:C1877, $C1877, $A$2:A1877, ""&gt;""&amp;IFERROR(MAX(FILTER($A$2:A1877, $C$2:C1877=$C1877, $I$2:I1877&lt;&gt;1)), 0), $I$2:I1877, 1),1))
"),"#DIV/0!")</f>
        <v>#DIV/0!</v>
      </c>
      <c r="K1877" s="7" t="e">
        <f t="shared" ca="1" si="37"/>
        <v>#DIV/0!</v>
      </c>
      <c r="L1877" s="20" t="e">
        <f t="shared" ca="1" si="38"/>
        <v>#DIV/0!</v>
      </c>
      <c r="M1877" s="21" t="e">
        <f t="shared" ca="1" si="39"/>
        <v>#DIV/0!</v>
      </c>
      <c r="N1877" s="20" t="str">
        <f ca="1">IFERROR(__xludf.DUMMYFUNCTION("IF(COUNTIFS($C$2:C1877, C1877, $A$2:A1877, ""&lt;="" &amp; A1877) &lt; 30, STDEV.P(FILTER($G$2:G1877, $C$2:C1877 = C1877)), STDEV.P(FILTER($G$2:G1877, $C$2:C1877 = C1877, $A$2:A1877 &gt;= A1877 - 30)))
"),"#DIV/0!")</f>
        <v>#DIV/0!</v>
      </c>
    </row>
    <row r="1878" spans="1:14" x14ac:dyDescent="0.2">
      <c r="A1878" s="41"/>
      <c r="B1878" s="40"/>
      <c r="C1878" s="40"/>
      <c r="D1878" s="31"/>
      <c r="E1878" s="31"/>
      <c r="F1878" s="31"/>
      <c r="G1878" s="19" t="e">
        <f t="shared" si="35"/>
        <v>#DIV/0!</v>
      </c>
      <c r="H1878" s="20" t="str">
        <f ca="1">IFERROR(__xludf.DUMMYFUNCTION("IF(COUNTIFS($C$2:C1878, C1878, $A$2:A1878, ""&lt;="" &amp; A1878) &lt; 30, AVERAGEIF($C$2:C1878, C1878, $G$2:G1878), AVERAGE(FILTER($G$2:G1878, $C$2:C1878 = C1878, $A$2:A1878 &gt;= A1878 - 30)))
"),"#DIV/0!")</f>
        <v>#DIV/0!</v>
      </c>
      <c r="I1878" s="20" t="e">
        <f t="shared" ca="1" si="36"/>
        <v>#DIV/0!</v>
      </c>
      <c r="J1878" s="20" t="str">
        <f ca="1">IFERROR(__xludf.DUMMYFUNCTION("IF(OR($I1878=2, $I1878=3), 0, IFERROR(COUNTIFS($C$2:C1878, $C1878, $A$2:A1878, ""&gt;""&amp;IFERROR(MAX(FILTER($A$2:A1878, $C$2:C1878=$C1878, $I$2:I1878&lt;&gt;1)), 0), $I$2:I1878, 1),1))
"),"#DIV/0!")</f>
        <v>#DIV/0!</v>
      </c>
      <c r="K1878" s="7" t="e">
        <f t="shared" ca="1" si="37"/>
        <v>#DIV/0!</v>
      </c>
      <c r="L1878" s="20" t="e">
        <f t="shared" ca="1" si="38"/>
        <v>#DIV/0!</v>
      </c>
      <c r="M1878" s="21" t="e">
        <f t="shared" ca="1" si="39"/>
        <v>#DIV/0!</v>
      </c>
      <c r="N1878" s="20" t="str">
        <f ca="1">IFERROR(__xludf.DUMMYFUNCTION("IF(COUNTIFS($C$2:C1878, C1878, $A$2:A1878, ""&lt;="" &amp; A1878) &lt; 30, STDEV.P(FILTER($G$2:G1878, $C$2:C1878 = C1878)), STDEV.P(FILTER($G$2:G1878, $C$2:C1878 = C1878, $A$2:A1878 &gt;= A1878 - 30)))
"),"#DIV/0!")</f>
        <v>#DIV/0!</v>
      </c>
    </row>
    <row r="1879" spans="1:14" x14ac:dyDescent="0.2">
      <c r="A1879" s="41"/>
      <c r="B1879" s="40"/>
      <c r="C1879" s="40"/>
      <c r="D1879" s="31"/>
      <c r="E1879" s="31"/>
      <c r="F1879" s="31"/>
      <c r="G1879" s="19" t="e">
        <f t="shared" si="35"/>
        <v>#DIV/0!</v>
      </c>
      <c r="H1879" s="20" t="str">
        <f ca="1">IFERROR(__xludf.DUMMYFUNCTION("IF(COUNTIFS($C$2:C1879, C1879, $A$2:A1879, ""&lt;="" &amp; A1879) &lt; 30, AVERAGEIF($C$2:C1879, C1879, $G$2:G1879), AVERAGE(FILTER($G$2:G1879, $C$2:C1879 = C1879, $A$2:A1879 &gt;= A1879 - 30)))
"),"#DIV/0!")</f>
        <v>#DIV/0!</v>
      </c>
      <c r="I1879" s="20" t="e">
        <f t="shared" ca="1" si="36"/>
        <v>#DIV/0!</v>
      </c>
      <c r="J1879" s="20" t="str">
        <f ca="1">IFERROR(__xludf.DUMMYFUNCTION("IF(OR($I1879=2, $I1879=3), 0, IFERROR(COUNTIFS($C$2:C1879, $C1879, $A$2:A1879, ""&gt;""&amp;IFERROR(MAX(FILTER($A$2:A1879, $C$2:C1879=$C1879, $I$2:I1879&lt;&gt;1)), 0), $I$2:I1879, 1),1))
"),"#DIV/0!")</f>
        <v>#DIV/0!</v>
      </c>
      <c r="K1879" s="7" t="e">
        <f t="shared" ca="1" si="37"/>
        <v>#DIV/0!</v>
      </c>
      <c r="L1879" s="20" t="e">
        <f t="shared" ca="1" si="38"/>
        <v>#DIV/0!</v>
      </c>
      <c r="M1879" s="21" t="e">
        <f t="shared" ca="1" si="39"/>
        <v>#DIV/0!</v>
      </c>
      <c r="N1879" s="20" t="str">
        <f ca="1">IFERROR(__xludf.DUMMYFUNCTION("IF(COUNTIFS($C$2:C1879, C1879, $A$2:A1879, ""&lt;="" &amp; A1879) &lt; 30, STDEV.P(FILTER($G$2:G1879, $C$2:C1879 = C1879)), STDEV.P(FILTER($G$2:G1879, $C$2:C1879 = C1879, $A$2:A1879 &gt;= A1879 - 30)))
"),"#DIV/0!")</f>
        <v>#DIV/0!</v>
      </c>
    </row>
    <row r="1880" spans="1:14" x14ac:dyDescent="0.2">
      <c r="A1880" s="41"/>
      <c r="B1880" s="40"/>
      <c r="C1880" s="40"/>
      <c r="D1880" s="31"/>
      <c r="E1880" s="31"/>
      <c r="F1880" s="31"/>
      <c r="G1880" s="19" t="e">
        <f t="shared" si="35"/>
        <v>#DIV/0!</v>
      </c>
      <c r="H1880" s="20" t="str">
        <f ca="1">IFERROR(__xludf.DUMMYFUNCTION("IF(COUNTIFS($C$2:C1880, C1880, $A$2:A1880, ""&lt;="" &amp; A1880) &lt; 30, AVERAGEIF($C$2:C1880, C1880, $G$2:G1880), AVERAGE(FILTER($G$2:G1880, $C$2:C1880 = C1880, $A$2:A1880 &gt;= A1880 - 30)))
"),"#DIV/0!")</f>
        <v>#DIV/0!</v>
      </c>
      <c r="I1880" s="20" t="e">
        <f t="shared" ca="1" si="36"/>
        <v>#DIV/0!</v>
      </c>
      <c r="J1880" s="20" t="str">
        <f ca="1">IFERROR(__xludf.DUMMYFUNCTION("IF(OR($I1880=2, $I1880=3), 0, IFERROR(COUNTIFS($C$2:C1880, $C1880, $A$2:A1880, ""&gt;""&amp;IFERROR(MAX(FILTER($A$2:A1880, $C$2:C1880=$C1880, $I$2:I1880&lt;&gt;1)), 0), $I$2:I1880, 1),1))
"),"#DIV/0!")</f>
        <v>#DIV/0!</v>
      </c>
      <c r="K1880" s="7" t="e">
        <f t="shared" ca="1" si="37"/>
        <v>#DIV/0!</v>
      </c>
      <c r="L1880" s="20" t="e">
        <f t="shared" ca="1" si="38"/>
        <v>#DIV/0!</v>
      </c>
      <c r="M1880" s="21" t="e">
        <f t="shared" ca="1" si="39"/>
        <v>#DIV/0!</v>
      </c>
      <c r="N1880" s="20" t="str">
        <f ca="1">IFERROR(__xludf.DUMMYFUNCTION("IF(COUNTIFS($C$2:C1880, C1880, $A$2:A1880, ""&lt;="" &amp; A1880) &lt; 30, STDEV.P(FILTER($G$2:G1880, $C$2:C1880 = C1880)), STDEV.P(FILTER($G$2:G1880, $C$2:C1880 = C1880, $A$2:A1880 &gt;= A1880 - 30)))
"),"#DIV/0!")</f>
        <v>#DIV/0!</v>
      </c>
    </row>
    <row r="1881" spans="1:14" x14ac:dyDescent="0.2">
      <c r="A1881" s="41"/>
      <c r="B1881" s="40"/>
      <c r="C1881" s="40"/>
      <c r="D1881" s="31"/>
      <c r="E1881" s="31"/>
      <c r="F1881" s="31"/>
      <c r="G1881" s="19" t="e">
        <f t="shared" si="35"/>
        <v>#DIV/0!</v>
      </c>
      <c r="H1881" s="20" t="str">
        <f ca="1">IFERROR(__xludf.DUMMYFUNCTION("IF(COUNTIFS($C$2:C1881, C1881, $A$2:A1881, ""&lt;="" &amp; A1881) &lt; 30, AVERAGEIF($C$2:C1881, C1881, $G$2:G1881), AVERAGE(FILTER($G$2:G1881, $C$2:C1881 = C1881, $A$2:A1881 &gt;= A1881 - 30)))
"),"#DIV/0!")</f>
        <v>#DIV/0!</v>
      </c>
      <c r="I1881" s="20" t="e">
        <f t="shared" ca="1" si="36"/>
        <v>#DIV/0!</v>
      </c>
      <c r="J1881" s="20" t="str">
        <f ca="1">IFERROR(__xludf.DUMMYFUNCTION("IF(OR($I1881=2, $I1881=3), 0, IFERROR(COUNTIFS($C$2:C1881, $C1881, $A$2:A1881, ""&gt;""&amp;IFERROR(MAX(FILTER($A$2:A1881, $C$2:C1881=$C1881, $I$2:I1881&lt;&gt;1)), 0), $I$2:I1881, 1),1))
"),"#DIV/0!")</f>
        <v>#DIV/0!</v>
      </c>
      <c r="K1881" s="7" t="e">
        <f t="shared" ca="1" si="37"/>
        <v>#DIV/0!</v>
      </c>
      <c r="L1881" s="20" t="e">
        <f t="shared" ca="1" si="38"/>
        <v>#DIV/0!</v>
      </c>
      <c r="M1881" s="21" t="e">
        <f t="shared" ca="1" si="39"/>
        <v>#DIV/0!</v>
      </c>
      <c r="N1881" s="20" t="str">
        <f ca="1">IFERROR(__xludf.DUMMYFUNCTION("IF(COUNTIFS($C$2:C1881, C1881, $A$2:A1881, ""&lt;="" &amp; A1881) &lt; 30, STDEV.P(FILTER($G$2:G1881, $C$2:C1881 = C1881)), STDEV.P(FILTER($G$2:G1881, $C$2:C1881 = C1881, $A$2:A1881 &gt;= A1881 - 30)))
"),"#DIV/0!")</f>
        <v>#DIV/0!</v>
      </c>
    </row>
    <row r="1882" spans="1:14" x14ac:dyDescent="0.2">
      <c r="A1882" s="41"/>
      <c r="B1882" s="40"/>
      <c r="C1882" s="40"/>
      <c r="D1882" s="31"/>
      <c r="E1882" s="31"/>
      <c r="F1882" s="31"/>
      <c r="G1882" s="19" t="e">
        <f t="shared" si="35"/>
        <v>#DIV/0!</v>
      </c>
      <c r="H1882" s="20" t="str">
        <f ca="1">IFERROR(__xludf.DUMMYFUNCTION("IF(COUNTIFS($C$2:C1882, C1882, $A$2:A1882, ""&lt;="" &amp; A1882) &lt; 30, AVERAGEIF($C$2:C1882, C1882, $G$2:G1882), AVERAGE(FILTER($G$2:G1882, $C$2:C1882 = C1882, $A$2:A1882 &gt;= A1882 - 30)))
"),"#DIV/0!")</f>
        <v>#DIV/0!</v>
      </c>
      <c r="I1882" s="20" t="e">
        <f t="shared" ca="1" si="36"/>
        <v>#DIV/0!</v>
      </c>
      <c r="J1882" s="20" t="str">
        <f ca="1">IFERROR(__xludf.DUMMYFUNCTION("IF(OR($I1882=2, $I1882=3), 0, IFERROR(COUNTIFS($C$2:C1882, $C1882, $A$2:A1882, ""&gt;""&amp;IFERROR(MAX(FILTER($A$2:A1882, $C$2:C1882=$C1882, $I$2:I1882&lt;&gt;1)), 0), $I$2:I1882, 1),1))
"),"#DIV/0!")</f>
        <v>#DIV/0!</v>
      </c>
      <c r="K1882" s="7" t="e">
        <f t="shared" ca="1" si="37"/>
        <v>#DIV/0!</v>
      </c>
      <c r="L1882" s="20" t="e">
        <f t="shared" ca="1" si="38"/>
        <v>#DIV/0!</v>
      </c>
      <c r="M1882" s="21" t="e">
        <f t="shared" ca="1" si="39"/>
        <v>#DIV/0!</v>
      </c>
      <c r="N1882" s="20" t="str">
        <f ca="1">IFERROR(__xludf.DUMMYFUNCTION("IF(COUNTIFS($C$2:C1882, C1882, $A$2:A1882, ""&lt;="" &amp; A1882) &lt; 30, STDEV.P(FILTER($G$2:G1882, $C$2:C1882 = C1882)), STDEV.P(FILTER($G$2:G1882, $C$2:C1882 = C1882, $A$2:A1882 &gt;= A1882 - 30)))
"),"#DIV/0!")</f>
        <v>#DIV/0!</v>
      </c>
    </row>
    <row r="1883" spans="1:14" x14ac:dyDescent="0.2">
      <c r="A1883" s="41"/>
      <c r="B1883" s="40"/>
      <c r="C1883" s="40"/>
      <c r="D1883" s="31"/>
      <c r="E1883" s="31"/>
      <c r="F1883" s="31"/>
      <c r="G1883" s="19" t="e">
        <f t="shared" si="35"/>
        <v>#DIV/0!</v>
      </c>
      <c r="H1883" s="20" t="str">
        <f ca="1">IFERROR(__xludf.DUMMYFUNCTION("IF(COUNTIFS($C$2:C1883, C1883, $A$2:A1883, ""&lt;="" &amp; A1883) &lt; 30, AVERAGEIF($C$2:C1883, C1883, $G$2:G1883), AVERAGE(FILTER($G$2:G1883, $C$2:C1883 = C1883, $A$2:A1883 &gt;= A1883 - 30)))
"),"#DIV/0!")</f>
        <v>#DIV/0!</v>
      </c>
      <c r="I1883" s="20" t="e">
        <f t="shared" ca="1" si="36"/>
        <v>#DIV/0!</v>
      </c>
      <c r="J1883" s="20" t="str">
        <f ca="1">IFERROR(__xludf.DUMMYFUNCTION("IF(OR($I1883=2, $I1883=3), 0, IFERROR(COUNTIFS($C$2:C1883, $C1883, $A$2:A1883, ""&gt;""&amp;IFERROR(MAX(FILTER($A$2:A1883, $C$2:C1883=$C1883, $I$2:I1883&lt;&gt;1)), 0), $I$2:I1883, 1),1))
"),"#DIV/0!")</f>
        <v>#DIV/0!</v>
      </c>
      <c r="K1883" s="7" t="e">
        <f t="shared" ca="1" si="37"/>
        <v>#DIV/0!</v>
      </c>
      <c r="L1883" s="20" t="e">
        <f t="shared" ca="1" si="38"/>
        <v>#DIV/0!</v>
      </c>
      <c r="M1883" s="21" t="e">
        <f t="shared" ca="1" si="39"/>
        <v>#DIV/0!</v>
      </c>
      <c r="N1883" s="20" t="str">
        <f ca="1">IFERROR(__xludf.DUMMYFUNCTION("IF(COUNTIFS($C$2:C1883, C1883, $A$2:A1883, ""&lt;="" &amp; A1883) &lt; 30, STDEV.P(FILTER($G$2:G1883, $C$2:C1883 = C1883)), STDEV.P(FILTER($G$2:G1883, $C$2:C1883 = C1883, $A$2:A1883 &gt;= A1883 - 30)))
"),"#DIV/0!")</f>
        <v>#DIV/0!</v>
      </c>
    </row>
    <row r="1884" spans="1:14" x14ac:dyDescent="0.2">
      <c r="A1884" s="41"/>
      <c r="B1884" s="40"/>
      <c r="C1884" s="40"/>
      <c r="D1884" s="31"/>
      <c r="E1884" s="31"/>
      <c r="F1884" s="31"/>
      <c r="G1884" s="19" t="e">
        <f t="shared" si="35"/>
        <v>#DIV/0!</v>
      </c>
      <c r="H1884" s="20" t="str">
        <f ca="1">IFERROR(__xludf.DUMMYFUNCTION("IF(COUNTIFS($C$2:C1884, C1884, $A$2:A1884, ""&lt;="" &amp; A1884) &lt; 30, AVERAGEIF($C$2:C1884, C1884, $G$2:G1884), AVERAGE(FILTER($G$2:G1884, $C$2:C1884 = C1884, $A$2:A1884 &gt;= A1884 - 30)))
"),"#DIV/0!")</f>
        <v>#DIV/0!</v>
      </c>
      <c r="I1884" s="20" t="e">
        <f t="shared" ca="1" si="36"/>
        <v>#DIV/0!</v>
      </c>
      <c r="J1884" s="20" t="str">
        <f ca="1">IFERROR(__xludf.DUMMYFUNCTION("IF(OR($I1884=2, $I1884=3), 0, IFERROR(COUNTIFS($C$2:C1884, $C1884, $A$2:A1884, ""&gt;""&amp;IFERROR(MAX(FILTER($A$2:A1884, $C$2:C1884=$C1884, $I$2:I1884&lt;&gt;1)), 0), $I$2:I1884, 1),1))
"),"#DIV/0!")</f>
        <v>#DIV/0!</v>
      </c>
      <c r="K1884" s="7" t="e">
        <f t="shared" ca="1" si="37"/>
        <v>#DIV/0!</v>
      </c>
      <c r="L1884" s="20" t="e">
        <f t="shared" ca="1" si="38"/>
        <v>#DIV/0!</v>
      </c>
      <c r="M1884" s="21" t="e">
        <f t="shared" ca="1" si="39"/>
        <v>#DIV/0!</v>
      </c>
      <c r="N1884" s="20" t="str">
        <f ca="1">IFERROR(__xludf.DUMMYFUNCTION("IF(COUNTIFS($C$2:C1884, C1884, $A$2:A1884, ""&lt;="" &amp; A1884) &lt; 30, STDEV.P(FILTER($G$2:G1884, $C$2:C1884 = C1884)), STDEV.P(FILTER($G$2:G1884, $C$2:C1884 = C1884, $A$2:A1884 &gt;= A1884 - 30)))
"),"#DIV/0!")</f>
        <v>#DIV/0!</v>
      </c>
    </row>
    <row r="1885" spans="1:14" x14ac:dyDescent="0.2">
      <c r="A1885" s="41"/>
      <c r="B1885" s="40"/>
      <c r="C1885" s="40"/>
      <c r="D1885" s="31"/>
      <c r="E1885" s="31"/>
      <c r="F1885" s="31"/>
      <c r="G1885" s="19" t="e">
        <f t="shared" si="35"/>
        <v>#DIV/0!</v>
      </c>
      <c r="H1885" s="20" t="str">
        <f ca="1">IFERROR(__xludf.DUMMYFUNCTION("IF(COUNTIFS($C$2:C1885, C1885, $A$2:A1885, ""&lt;="" &amp; A1885) &lt; 30, AVERAGEIF($C$2:C1885, C1885, $G$2:G1885), AVERAGE(FILTER($G$2:G1885, $C$2:C1885 = C1885, $A$2:A1885 &gt;= A1885 - 30)))
"),"#DIV/0!")</f>
        <v>#DIV/0!</v>
      </c>
      <c r="I1885" s="20" t="e">
        <f t="shared" ca="1" si="36"/>
        <v>#DIV/0!</v>
      </c>
      <c r="J1885" s="20" t="str">
        <f ca="1">IFERROR(__xludf.DUMMYFUNCTION("IF(OR($I1885=2, $I1885=3), 0, IFERROR(COUNTIFS($C$2:C1885, $C1885, $A$2:A1885, ""&gt;""&amp;IFERROR(MAX(FILTER($A$2:A1885, $C$2:C1885=$C1885, $I$2:I1885&lt;&gt;1)), 0), $I$2:I1885, 1),1))
"),"#DIV/0!")</f>
        <v>#DIV/0!</v>
      </c>
      <c r="K1885" s="7" t="e">
        <f t="shared" ca="1" si="37"/>
        <v>#DIV/0!</v>
      </c>
      <c r="L1885" s="20" t="e">
        <f t="shared" ca="1" si="38"/>
        <v>#DIV/0!</v>
      </c>
      <c r="M1885" s="21" t="e">
        <f t="shared" ca="1" si="39"/>
        <v>#DIV/0!</v>
      </c>
      <c r="N1885" s="20" t="str">
        <f ca="1">IFERROR(__xludf.DUMMYFUNCTION("IF(COUNTIFS($C$2:C1885, C1885, $A$2:A1885, ""&lt;="" &amp; A1885) &lt; 30, STDEV.P(FILTER($G$2:G1885, $C$2:C1885 = C1885)), STDEV.P(FILTER($G$2:G1885, $C$2:C1885 = C1885, $A$2:A1885 &gt;= A1885 - 30)))
"),"#DIV/0!")</f>
        <v>#DIV/0!</v>
      </c>
    </row>
    <row r="1886" spans="1:14" x14ac:dyDescent="0.2">
      <c r="A1886" s="41"/>
      <c r="B1886" s="40"/>
      <c r="C1886" s="40"/>
      <c r="D1886" s="31"/>
      <c r="E1886" s="31"/>
      <c r="F1886" s="31"/>
      <c r="G1886" s="19" t="e">
        <f t="shared" si="35"/>
        <v>#DIV/0!</v>
      </c>
      <c r="H1886" s="20" t="str">
        <f ca="1">IFERROR(__xludf.DUMMYFUNCTION("IF(COUNTIFS($C$2:C1886, C1886, $A$2:A1886, ""&lt;="" &amp; A1886) &lt; 30, AVERAGEIF($C$2:C1886, C1886, $G$2:G1886), AVERAGE(FILTER($G$2:G1886, $C$2:C1886 = C1886, $A$2:A1886 &gt;= A1886 - 30)))
"),"#DIV/0!")</f>
        <v>#DIV/0!</v>
      </c>
      <c r="I1886" s="20" t="e">
        <f t="shared" ca="1" si="36"/>
        <v>#DIV/0!</v>
      </c>
      <c r="J1886" s="20" t="str">
        <f ca="1">IFERROR(__xludf.DUMMYFUNCTION("IF(OR($I1886=2, $I1886=3), 0, IFERROR(COUNTIFS($C$2:C1886, $C1886, $A$2:A1886, ""&gt;""&amp;IFERROR(MAX(FILTER($A$2:A1886, $C$2:C1886=$C1886, $I$2:I1886&lt;&gt;1)), 0), $I$2:I1886, 1),1))
"),"#DIV/0!")</f>
        <v>#DIV/0!</v>
      </c>
      <c r="K1886" s="7" t="e">
        <f t="shared" ca="1" si="37"/>
        <v>#DIV/0!</v>
      </c>
      <c r="L1886" s="20" t="e">
        <f t="shared" ca="1" si="38"/>
        <v>#DIV/0!</v>
      </c>
      <c r="M1886" s="21" t="e">
        <f t="shared" ca="1" si="39"/>
        <v>#DIV/0!</v>
      </c>
      <c r="N1886" s="20" t="str">
        <f ca="1">IFERROR(__xludf.DUMMYFUNCTION("IF(COUNTIFS($C$2:C1886, C1886, $A$2:A1886, ""&lt;="" &amp; A1886) &lt; 30, STDEV.P(FILTER($G$2:G1886, $C$2:C1886 = C1886)), STDEV.P(FILTER($G$2:G1886, $C$2:C1886 = C1886, $A$2:A1886 &gt;= A1886 - 30)))
"),"#DIV/0!")</f>
        <v>#DIV/0!</v>
      </c>
    </row>
    <row r="1887" spans="1:14" x14ac:dyDescent="0.2">
      <c r="A1887" s="41"/>
      <c r="B1887" s="40"/>
      <c r="C1887" s="40"/>
      <c r="D1887" s="31"/>
      <c r="E1887" s="31"/>
      <c r="F1887" s="31"/>
      <c r="G1887" s="19" t="e">
        <f t="shared" si="35"/>
        <v>#DIV/0!</v>
      </c>
      <c r="H1887" s="20" t="str">
        <f ca="1">IFERROR(__xludf.DUMMYFUNCTION("IF(COUNTIFS($C$2:C1887, C1887, $A$2:A1887, ""&lt;="" &amp; A1887) &lt; 30, AVERAGEIF($C$2:C1887, C1887, $G$2:G1887), AVERAGE(FILTER($G$2:G1887, $C$2:C1887 = C1887, $A$2:A1887 &gt;= A1887 - 30)))
"),"#DIV/0!")</f>
        <v>#DIV/0!</v>
      </c>
      <c r="I1887" s="20" t="e">
        <f t="shared" ca="1" si="36"/>
        <v>#DIV/0!</v>
      </c>
      <c r="J1887" s="20" t="str">
        <f ca="1">IFERROR(__xludf.DUMMYFUNCTION("IF(OR($I1887=2, $I1887=3), 0, IFERROR(COUNTIFS($C$2:C1887, $C1887, $A$2:A1887, ""&gt;""&amp;IFERROR(MAX(FILTER($A$2:A1887, $C$2:C1887=$C1887, $I$2:I1887&lt;&gt;1)), 0), $I$2:I1887, 1),1))
"),"#DIV/0!")</f>
        <v>#DIV/0!</v>
      </c>
      <c r="K1887" s="7" t="e">
        <f t="shared" ca="1" si="37"/>
        <v>#DIV/0!</v>
      </c>
      <c r="L1887" s="20" t="e">
        <f t="shared" ca="1" si="38"/>
        <v>#DIV/0!</v>
      </c>
      <c r="M1887" s="21" t="e">
        <f t="shared" ca="1" si="39"/>
        <v>#DIV/0!</v>
      </c>
      <c r="N1887" s="20" t="str">
        <f ca="1">IFERROR(__xludf.DUMMYFUNCTION("IF(COUNTIFS($C$2:C1887, C1887, $A$2:A1887, ""&lt;="" &amp; A1887) &lt; 30, STDEV.P(FILTER($G$2:G1887, $C$2:C1887 = C1887)), STDEV.P(FILTER($G$2:G1887, $C$2:C1887 = C1887, $A$2:A1887 &gt;= A1887 - 30)))
"),"#DIV/0!")</f>
        <v>#DIV/0!</v>
      </c>
    </row>
    <row r="1888" spans="1:14" x14ac:dyDescent="0.2">
      <c r="A1888" s="41"/>
      <c r="B1888" s="40"/>
      <c r="C1888" s="40"/>
      <c r="D1888" s="31"/>
      <c r="E1888" s="31"/>
      <c r="F1888" s="31"/>
      <c r="G1888" s="19" t="e">
        <f t="shared" si="35"/>
        <v>#DIV/0!</v>
      </c>
      <c r="H1888" s="20" t="str">
        <f ca="1">IFERROR(__xludf.DUMMYFUNCTION("IF(COUNTIFS($C$2:C1888, C1888, $A$2:A1888, ""&lt;="" &amp; A1888) &lt; 30, AVERAGEIF($C$2:C1888, C1888, $G$2:G1888), AVERAGE(FILTER($G$2:G1888, $C$2:C1888 = C1888, $A$2:A1888 &gt;= A1888 - 30)))
"),"#DIV/0!")</f>
        <v>#DIV/0!</v>
      </c>
      <c r="I1888" s="20" t="e">
        <f t="shared" ca="1" si="36"/>
        <v>#DIV/0!</v>
      </c>
      <c r="J1888" s="20" t="str">
        <f ca="1">IFERROR(__xludf.DUMMYFUNCTION("IF(OR($I1888=2, $I1888=3), 0, IFERROR(COUNTIFS($C$2:C1888, $C1888, $A$2:A1888, ""&gt;""&amp;IFERROR(MAX(FILTER($A$2:A1888, $C$2:C1888=$C1888, $I$2:I1888&lt;&gt;1)), 0), $I$2:I1888, 1),1))
"),"#DIV/0!")</f>
        <v>#DIV/0!</v>
      </c>
      <c r="K1888" s="7" t="e">
        <f t="shared" ca="1" si="37"/>
        <v>#DIV/0!</v>
      </c>
      <c r="L1888" s="20" t="e">
        <f t="shared" ca="1" si="38"/>
        <v>#DIV/0!</v>
      </c>
      <c r="M1888" s="21" t="e">
        <f t="shared" ca="1" si="39"/>
        <v>#DIV/0!</v>
      </c>
      <c r="N1888" s="20" t="str">
        <f ca="1">IFERROR(__xludf.DUMMYFUNCTION("IF(COUNTIFS($C$2:C1888, C1888, $A$2:A1888, ""&lt;="" &amp; A1888) &lt; 30, STDEV.P(FILTER($G$2:G1888, $C$2:C1888 = C1888)), STDEV.P(FILTER($G$2:G1888, $C$2:C1888 = C1888, $A$2:A1888 &gt;= A1888 - 30)))
"),"#DIV/0!")</f>
        <v>#DIV/0!</v>
      </c>
    </row>
    <row r="1889" spans="1:14" x14ac:dyDescent="0.2">
      <c r="A1889" s="41"/>
      <c r="B1889" s="40"/>
      <c r="C1889" s="40"/>
      <c r="D1889" s="31"/>
      <c r="E1889" s="31"/>
      <c r="F1889" s="31"/>
      <c r="G1889" s="19" t="e">
        <f t="shared" si="35"/>
        <v>#DIV/0!</v>
      </c>
      <c r="H1889" s="20" t="str">
        <f ca="1">IFERROR(__xludf.DUMMYFUNCTION("IF(COUNTIFS($C$2:C1889, C1889, $A$2:A1889, ""&lt;="" &amp; A1889) &lt; 30, AVERAGEIF($C$2:C1889, C1889, $G$2:G1889), AVERAGE(FILTER($G$2:G1889, $C$2:C1889 = C1889, $A$2:A1889 &gt;= A1889 - 30)))
"),"#DIV/0!")</f>
        <v>#DIV/0!</v>
      </c>
      <c r="I1889" s="20" t="e">
        <f t="shared" ca="1" si="36"/>
        <v>#DIV/0!</v>
      </c>
      <c r="J1889" s="20" t="str">
        <f ca="1">IFERROR(__xludf.DUMMYFUNCTION("IF(OR($I1889=2, $I1889=3), 0, IFERROR(COUNTIFS($C$2:C1889, $C1889, $A$2:A1889, ""&gt;""&amp;IFERROR(MAX(FILTER($A$2:A1889, $C$2:C1889=$C1889, $I$2:I1889&lt;&gt;1)), 0), $I$2:I1889, 1),1))
"),"#DIV/0!")</f>
        <v>#DIV/0!</v>
      </c>
      <c r="K1889" s="7" t="e">
        <f t="shared" ca="1" si="37"/>
        <v>#DIV/0!</v>
      </c>
      <c r="L1889" s="20" t="e">
        <f t="shared" ca="1" si="38"/>
        <v>#DIV/0!</v>
      </c>
      <c r="M1889" s="21" t="e">
        <f t="shared" ca="1" si="39"/>
        <v>#DIV/0!</v>
      </c>
      <c r="N1889" s="20" t="str">
        <f ca="1">IFERROR(__xludf.DUMMYFUNCTION("IF(COUNTIFS($C$2:C1889, C1889, $A$2:A1889, ""&lt;="" &amp; A1889) &lt; 30, STDEV.P(FILTER($G$2:G1889, $C$2:C1889 = C1889)), STDEV.P(FILTER($G$2:G1889, $C$2:C1889 = C1889, $A$2:A1889 &gt;= A1889 - 30)))
"),"#DIV/0!")</f>
        <v>#DIV/0!</v>
      </c>
    </row>
    <row r="1890" spans="1:14" x14ac:dyDescent="0.2">
      <c r="A1890" s="41"/>
      <c r="B1890" s="40"/>
      <c r="C1890" s="40"/>
      <c r="D1890" s="31"/>
      <c r="E1890" s="31"/>
      <c r="F1890" s="31"/>
      <c r="G1890" s="19" t="e">
        <f t="shared" si="35"/>
        <v>#DIV/0!</v>
      </c>
      <c r="H1890" s="20" t="str">
        <f ca="1">IFERROR(__xludf.DUMMYFUNCTION("IF(COUNTIFS($C$2:C1890, C1890, $A$2:A1890, ""&lt;="" &amp; A1890) &lt; 30, AVERAGEIF($C$2:C1890, C1890, $G$2:G1890), AVERAGE(FILTER($G$2:G1890, $C$2:C1890 = C1890, $A$2:A1890 &gt;= A1890 - 30)))
"),"#DIV/0!")</f>
        <v>#DIV/0!</v>
      </c>
      <c r="I1890" s="20" t="e">
        <f t="shared" ca="1" si="36"/>
        <v>#DIV/0!</v>
      </c>
      <c r="J1890" s="20" t="str">
        <f ca="1">IFERROR(__xludf.DUMMYFUNCTION("IF(OR($I1890=2, $I1890=3), 0, IFERROR(COUNTIFS($C$2:C1890, $C1890, $A$2:A1890, ""&gt;""&amp;IFERROR(MAX(FILTER($A$2:A1890, $C$2:C1890=$C1890, $I$2:I1890&lt;&gt;1)), 0), $I$2:I1890, 1),1))
"),"#DIV/0!")</f>
        <v>#DIV/0!</v>
      </c>
      <c r="K1890" s="7" t="e">
        <f t="shared" ca="1" si="37"/>
        <v>#DIV/0!</v>
      </c>
      <c r="L1890" s="20" t="e">
        <f t="shared" ca="1" si="38"/>
        <v>#DIV/0!</v>
      </c>
      <c r="M1890" s="21" t="e">
        <f t="shared" ca="1" si="39"/>
        <v>#DIV/0!</v>
      </c>
      <c r="N1890" s="20" t="str">
        <f ca="1">IFERROR(__xludf.DUMMYFUNCTION("IF(COUNTIFS($C$2:C1890, C1890, $A$2:A1890, ""&lt;="" &amp; A1890) &lt; 30, STDEV.P(FILTER($G$2:G1890, $C$2:C1890 = C1890)), STDEV.P(FILTER($G$2:G1890, $C$2:C1890 = C1890, $A$2:A1890 &gt;= A1890 - 30)))
"),"#DIV/0!")</f>
        <v>#DIV/0!</v>
      </c>
    </row>
    <row r="1891" spans="1:14" x14ac:dyDescent="0.2">
      <c r="A1891" s="41"/>
      <c r="B1891" s="40"/>
      <c r="C1891" s="40"/>
      <c r="D1891" s="31"/>
      <c r="E1891" s="31"/>
      <c r="F1891" s="31"/>
      <c r="G1891" s="19" t="e">
        <f t="shared" si="35"/>
        <v>#DIV/0!</v>
      </c>
      <c r="H1891" s="20" t="str">
        <f ca="1">IFERROR(__xludf.DUMMYFUNCTION("IF(COUNTIFS($C$2:C1891, C1891, $A$2:A1891, ""&lt;="" &amp; A1891) &lt; 30, AVERAGEIF($C$2:C1891, C1891, $G$2:G1891), AVERAGE(FILTER($G$2:G1891, $C$2:C1891 = C1891, $A$2:A1891 &gt;= A1891 - 30)))
"),"#DIV/0!")</f>
        <v>#DIV/0!</v>
      </c>
      <c r="I1891" s="20" t="e">
        <f t="shared" ca="1" si="36"/>
        <v>#DIV/0!</v>
      </c>
      <c r="J1891" s="20" t="str">
        <f ca="1">IFERROR(__xludf.DUMMYFUNCTION("IF(OR($I1891=2, $I1891=3), 0, IFERROR(COUNTIFS($C$2:C1891, $C1891, $A$2:A1891, ""&gt;""&amp;IFERROR(MAX(FILTER($A$2:A1891, $C$2:C1891=$C1891, $I$2:I1891&lt;&gt;1)), 0), $I$2:I1891, 1),1))
"),"#DIV/0!")</f>
        <v>#DIV/0!</v>
      </c>
      <c r="K1891" s="7" t="e">
        <f t="shared" ca="1" si="37"/>
        <v>#DIV/0!</v>
      </c>
      <c r="L1891" s="20" t="e">
        <f t="shared" ca="1" si="38"/>
        <v>#DIV/0!</v>
      </c>
      <c r="M1891" s="21" t="e">
        <f t="shared" ca="1" si="39"/>
        <v>#DIV/0!</v>
      </c>
      <c r="N1891" s="20" t="str">
        <f ca="1">IFERROR(__xludf.DUMMYFUNCTION("IF(COUNTIFS($C$2:C1891, C1891, $A$2:A1891, ""&lt;="" &amp; A1891) &lt; 30, STDEV.P(FILTER($G$2:G1891, $C$2:C1891 = C1891)), STDEV.P(FILTER($G$2:G1891, $C$2:C1891 = C1891, $A$2:A1891 &gt;= A1891 - 30)))
"),"#DIV/0!")</f>
        <v>#DIV/0!</v>
      </c>
    </row>
    <row r="1892" spans="1:14" x14ac:dyDescent="0.2">
      <c r="A1892" s="41"/>
      <c r="B1892" s="40"/>
      <c r="C1892" s="40"/>
      <c r="D1892" s="31"/>
      <c r="E1892" s="31"/>
      <c r="F1892" s="31"/>
      <c r="G1892" s="19" t="e">
        <f t="shared" si="35"/>
        <v>#DIV/0!</v>
      </c>
      <c r="H1892" s="20" t="str">
        <f ca="1">IFERROR(__xludf.DUMMYFUNCTION("IF(COUNTIFS($C$2:C1892, C1892, $A$2:A1892, ""&lt;="" &amp; A1892) &lt; 30, AVERAGEIF($C$2:C1892, C1892, $G$2:G1892), AVERAGE(FILTER($G$2:G1892, $C$2:C1892 = C1892, $A$2:A1892 &gt;= A1892 - 30)))
"),"#DIV/0!")</f>
        <v>#DIV/0!</v>
      </c>
      <c r="I1892" s="20" t="e">
        <f t="shared" ca="1" si="36"/>
        <v>#DIV/0!</v>
      </c>
      <c r="J1892" s="20" t="str">
        <f ca="1">IFERROR(__xludf.DUMMYFUNCTION("IF(OR($I1892=2, $I1892=3), 0, IFERROR(COUNTIFS($C$2:C1892, $C1892, $A$2:A1892, ""&gt;""&amp;IFERROR(MAX(FILTER($A$2:A1892, $C$2:C1892=$C1892, $I$2:I1892&lt;&gt;1)), 0), $I$2:I1892, 1),1))
"),"#DIV/0!")</f>
        <v>#DIV/0!</v>
      </c>
      <c r="K1892" s="7" t="e">
        <f t="shared" ca="1" si="37"/>
        <v>#DIV/0!</v>
      </c>
      <c r="L1892" s="20" t="e">
        <f t="shared" ca="1" si="38"/>
        <v>#DIV/0!</v>
      </c>
      <c r="M1892" s="21" t="e">
        <f t="shared" ca="1" si="39"/>
        <v>#DIV/0!</v>
      </c>
      <c r="N1892" s="20" t="str">
        <f ca="1">IFERROR(__xludf.DUMMYFUNCTION("IF(COUNTIFS($C$2:C1892, C1892, $A$2:A1892, ""&lt;="" &amp; A1892) &lt; 30, STDEV.P(FILTER($G$2:G1892, $C$2:C1892 = C1892)), STDEV.P(FILTER($G$2:G1892, $C$2:C1892 = C1892, $A$2:A1892 &gt;= A1892 - 30)))
"),"#DIV/0!")</f>
        <v>#DIV/0!</v>
      </c>
    </row>
    <row r="1893" spans="1:14" x14ac:dyDescent="0.2">
      <c r="A1893" s="41"/>
      <c r="B1893" s="40"/>
      <c r="C1893" s="40"/>
      <c r="D1893" s="31"/>
      <c r="E1893" s="31"/>
      <c r="F1893" s="31"/>
      <c r="G1893" s="19" t="e">
        <f t="shared" si="35"/>
        <v>#DIV/0!</v>
      </c>
      <c r="H1893" s="20" t="str">
        <f ca="1">IFERROR(__xludf.DUMMYFUNCTION("IF(COUNTIFS($C$2:C1893, C1893, $A$2:A1893, ""&lt;="" &amp; A1893) &lt; 30, AVERAGEIF($C$2:C1893, C1893, $G$2:G1893), AVERAGE(FILTER($G$2:G1893, $C$2:C1893 = C1893, $A$2:A1893 &gt;= A1893 - 30)))
"),"#DIV/0!")</f>
        <v>#DIV/0!</v>
      </c>
      <c r="I1893" s="20" t="e">
        <f t="shared" ca="1" si="36"/>
        <v>#DIV/0!</v>
      </c>
      <c r="J1893" s="20" t="str">
        <f ca="1">IFERROR(__xludf.DUMMYFUNCTION("IF(OR($I1893=2, $I1893=3), 0, IFERROR(COUNTIFS($C$2:C1893, $C1893, $A$2:A1893, ""&gt;""&amp;IFERROR(MAX(FILTER($A$2:A1893, $C$2:C1893=$C1893, $I$2:I1893&lt;&gt;1)), 0), $I$2:I1893, 1),1))
"),"#DIV/0!")</f>
        <v>#DIV/0!</v>
      </c>
      <c r="K1893" s="7" t="e">
        <f t="shared" ca="1" si="37"/>
        <v>#DIV/0!</v>
      </c>
      <c r="L1893" s="20" t="e">
        <f t="shared" ca="1" si="38"/>
        <v>#DIV/0!</v>
      </c>
      <c r="M1893" s="21" t="e">
        <f t="shared" ca="1" si="39"/>
        <v>#DIV/0!</v>
      </c>
      <c r="N1893" s="20" t="str">
        <f ca="1">IFERROR(__xludf.DUMMYFUNCTION("IF(COUNTIFS($C$2:C1893, C1893, $A$2:A1893, ""&lt;="" &amp; A1893) &lt; 30, STDEV.P(FILTER($G$2:G1893, $C$2:C1893 = C1893)), STDEV.P(FILTER($G$2:G1893, $C$2:C1893 = C1893, $A$2:A1893 &gt;= A1893 - 30)))
"),"#DIV/0!")</f>
        <v>#DIV/0!</v>
      </c>
    </row>
    <row r="1894" spans="1:14" x14ac:dyDescent="0.2">
      <c r="A1894" s="41"/>
      <c r="B1894" s="40"/>
      <c r="C1894" s="40"/>
      <c r="D1894" s="31"/>
      <c r="E1894" s="31"/>
      <c r="F1894" s="31"/>
      <c r="G1894" s="19" t="e">
        <f t="shared" si="35"/>
        <v>#DIV/0!</v>
      </c>
      <c r="H1894" s="20" t="str">
        <f ca="1">IFERROR(__xludf.DUMMYFUNCTION("IF(COUNTIFS($C$2:C1894, C1894, $A$2:A1894, ""&lt;="" &amp; A1894) &lt; 30, AVERAGEIF($C$2:C1894, C1894, $G$2:G1894), AVERAGE(FILTER($G$2:G1894, $C$2:C1894 = C1894, $A$2:A1894 &gt;= A1894 - 30)))
"),"#DIV/0!")</f>
        <v>#DIV/0!</v>
      </c>
      <c r="I1894" s="20" t="e">
        <f t="shared" ca="1" si="36"/>
        <v>#DIV/0!</v>
      </c>
      <c r="J1894" s="20" t="str">
        <f ca="1">IFERROR(__xludf.DUMMYFUNCTION("IF(OR($I1894=2, $I1894=3), 0, IFERROR(COUNTIFS($C$2:C1894, $C1894, $A$2:A1894, ""&gt;""&amp;IFERROR(MAX(FILTER($A$2:A1894, $C$2:C1894=$C1894, $I$2:I1894&lt;&gt;1)), 0), $I$2:I1894, 1),1))
"),"#DIV/0!")</f>
        <v>#DIV/0!</v>
      </c>
      <c r="K1894" s="7" t="e">
        <f t="shared" ca="1" si="37"/>
        <v>#DIV/0!</v>
      </c>
      <c r="L1894" s="20" t="e">
        <f t="shared" ca="1" si="38"/>
        <v>#DIV/0!</v>
      </c>
      <c r="M1894" s="21" t="e">
        <f t="shared" ca="1" si="39"/>
        <v>#DIV/0!</v>
      </c>
      <c r="N1894" s="20" t="str">
        <f ca="1">IFERROR(__xludf.DUMMYFUNCTION("IF(COUNTIFS($C$2:C1894, C1894, $A$2:A1894, ""&lt;="" &amp; A1894) &lt; 30, STDEV.P(FILTER($G$2:G1894, $C$2:C1894 = C1894)), STDEV.P(FILTER($G$2:G1894, $C$2:C1894 = C1894, $A$2:A1894 &gt;= A1894 - 30)))
"),"#DIV/0!")</f>
        <v>#DIV/0!</v>
      </c>
    </row>
    <row r="1895" spans="1:14" x14ac:dyDescent="0.2">
      <c r="A1895" s="41"/>
      <c r="B1895" s="40"/>
      <c r="C1895" s="40"/>
      <c r="D1895" s="31"/>
      <c r="E1895" s="31"/>
      <c r="F1895" s="31"/>
      <c r="G1895" s="19" t="e">
        <f t="shared" si="35"/>
        <v>#DIV/0!</v>
      </c>
      <c r="H1895" s="20" t="str">
        <f ca="1">IFERROR(__xludf.DUMMYFUNCTION("IF(COUNTIFS($C$2:C1895, C1895, $A$2:A1895, ""&lt;="" &amp; A1895) &lt; 30, AVERAGEIF($C$2:C1895, C1895, $G$2:G1895), AVERAGE(FILTER($G$2:G1895, $C$2:C1895 = C1895, $A$2:A1895 &gt;= A1895 - 30)))
"),"#DIV/0!")</f>
        <v>#DIV/0!</v>
      </c>
      <c r="I1895" s="20" t="e">
        <f t="shared" ca="1" si="36"/>
        <v>#DIV/0!</v>
      </c>
      <c r="J1895" s="20" t="str">
        <f ca="1">IFERROR(__xludf.DUMMYFUNCTION("IF(OR($I1895=2, $I1895=3), 0, IFERROR(COUNTIFS($C$2:C1895, $C1895, $A$2:A1895, ""&gt;""&amp;IFERROR(MAX(FILTER($A$2:A1895, $C$2:C1895=$C1895, $I$2:I1895&lt;&gt;1)), 0), $I$2:I1895, 1),1))
"),"#DIV/0!")</f>
        <v>#DIV/0!</v>
      </c>
      <c r="K1895" s="7" t="e">
        <f t="shared" ca="1" si="37"/>
        <v>#DIV/0!</v>
      </c>
      <c r="L1895" s="20" t="e">
        <f t="shared" ca="1" si="38"/>
        <v>#DIV/0!</v>
      </c>
      <c r="M1895" s="21" t="e">
        <f t="shared" ca="1" si="39"/>
        <v>#DIV/0!</v>
      </c>
      <c r="N1895" s="20" t="str">
        <f ca="1">IFERROR(__xludf.DUMMYFUNCTION("IF(COUNTIFS($C$2:C1895, C1895, $A$2:A1895, ""&lt;="" &amp; A1895) &lt; 30, STDEV.P(FILTER($G$2:G1895, $C$2:C1895 = C1895)), STDEV.P(FILTER($G$2:G1895, $C$2:C1895 = C1895, $A$2:A1895 &gt;= A1895 - 30)))
"),"#DIV/0!")</f>
        <v>#DIV/0!</v>
      </c>
    </row>
    <row r="1896" spans="1:14" x14ac:dyDescent="0.2">
      <c r="A1896" s="41"/>
      <c r="B1896" s="40"/>
      <c r="C1896" s="40"/>
      <c r="D1896" s="31"/>
      <c r="E1896" s="31"/>
      <c r="F1896" s="31"/>
      <c r="G1896" s="19" t="e">
        <f t="shared" si="35"/>
        <v>#DIV/0!</v>
      </c>
      <c r="H1896" s="20" t="str">
        <f ca="1">IFERROR(__xludf.DUMMYFUNCTION("IF(COUNTIFS($C$2:C1896, C1896, $A$2:A1896, ""&lt;="" &amp; A1896) &lt; 30, AVERAGEIF($C$2:C1896, C1896, $G$2:G1896), AVERAGE(FILTER($G$2:G1896, $C$2:C1896 = C1896, $A$2:A1896 &gt;= A1896 - 30)))
"),"#DIV/0!")</f>
        <v>#DIV/0!</v>
      </c>
      <c r="I1896" s="20" t="e">
        <f t="shared" ca="1" si="36"/>
        <v>#DIV/0!</v>
      </c>
      <c r="J1896" s="20" t="str">
        <f ca="1">IFERROR(__xludf.DUMMYFUNCTION("IF(OR($I1896=2, $I1896=3), 0, IFERROR(COUNTIFS($C$2:C1896, $C1896, $A$2:A1896, ""&gt;""&amp;IFERROR(MAX(FILTER($A$2:A1896, $C$2:C1896=$C1896, $I$2:I1896&lt;&gt;1)), 0), $I$2:I1896, 1),1))
"),"#DIV/0!")</f>
        <v>#DIV/0!</v>
      </c>
      <c r="K1896" s="7" t="e">
        <f t="shared" ca="1" si="37"/>
        <v>#DIV/0!</v>
      </c>
      <c r="L1896" s="20" t="e">
        <f t="shared" ca="1" si="38"/>
        <v>#DIV/0!</v>
      </c>
      <c r="M1896" s="21" t="e">
        <f t="shared" ca="1" si="39"/>
        <v>#DIV/0!</v>
      </c>
      <c r="N1896" s="20" t="str">
        <f ca="1">IFERROR(__xludf.DUMMYFUNCTION("IF(COUNTIFS($C$2:C1896, C1896, $A$2:A1896, ""&lt;="" &amp; A1896) &lt; 30, STDEV.P(FILTER($G$2:G1896, $C$2:C1896 = C1896)), STDEV.P(FILTER($G$2:G1896, $C$2:C1896 = C1896, $A$2:A1896 &gt;= A1896 - 30)))
"),"#DIV/0!")</f>
        <v>#DIV/0!</v>
      </c>
    </row>
    <row r="1897" spans="1:14" x14ac:dyDescent="0.2">
      <c r="A1897" s="41"/>
      <c r="B1897" s="40"/>
      <c r="C1897" s="40"/>
      <c r="D1897" s="31"/>
      <c r="E1897" s="31"/>
      <c r="F1897" s="31"/>
      <c r="G1897" s="19" t="e">
        <f t="shared" si="35"/>
        <v>#DIV/0!</v>
      </c>
      <c r="H1897" s="20" t="str">
        <f ca="1">IFERROR(__xludf.DUMMYFUNCTION("IF(COUNTIFS($C$2:C1897, C1897, $A$2:A1897, ""&lt;="" &amp; A1897) &lt; 30, AVERAGEIF($C$2:C1897, C1897, $G$2:G1897), AVERAGE(FILTER($G$2:G1897, $C$2:C1897 = C1897, $A$2:A1897 &gt;= A1897 - 30)))
"),"#DIV/0!")</f>
        <v>#DIV/0!</v>
      </c>
      <c r="I1897" s="20" t="e">
        <f t="shared" ca="1" si="36"/>
        <v>#DIV/0!</v>
      </c>
      <c r="J1897" s="20" t="str">
        <f ca="1">IFERROR(__xludf.DUMMYFUNCTION("IF(OR($I1897=2, $I1897=3), 0, IFERROR(COUNTIFS($C$2:C1897, $C1897, $A$2:A1897, ""&gt;""&amp;IFERROR(MAX(FILTER($A$2:A1897, $C$2:C1897=$C1897, $I$2:I1897&lt;&gt;1)), 0), $I$2:I1897, 1),1))
"),"#DIV/0!")</f>
        <v>#DIV/0!</v>
      </c>
      <c r="K1897" s="7" t="e">
        <f t="shared" ca="1" si="37"/>
        <v>#DIV/0!</v>
      </c>
      <c r="L1897" s="20" t="e">
        <f t="shared" ca="1" si="38"/>
        <v>#DIV/0!</v>
      </c>
      <c r="M1897" s="21" t="e">
        <f t="shared" ca="1" si="39"/>
        <v>#DIV/0!</v>
      </c>
      <c r="N1897" s="20" t="str">
        <f ca="1">IFERROR(__xludf.DUMMYFUNCTION("IF(COUNTIFS($C$2:C1897, C1897, $A$2:A1897, ""&lt;="" &amp; A1897) &lt; 30, STDEV.P(FILTER($G$2:G1897, $C$2:C1897 = C1897)), STDEV.P(FILTER($G$2:G1897, $C$2:C1897 = C1897, $A$2:A1897 &gt;= A1897 - 30)))
"),"#DIV/0!")</f>
        <v>#DIV/0!</v>
      </c>
    </row>
    <row r="1898" spans="1:14" x14ac:dyDescent="0.2">
      <c r="A1898" s="41"/>
      <c r="B1898" s="40"/>
      <c r="C1898" s="40"/>
      <c r="D1898" s="31"/>
      <c r="E1898" s="31"/>
      <c r="F1898" s="31"/>
      <c r="G1898" s="19" t="e">
        <f t="shared" si="35"/>
        <v>#DIV/0!</v>
      </c>
      <c r="H1898" s="20" t="str">
        <f ca="1">IFERROR(__xludf.DUMMYFUNCTION("IF(COUNTIFS($C$2:C1898, C1898, $A$2:A1898, ""&lt;="" &amp; A1898) &lt; 30, AVERAGEIF($C$2:C1898, C1898, $G$2:G1898), AVERAGE(FILTER($G$2:G1898, $C$2:C1898 = C1898, $A$2:A1898 &gt;= A1898 - 30)))
"),"#DIV/0!")</f>
        <v>#DIV/0!</v>
      </c>
      <c r="I1898" s="20" t="e">
        <f t="shared" ca="1" si="36"/>
        <v>#DIV/0!</v>
      </c>
      <c r="J1898" s="20" t="str">
        <f ca="1">IFERROR(__xludf.DUMMYFUNCTION("IF(OR($I1898=2, $I1898=3), 0, IFERROR(COUNTIFS($C$2:C1898, $C1898, $A$2:A1898, ""&gt;""&amp;IFERROR(MAX(FILTER($A$2:A1898, $C$2:C1898=$C1898, $I$2:I1898&lt;&gt;1)), 0), $I$2:I1898, 1),1))
"),"#DIV/0!")</f>
        <v>#DIV/0!</v>
      </c>
      <c r="K1898" s="7" t="e">
        <f t="shared" ca="1" si="37"/>
        <v>#DIV/0!</v>
      </c>
      <c r="L1898" s="20" t="e">
        <f t="shared" ca="1" si="38"/>
        <v>#DIV/0!</v>
      </c>
      <c r="M1898" s="21" t="e">
        <f t="shared" ca="1" si="39"/>
        <v>#DIV/0!</v>
      </c>
      <c r="N1898" s="20" t="str">
        <f ca="1">IFERROR(__xludf.DUMMYFUNCTION("IF(COUNTIFS($C$2:C1898, C1898, $A$2:A1898, ""&lt;="" &amp; A1898) &lt; 30, STDEV.P(FILTER($G$2:G1898, $C$2:C1898 = C1898)), STDEV.P(FILTER($G$2:G1898, $C$2:C1898 = C1898, $A$2:A1898 &gt;= A1898 - 30)))
"),"#DIV/0!")</f>
        <v>#DIV/0!</v>
      </c>
    </row>
    <row r="1899" spans="1:14" x14ac:dyDescent="0.2">
      <c r="A1899" s="41"/>
      <c r="B1899" s="40"/>
      <c r="C1899" s="40"/>
      <c r="D1899" s="31"/>
      <c r="E1899" s="31"/>
      <c r="F1899" s="31"/>
      <c r="G1899" s="19" t="e">
        <f t="shared" si="35"/>
        <v>#DIV/0!</v>
      </c>
      <c r="H1899" s="20" t="str">
        <f ca="1">IFERROR(__xludf.DUMMYFUNCTION("IF(COUNTIFS($C$2:C1899, C1899, $A$2:A1899, ""&lt;="" &amp; A1899) &lt; 30, AVERAGEIF($C$2:C1899, C1899, $G$2:G1899), AVERAGE(FILTER($G$2:G1899, $C$2:C1899 = C1899, $A$2:A1899 &gt;= A1899 - 30)))
"),"#DIV/0!")</f>
        <v>#DIV/0!</v>
      </c>
      <c r="I1899" s="20" t="e">
        <f t="shared" ca="1" si="36"/>
        <v>#DIV/0!</v>
      </c>
      <c r="J1899" s="20" t="str">
        <f ca="1">IFERROR(__xludf.DUMMYFUNCTION("IF(OR($I1899=2, $I1899=3), 0, IFERROR(COUNTIFS($C$2:C1899, $C1899, $A$2:A1899, ""&gt;""&amp;IFERROR(MAX(FILTER($A$2:A1899, $C$2:C1899=$C1899, $I$2:I1899&lt;&gt;1)), 0), $I$2:I1899, 1),1))
"),"#DIV/0!")</f>
        <v>#DIV/0!</v>
      </c>
      <c r="K1899" s="7" t="e">
        <f t="shared" ca="1" si="37"/>
        <v>#DIV/0!</v>
      </c>
      <c r="L1899" s="20" t="e">
        <f t="shared" ca="1" si="38"/>
        <v>#DIV/0!</v>
      </c>
      <c r="M1899" s="21" t="e">
        <f t="shared" ca="1" si="39"/>
        <v>#DIV/0!</v>
      </c>
      <c r="N1899" s="20" t="str">
        <f ca="1">IFERROR(__xludf.DUMMYFUNCTION("IF(COUNTIFS($C$2:C1899, C1899, $A$2:A1899, ""&lt;="" &amp; A1899) &lt; 30, STDEV.P(FILTER($G$2:G1899, $C$2:C1899 = C1899)), STDEV.P(FILTER($G$2:G1899, $C$2:C1899 = C1899, $A$2:A1899 &gt;= A1899 - 30)))
"),"#DIV/0!")</f>
        <v>#DIV/0!</v>
      </c>
    </row>
    <row r="1900" spans="1:14" x14ac:dyDescent="0.2">
      <c r="A1900" s="41"/>
      <c r="B1900" s="40"/>
      <c r="C1900" s="40"/>
      <c r="D1900" s="31"/>
      <c r="E1900" s="31"/>
      <c r="F1900" s="31"/>
      <c r="G1900" s="19" t="e">
        <f t="shared" si="35"/>
        <v>#DIV/0!</v>
      </c>
      <c r="H1900" s="20" t="str">
        <f ca="1">IFERROR(__xludf.DUMMYFUNCTION("IF(COUNTIFS($C$2:C1900, C1900, $A$2:A1900, ""&lt;="" &amp; A1900) &lt; 30, AVERAGEIF($C$2:C1900, C1900, $G$2:G1900), AVERAGE(FILTER($G$2:G1900, $C$2:C1900 = C1900, $A$2:A1900 &gt;= A1900 - 30)))
"),"#DIV/0!")</f>
        <v>#DIV/0!</v>
      </c>
      <c r="I1900" s="20" t="e">
        <f t="shared" ca="1" si="36"/>
        <v>#DIV/0!</v>
      </c>
      <c r="J1900" s="20" t="str">
        <f ca="1">IFERROR(__xludf.DUMMYFUNCTION("IF(OR($I1900=2, $I1900=3), 0, IFERROR(COUNTIFS($C$2:C1900, $C1900, $A$2:A1900, ""&gt;""&amp;IFERROR(MAX(FILTER($A$2:A1900, $C$2:C1900=$C1900, $I$2:I1900&lt;&gt;1)), 0), $I$2:I1900, 1),1))
"),"#DIV/0!")</f>
        <v>#DIV/0!</v>
      </c>
      <c r="K1900" s="7" t="e">
        <f t="shared" ca="1" si="37"/>
        <v>#DIV/0!</v>
      </c>
      <c r="L1900" s="20" t="e">
        <f t="shared" ca="1" si="38"/>
        <v>#DIV/0!</v>
      </c>
      <c r="M1900" s="21" t="e">
        <f t="shared" ca="1" si="39"/>
        <v>#DIV/0!</v>
      </c>
      <c r="N1900" s="20" t="str">
        <f ca="1">IFERROR(__xludf.DUMMYFUNCTION("IF(COUNTIFS($C$2:C1900, C1900, $A$2:A1900, ""&lt;="" &amp; A1900) &lt; 30, STDEV.P(FILTER($G$2:G1900, $C$2:C1900 = C1900)), STDEV.P(FILTER($G$2:G1900, $C$2:C1900 = C1900, $A$2:A1900 &gt;= A1900 - 30)))
"),"#DIV/0!")</f>
        <v>#DIV/0!</v>
      </c>
    </row>
    <row r="1901" spans="1:14" x14ac:dyDescent="0.2">
      <c r="A1901" s="41"/>
      <c r="B1901" s="40"/>
      <c r="C1901" s="40"/>
      <c r="D1901" s="31"/>
      <c r="E1901" s="31"/>
      <c r="F1901" s="31"/>
      <c r="G1901" s="19" t="e">
        <f t="shared" si="35"/>
        <v>#DIV/0!</v>
      </c>
      <c r="H1901" s="20" t="str">
        <f ca="1">IFERROR(__xludf.DUMMYFUNCTION("IF(COUNTIFS($C$2:C1901, C1901, $A$2:A1901, ""&lt;="" &amp; A1901) &lt; 30, AVERAGEIF($C$2:C1901, C1901, $G$2:G1901), AVERAGE(FILTER($G$2:G1901, $C$2:C1901 = C1901, $A$2:A1901 &gt;= A1901 - 30)))
"),"#DIV/0!")</f>
        <v>#DIV/0!</v>
      </c>
      <c r="I1901" s="20" t="e">
        <f t="shared" ca="1" si="36"/>
        <v>#DIV/0!</v>
      </c>
      <c r="J1901" s="20" t="str">
        <f ca="1">IFERROR(__xludf.DUMMYFUNCTION("IF(OR($I1901=2, $I1901=3), 0, IFERROR(COUNTIFS($C$2:C1901, $C1901, $A$2:A1901, ""&gt;""&amp;IFERROR(MAX(FILTER($A$2:A1901, $C$2:C1901=$C1901, $I$2:I1901&lt;&gt;1)), 0), $I$2:I1901, 1),1))
"),"#DIV/0!")</f>
        <v>#DIV/0!</v>
      </c>
      <c r="K1901" s="7" t="e">
        <f t="shared" ca="1" si="37"/>
        <v>#DIV/0!</v>
      </c>
      <c r="L1901" s="20" t="e">
        <f t="shared" ca="1" si="38"/>
        <v>#DIV/0!</v>
      </c>
      <c r="M1901" s="21" t="e">
        <f t="shared" ca="1" si="39"/>
        <v>#DIV/0!</v>
      </c>
      <c r="N1901" s="20" t="str">
        <f ca="1">IFERROR(__xludf.DUMMYFUNCTION("IF(COUNTIFS($C$2:C1901, C1901, $A$2:A1901, ""&lt;="" &amp; A1901) &lt; 30, STDEV.P(FILTER($G$2:G1901, $C$2:C1901 = C1901)), STDEV.P(FILTER($G$2:G1901, $C$2:C1901 = C1901, $A$2:A1901 &gt;= A1901 - 30)))
"),"#DIV/0!")</f>
        <v>#DIV/0!</v>
      </c>
    </row>
    <row r="1902" spans="1:14" x14ac:dyDescent="0.2">
      <c r="A1902" s="41"/>
      <c r="B1902" s="40"/>
      <c r="C1902" s="40"/>
      <c r="D1902" s="31"/>
      <c r="E1902" s="31"/>
      <c r="F1902" s="31"/>
      <c r="G1902" s="19" t="e">
        <f t="shared" si="35"/>
        <v>#DIV/0!</v>
      </c>
      <c r="H1902" s="20" t="str">
        <f ca="1">IFERROR(__xludf.DUMMYFUNCTION("IF(COUNTIFS($C$2:C1902, C1902, $A$2:A1902, ""&lt;="" &amp; A1902) &lt; 30, AVERAGEIF($C$2:C1902, C1902, $G$2:G1902), AVERAGE(FILTER($G$2:G1902, $C$2:C1902 = C1902, $A$2:A1902 &gt;= A1902 - 30)))
"),"#DIV/0!")</f>
        <v>#DIV/0!</v>
      </c>
      <c r="I1902" s="20" t="e">
        <f t="shared" ca="1" si="36"/>
        <v>#DIV/0!</v>
      </c>
      <c r="J1902" s="20" t="str">
        <f ca="1">IFERROR(__xludf.DUMMYFUNCTION("IF(OR($I1902=2, $I1902=3), 0, IFERROR(COUNTIFS($C$2:C1902, $C1902, $A$2:A1902, ""&gt;""&amp;IFERROR(MAX(FILTER($A$2:A1902, $C$2:C1902=$C1902, $I$2:I1902&lt;&gt;1)), 0), $I$2:I1902, 1),1))
"),"#DIV/0!")</f>
        <v>#DIV/0!</v>
      </c>
      <c r="K1902" s="7" t="e">
        <f t="shared" ca="1" si="37"/>
        <v>#DIV/0!</v>
      </c>
      <c r="L1902" s="20" t="e">
        <f t="shared" ca="1" si="38"/>
        <v>#DIV/0!</v>
      </c>
      <c r="M1902" s="21" t="e">
        <f t="shared" ca="1" si="39"/>
        <v>#DIV/0!</v>
      </c>
      <c r="N1902" s="20" t="str">
        <f ca="1">IFERROR(__xludf.DUMMYFUNCTION("IF(COUNTIFS($C$2:C1902, C1902, $A$2:A1902, ""&lt;="" &amp; A1902) &lt; 30, STDEV.P(FILTER($G$2:G1902, $C$2:C1902 = C1902)), STDEV.P(FILTER($G$2:G1902, $C$2:C1902 = C1902, $A$2:A1902 &gt;= A1902 - 30)))
"),"#DIV/0!")</f>
        <v>#DIV/0!</v>
      </c>
    </row>
    <row r="1903" spans="1:14" x14ac:dyDescent="0.2">
      <c r="A1903" s="41"/>
      <c r="B1903" s="40"/>
      <c r="C1903" s="40"/>
      <c r="D1903" s="31"/>
      <c r="E1903" s="31"/>
      <c r="F1903" s="31"/>
      <c r="G1903" s="19" t="e">
        <f t="shared" si="35"/>
        <v>#DIV/0!</v>
      </c>
      <c r="H1903" s="20" t="str">
        <f ca="1">IFERROR(__xludf.DUMMYFUNCTION("IF(COUNTIFS($C$2:C1903, C1903, $A$2:A1903, ""&lt;="" &amp; A1903) &lt; 30, AVERAGEIF($C$2:C1903, C1903, $G$2:G1903), AVERAGE(FILTER($G$2:G1903, $C$2:C1903 = C1903, $A$2:A1903 &gt;= A1903 - 30)))
"),"#DIV/0!")</f>
        <v>#DIV/0!</v>
      </c>
      <c r="I1903" s="20" t="e">
        <f t="shared" ca="1" si="36"/>
        <v>#DIV/0!</v>
      </c>
      <c r="J1903" s="20" t="str">
        <f ca="1">IFERROR(__xludf.DUMMYFUNCTION("IF(OR($I1903=2, $I1903=3), 0, IFERROR(COUNTIFS($C$2:C1903, $C1903, $A$2:A1903, ""&gt;""&amp;IFERROR(MAX(FILTER($A$2:A1903, $C$2:C1903=$C1903, $I$2:I1903&lt;&gt;1)), 0), $I$2:I1903, 1),1))
"),"#DIV/0!")</f>
        <v>#DIV/0!</v>
      </c>
      <c r="K1903" s="7" t="e">
        <f t="shared" ca="1" si="37"/>
        <v>#DIV/0!</v>
      </c>
      <c r="L1903" s="20" t="e">
        <f t="shared" ca="1" si="38"/>
        <v>#DIV/0!</v>
      </c>
      <c r="M1903" s="21" t="e">
        <f t="shared" ca="1" si="39"/>
        <v>#DIV/0!</v>
      </c>
      <c r="N1903" s="20" t="str">
        <f ca="1">IFERROR(__xludf.DUMMYFUNCTION("IF(COUNTIFS($C$2:C1903, C1903, $A$2:A1903, ""&lt;="" &amp; A1903) &lt; 30, STDEV.P(FILTER($G$2:G1903, $C$2:C1903 = C1903)), STDEV.P(FILTER($G$2:G1903, $C$2:C1903 = C1903, $A$2:A1903 &gt;= A1903 - 30)))
"),"#DIV/0!")</f>
        <v>#DIV/0!</v>
      </c>
    </row>
    <row r="1904" spans="1:14" x14ac:dyDescent="0.2">
      <c r="A1904" s="41"/>
      <c r="B1904" s="40"/>
      <c r="C1904" s="40"/>
      <c r="D1904" s="31"/>
      <c r="E1904" s="31"/>
      <c r="F1904" s="31"/>
      <c r="G1904" s="19" t="e">
        <f t="shared" si="35"/>
        <v>#DIV/0!</v>
      </c>
      <c r="H1904" s="20" t="str">
        <f ca="1">IFERROR(__xludf.DUMMYFUNCTION("IF(COUNTIFS($C$2:C1904, C1904, $A$2:A1904, ""&lt;="" &amp; A1904) &lt; 30, AVERAGEIF($C$2:C1904, C1904, $G$2:G1904), AVERAGE(FILTER($G$2:G1904, $C$2:C1904 = C1904, $A$2:A1904 &gt;= A1904 - 30)))
"),"#DIV/0!")</f>
        <v>#DIV/0!</v>
      </c>
      <c r="I1904" s="20" t="e">
        <f t="shared" ca="1" si="36"/>
        <v>#DIV/0!</v>
      </c>
      <c r="J1904" s="20" t="str">
        <f ca="1">IFERROR(__xludf.DUMMYFUNCTION("IF(OR($I1904=2, $I1904=3), 0, IFERROR(COUNTIFS($C$2:C1904, $C1904, $A$2:A1904, ""&gt;""&amp;IFERROR(MAX(FILTER($A$2:A1904, $C$2:C1904=$C1904, $I$2:I1904&lt;&gt;1)), 0), $I$2:I1904, 1),1))
"),"#DIV/0!")</f>
        <v>#DIV/0!</v>
      </c>
      <c r="K1904" s="7" t="e">
        <f t="shared" ca="1" si="37"/>
        <v>#DIV/0!</v>
      </c>
      <c r="L1904" s="20" t="e">
        <f t="shared" ca="1" si="38"/>
        <v>#DIV/0!</v>
      </c>
      <c r="M1904" s="21" t="e">
        <f t="shared" ca="1" si="39"/>
        <v>#DIV/0!</v>
      </c>
      <c r="N1904" s="20" t="str">
        <f ca="1">IFERROR(__xludf.DUMMYFUNCTION("IF(COUNTIFS($C$2:C1904, C1904, $A$2:A1904, ""&lt;="" &amp; A1904) &lt; 30, STDEV.P(FILTER($G$2:G1904, $C$2:C1904 = C1904)), STDEV.P(FILTER($G$2:G1904, $C$2:C1904 = C1904, $A$2:A1904 &gt;= A1904 - 30)))
"),"#DIV/0!")</f>
        <v>#DIV/0!</v>
      </c>
    </row>
    <row r="1905" spans="1:14" x14ac:dyDescent="0.2">
      <c r="A1905" s="41"/>
      <c r="B1905" s="40"/>
      <c r="C1905" s="40"/>
      <c r="D1905" s="31"/>
      <c r="E1905" s="31"/>
      <c r="F1905" s="31"/>
      <c r="G1905" s="19" t="e">
        <f t="shared" si="35"/>
        <v>#DIV/0!</v>
      </c>
      <c r="H1905" s="20" t="str">
        <f ca="1">IFERROR(__xludf.DUMMYFUNCTION("IF(COUNTIFS($C$2:C1905, C1905, $A$2:A1905, ""&lt;="" &amp; A1905) &lt; 30, AVERAGEIF($C$2:C1905, C1905, $G$2:G1905), AVERAGE(FILTER($G$2:G1905, $C$2:C1905 = C1905, $A$2:A1905 &gt;= A1905 - 30)))
"),"#DIV/0!")</f>
        <v>#DIV/0!</v>
      </c>
      <c r="I1905" s="20" t="e">
        <f t="shared" ca="1" si="36"/>
        <v>#DIV/0!</v>
      </c>
      <c r="J1905" s="20" t="str">
        <f ca="1">IFERROR(__xludf.DUMMYFUNCTION("IF(OR($I1905=2, $I1905=3), 0, IFERROR(COUNTIFS($C$2:C1905, $C1905, $A$2:A1905, ""&gt;""&amp;IFERROR(MAX(FILTER($A$2:A1905, $C$2:C1905=$C1905, $I$2:I1905&lt;&gt;1)), 0), $I$2:I1905, 1),1))
"),"#DIV/0!")</f>
        <v>#DIV/0!</v>
      </c>
      <c r="K1905" s="7" t="e">
        <f t="shared" ca="1" si="37"/>
        <v>#DIV/0!</v>
      </c>
      <c r="L1905" s="20" t="e">
        <f t="shared" ca="1" si="38"/>
        <v>#DIV/0!</v>
      </c>
      <c r="M1905" s="21" t="e">
        <f t="shared" ca="1" si="39"/>
        <v>#DIV/0!</v>
      </c>
      <c r="N1905" s="20" t="str">
        <f ca="1">IFERROR(__xludf.DUMMYFUNCTION("IF(COUNTIFS($C$2:C1905, C1905, $A$2:A1905, ""&lt;="" &amp; A1905) &lt; 30, STDEV.P(FILTER($G$2:G1905, $C$2:C1905 = C1905)), STDEV.P(FILTER($G$2:G1905, $C$2:C1905 = C1905, $A$2:A1905 &gt;= A1905 - 30)))
"),"#DIV/0!")</f>
        <v>#DIV/0!</v>
      </c>
    </row>
    <row r="1906" spans="1:14" x14ac:dyDescent="0.2">
      <c r="A1906" s="41"/>
      <c r="B1906" s="40"/>
      <c r="C1906" s="40"/>
      <c r="D1906" s="31"/>
      <c r="E1906" s="31"/>
      <c r="F1906" s="31"/>
      <c r="G1906" s="19" t="e">
        <f t="shared" si="35"/>
        <v>#DIV/0!</v>
      </c>
      <c r="H1906" s="20" t="str">
        <f ca="1">IFERROR(__xludf.DUMMYFUNCTION("IF(COUNTIFS($C$2:C1906, C1906, $A$2:A1906, ""&lt;="" &amp; A1906) &lt; 30, AVERAGEIF($C$2:C1906, C1906, $G$2:G1906), AVERAGE(FILTER($G$2:G1906, $C$2:C1906 = C1906, $A$2:A1906 &gt;= A1906 - 30)))
"),"#DIV/0!")</f>
        <v>#DIV/0!</v>
      </c>
      <c r="I1906" s="20" t="e">
        <f t="shared" ca="1" si="36"/>
        <v>#DIV/0!</v>
      </c>
      <c r="J1906" s="20" t="str">
        <f ca="1">IFERROR(__xludf.DUMMYFUNCTION("IF(OR($I1906=2, $I1906=3), 0, IFERROR(COUNTIFS($C$2:C1906, $C1906, $A$2:A1906, ""&gt;""&amp;IFERROR(MAX(FILTER($A$2:A1906, $C$2:C1906=$C1906, $I$2:I1906&lt;&gt;1)), 0), $I$2:I1906, 1),1))
"),"#DIV/0!")</f>
        <v>#DIV/0!</v>
      </c>
      <c r="K1906" s="7" t="e">
        <f t="shared" ca="1" si="37"/>
        <v>#DIV/0!</v>
      </c>
      <c r="L1906" s="20" t="e">
        <f t="shared" ca="1" si="38"/>
        <v>#DIV/0!</v>
      </c>
      <c r="M1906" s="21" t="e">
        <f t="shared" ca="1" si="39"/>
        <v>#DIV/0!</v>
      </c>
      <c r="N1906" s="20" t="str">
        <f ca="1">IFERROR(__xludf.DUMMYFUNCTION("IF(COUNTIFS($C$2:C1906, C1906, $A$2:A1906, ""&lt;="" &amp; A1906) &lt; 30, STDEV.P(FILTER($G$2:G1906, $C$2:C1906 = C1906)), STDEV.P(FILTER($G$2:G1906, $C$2:C1906 = C1906, $A$2:A1906 &gt;= A1906 - 30)))
"),"#DIV/0!")</f>
        <v>#DIV/0!</v>
      </c>
    </row>
    <row r="1907" spans="1:14" x14ac:dyDescent="0.2">
      <c r="A1907" s="41"/>
      <c r="B1907" s="40"/>
      <c r="C1907" s="40"/>
      <c r="D1907" s="31"/>
      <c r="E1907" s="31"/>
      <c r="F1907" s="31"/>
      <c r="G1907" s="19" t="e">
        <f t="shared" si="35"/>
        <v>#DIV/0!</v>
      </c>
      <c r="H1907" s="20" t="str">
        <f ca="1">IFERROR(__xludf.DUMMYFUNCTION("IF(COUNTIFS($C$2:C1907, C1907, $A$2:A1907, ""&lt;="" &amp; A1907) &lt; 30, AVERAGEIF($C$2:C1907, C1907, $G$2:G1907), AVERAGE(FILTER($G$2:G1907, $C$2:C1907 = C1907, $A$2:A1907 &gt;= A1907 - 30)))
"),"#DIV/0!")</f>
        <v>#DIV/0!</v>
      </c>
      <c r="I1907" s="20" t="e">
        <f t="shared" ca="1" si="36"/>
        <v>#DIV/0!</v>
      </c>
      <c r="J1907" s="20" t="str">
        <f ca="1">IFERROR(__xludf.DUMMYFUNCTION("IF(OR($I1907=2, $I1907=3), 0, IFERROR(COUNTIFS($C$2:C1907, $C1907, $A$2:A1907, ""&gt;""&amp;IFERROR(MAX(FILTER($A$2:A1907, $C$2:C1907=$C1907, $I$2:I1907&lt;&gt;1)), 0), $I$2:I1907, 1),1))
"),"#DIV/0!")</f>
        <v>#DIV/0!</v>
      </c>
      <c r="K1907" s="7" t="e">
        <f t="shared" ca="1" si="37"/>
        <v>#DIV/0!</v>
      </c>
      <c r="L1907" s="20" t="e">
        <f t="shared" ca="1" si="38"/>
        <v>#DIV/0!</v>
      </c>
      <c r="M1907" s="21" t="e">
        <f t="shared" ca="1" si="39"/>
        <v>#DIV/0!</v>
      </c>
      <c r="N1907" s="20" t="str">
        <f ca="1">IFERROR(__xludf.DUMMYFUNCTION("IF(COUNTIFS($C$2:C1907, C1907, $A$2:A1907, ""&lt;="" &amp; A1907) &lt; 30, STDEV.P(FILTER($G$2:G1907, $C$2:C1907 = C1907)), STDEV.P(FILTER($G$2:G1907, $C$2:C1907 = C1907, $A$2:A1907 &gt;= A1907 - 30)))
"),"#DIV/0!")</f>
        <v>#DIV/0!</v>
      </c>
    </row>
    <row r="1908" spans="1:14" x14ac:dyDescent="0.2">
      <c r="A1908" s="41"/>
      <c r="B1908" s="40"/>
      <c r="C1908" s="40"/>
      <c r="D1908" s="31"/>
      <c r="E1908" s="31"/>
      <c r="F1908" s="31"/>
      <c r="G1908" s="19" t="e">
        <f t="shared" si="35"/>
        <v>#DIV/0!</v>
      </c>
      <c r="H1908" s="20" t="str">
        <f ca="1">IFERROR(__xludf.DUMMYFUNCTION("IF(COUNTIFS($C$2:C1908, C1908, $A$2:A1908, ""&lt;="" &amp; A1908) &lt; 30, AVERAGEIF($C$2:C1908, C1908, $G$2:G1908), AVERAGE(FILTER($G$2:G1908, $C$2:C1908 = C1908, $A$2:A1908 &gt;= A1908 - 30)))
"),"#DIV/0!")</f>
        <v>#DIV/0!</v>
      </c>
      <c r="I1908" s="20" t="e">
        <f t="shared" ca="1" si="36"/>
        <v>#DIV/0!</v>
      </c>
      <c r="J1908" s="20" t="str">
        <f ca="1">IFERROR(__xludf.DUMMYFUNCTION("IF(OR($I1908=2, $I1908=3), 0, IFERROR(COUNTIFS($C$2:C1908, $C1908, $A$2:A1908, ""&gt;""&amp;IFERROR(MAX(FILTER($A$2:A1908, $C$2:C1908=$C1908, $I$2:I1908&lt;&gt;1)), 0), $I$2:I1908, 1),1))
"),"#DIV/0!")</f>
        <v>#DIV/0!</v>
      </c>
      <c r="K1908" s="7" t="e">
        <f t="shared" ca="1" si="37"/>
        <v>#DIV/0!</v>
      </c>
      <c r="L1908" s="20" t="e">
        <f t="shared" ca="1" si="38"/>
        <v>#DIV/0!</v>
      </c>
      <c r="M1908" s="21" t="e">
        <f t="shared" ca="1" si="39"/>
        <v>#DIV/0!</v>
      </c>
      <c r="N1908" s="20" t="str">
        <f ca="1">IFERROR(__xludf.DUMMYFUNCTION("IF(COUNTIFS($C$2:C1908, C1908, $A$2:A1908, ""&lt;="" &amp; A1908) &lt; 30, STDEV.P(FILTER($G$2:G1908, $C$2:C1908 = C1908)), STDEV.P(FILTER($G$2:G1908, $C$2:C1908 = C1908, $A$2:A1908 &gt;= A1908 - 30)))
"),"#DIV/0!")</f>
        <v>#DIV/0!</v>
      </c>
    </row>
    <row r="1909" spans="1:14" x14ac:dyDescent="0.2">
      <c r="A1909" s="41"/>
      <c r="B1909" s="40"/>
      <c r="C1909" s="40"/>
      <c r="D1909" s="31"/>
      <c r="E1909" s="31"/>
      <c r="F1909" s="31"/>
      <c r="G1909" s="19" t="e">
        <f t="shared" si="35"/>
        <v>#DIV/0!</v>
      </c>
      <c r="H1909" s="20" t="str">
        <f ca="1">IFERROR(__xludf.DUMMYFUNCTION("IF(COUNTIFS($C$2:C1909, C1909, $A$2:A1909, ""&lt;="" &amp; A1909) &lt; 30, AVERAGEIF($C$2:C1909, C1909, $G$2:G1909), AVERAGE(FILTER($G$2:G1909, $C$2:C1909 = C1909, $A$2:A1909 &gt;= A1909 - 30)))
"),"#DIV/0!")</f>
        <v>#DIV/0!</v>
      </c>
      <c r="I1909" s="20" t="e">
        <f t="shared" ca="1" si="36"/>
        <v>#DIV/0!</v>
      </c>
      <c r="J1909" s="20" t="str">
        <f ca="1">IFERROR(__xludf.DUMMYFUNCTION("IF(OR($I1909=2, $I1909=3), 0, IFERROR(COUNTIFS($C$2:C1909, $C1909, $A$2:A1909, ""&gt;""&amp;IFERROR(MAX(FILTER($A$2:A1909, $C$2:C1909=$C1909, $I$2:I1909&lt;&gt;1)), 0), $I$2:I1909, 1),1))
"),"#DIV/0!")</f>
        <v>#DIV/0!</v>
      </c>
      <c r="K1909" s="7" t="e">
        <f t="shared" ca="1" si="37"/>
        <v>#DIV/0!</v>
      </c>
      <c r="L1909" s="20" t="e">
        <f t="shared" ca="1" si="38"/>
        <v>#DIV/0!</v>
      </c>
      <c r="M1909" s="21" t="e">
        <f t="shared" ca="1" si="39"/>
        <v>#DIV/0!</v>
      </c>
      <c r="N1909" s="20" t="str">
        <f ca="1">IFERROR(__xludf.DUMMYFUNCTION("IF(COUNTIFS($C$2:C1909, C1909, $A$2:A1909, ""&lt;="" &amp; A1909) &lt; 30, STDEV.P(FILTER($G$2:G1909, $C$2:C1909 = C1909)), STDEV.P(FILTER($G$2:G1909, $C$2:C1909 = C1909, $A$2:A1909 &gt;= A1909 - 30)))
"),"#DIV/0!")</f>
        <v>#DIV/0!</v>
      </c>
    </row>
    <row r="1910" spans="1:14" x14ac:dyDescent="0.2">
      <c r="A1910" s="41"/>
      <c r="B1910" s="40"/>
      <c r="C1910" s="40"/>
      <c r="D1910" s="31"/>
      <c r="E1910" s="31"/>
      <c r="F1910" s="31"/>
      <c r="G1910" s="19" t="e">
        <f t="shared" si="35"/>
        <v>#DIV/0!</v>
      </c>
      <c r="H1910" s="20" t="str">
        <f ca="1">IFERROR(__xludf.DUMMYFUNCTION("IF(COUNTIFS($C$2:C1910, C1910, $A$2:A1910, ""&lt;="" &amp; A1910) &lt; 30, AVERAGEIF($C$2:C1910, C1910, $G$2:G1910), AVERAGE(FILTER($G$2:G1910, $C$2:C1910 = C1910, $A$2:A1910 &gt;= A1910 - 30)))
"),"#DIV/0!")</f>
        <v>#DIV/0!</v>
      </c>
      <c r="I1910" s="20" t="e">
        <f t="shared" ca="1" si="36"/>
        <v>#DIV/0!</v>
      </c>
      <c r="J1910" s="20" t="str">
        <f ca="1">IFERROR(__xludf.DUMMYFUNCTION("IF(OR($I1910=2, $I1910=3), 0, IFERROR(COUNTIFS($C$2:C1910, $C1910, $A$2:A1910, ""&gt;""&amp;IFERROR(MAX(FILTER($A$2:A1910, $C$2:C1910=$C1910, $I$2:I1910&lt;&gt;1)), 0), $I$2:I1910, 1),1))
"),"#DIV/0!")</f>
        <v>#DIV/0!</v>
      </c>
      <c r="K1910" s="7" t="e">
        <f t="shared" ca="1" si="37"/>
        <v>#DIV/0!</v>
      </c>
      <c r="L1910" s="20" t="e">
        <f t="shared" ca="1" si="38"/>
        <v>#DIV/0!</v>
      </c>
      <c r="M1910" s="21" t="e">
        <f t="shared" ca="1" si="39"/>
        <v>#DIV/0!</v>
      </c>
      <c r="N1910" s="20" t="str">
        <f ca="1">IFERROR(__xludf.DUMMYFUNCTION("IF(COUNTIFS($C$2:C1910, C1910, $A$2:A1910, ""&lt;="" &amp; A1910) &lt; 30, STDEV.P(FILTER($G$2:G1910, $C$2:C1910 = C1910)), STDEV.P(FILTER($G$2:G1910, $C$2:C1910 = C1910, $A$2:A1910 &gt;= A1910 - 30)))
"),"#DIV/0!")</f>
        <v>#DIV/0!</v>
      </c>
    </row>
    <row r="1911" spans="1:14" x14ac:dyDescent="0.2">
      <c r="A1911" s="41"/>
      <c r="B1911" s="40"/>
      <c r="C1911" s="40"/>
      <c r="D1911" s="31"/>
      <c r="E1911" s="31"/>
      <c r="F1911" s="31"/>
      <c r="G1911" s="19" t="e">
        <f t="shared" si="35"/>
        <v>#DIV/0!</v>
      </c>
      <c r="H1911" s="20" t="str">
        <f ca="1">IFERROR(__xludf.DUMMYFUNCTION("IF(COUNTIFS($C$2:C1911, C1911, $A$2:A1911, ""&lt;="" &amp; A1911) &lt; 30, AVERAGEIF($C$2:C1911, C1911, $G$2:G1911), AVERAGE(FILTER($G$2:G1911, $C$2:C1911 = C1911, $A$2:A1911 &gt;= A1911 - 30)))
"),"#DIV/0!")</f>
        <v>#DIV/0!</v>
      </c>
      <c r="I1911" s="20" t="e">
        <f t="shared" ca="1" si="36"/>
        <v>#DIV/0!</v>
      </c>
      <c r="J1911" s="20" t="str">
        <f ca="1">IFERROR(__xludf.DUMMYFUNCTION("IF(OR($I1911=2, $I1911=3), 0, IFERROR(COUNTIFS($C$2:C1911, $C1911, $A$2:A1911, ""&gt;""&amp;IFERROR(MAX(FILTER($A$2:A1911, $C$2:C1911=$C1911, $I$2:I1911&lt;&gt;1)), 0), $I$2:I1911, 1),1))
"),"#DIV/0!")</f>
        <v>#DIV/0!</v>
      </c>
      <c r="K1911" s="7" t="e">
        <f t="shared" ca="1" si="37"/>
        <v>#DIV/0!</v>
      </c>
      <c r="L1911" s="20" t="e">
        <f t="shared" ca="1" si="38"/>
        <v>#DIV/0!</v>
      </c>
      <c r="M1911" s="21" t="e">
        <f t="shared" ca="1" si="39"/>
        <v>#DIV/0!</v>
      </c>
      <c r="N1911" s="20" t="str">
        <f ca="1">IFERROR(__xludf.DUMMYFUNCTION("IF(COUNTIFS($C$2:C1911, C1911, $A$2:A1911, ""&lt;="" &amp; A1911) &lt; 30, STDEV.P(FILTER($G$2:G1911, $C$2:C1911 = C1911)), STDEV.P(FILTER($G$2:G1911, $C$2:C1911 = C1911, $A$2:A1911 &gt;= A1911 - 30)))
"),"#DIV/0!")</f>
        <v>#DIV/0!</v>
      </c>
    </row>
    <row r="1912" spans="1:14" x14ac:dyDescent="0.2">
      <c r="A1912" s="41"/>
      <c r="B1912" s="40"/>
      <c r="C1912" s="40"/>
      <c r="D1912" s="31"/>
      <c r="E1912" s="31"/>
      <c r="F1912" s="31"/>
      <c r="G1912" s="19" t="e">
        <f t="shared" si="35"/>
        <v>#DIV/0!</v>
      </c>
      <c r="H1912" s="20" t="str">
        <f ca="1">IFERROR(__xludf.DUMMYFUNCTION("IF(COUNTIFS($C$2:C1912, C1912, $A$2:A1912, ""&lt;="" &amp; A1912) &lt; 30, AVERAGEIF($C$2:C1912, C1912, $G$2:G1912), AVERAGE(FILTER($G$2:G1912, $C$2:C1912 = C1912, $A$2:A1912 &gt;= A1912 - 30)))
"),"#DIV/0!")</f>
        <v>#DIV/0!</v>
      </c>
      <c r="I1912" s="20" t="e">
        <f t="shared" ca="1" si="36"/>
        <v>#DIV/0!</v>
      </c>
      <c r="J1912" s="20" t="str">
        <f ca="1">IFERROR(__xludf.DUMMYFUNCTION("IF(OR($I1912=2, $I1912=3), 0, IFERROR(COUNTIFS($C$2:C1912, $C1912, $A$2:A1912, ""&gt;""&amp;IFERROR(MAX(FILTER($A$2:A1912, $C$2:C1912=$C1912, $I$2:I1912&lt;&gt;1)), 0), $I$2:I1912, 1),1))
"),"#DIV/0!")</f>
        <v>#DIV/0!</v>
      </c>
      <c r="K1912" s="7" t="e">
        <f t="shared" ca="1" si="37"/>
        <v>#DIV/0!</v>
      </c>
      <c r="L1912" s="20" t="e">
        <f t="shared" ca="1" si="38"/>
        <v>#DIV/0!</v>
      </c>
      <c r="M1912" s="21" t="e">
        <f t="shared" ca="1" si="39"/>
        <v>#DIV/0!</v>
      </c>
      <c r="N1912" s="20" t="str">
        <f ca="1">IFERROR(__xludf.DUMMYFUNCTION("IF(COUNTIFS($C$2:C1912, C1912, $A$2:A1912, ""&lt;="" &amp; A1912) &lt; 30, STDEV.P(FILTER($G$2:G1912, $C$2:C1912 = C1912)), STDEV.P(FILTER($G$2:G1912, $C$2:C1912 = C1912, $A$2:A1912 &gt;= A1912 - 30)))
"),"#DIV/0!")</f>
        <v>#DIV/0!</v>
      </c>
    </row>
    <row r="1913" spans="1:14" x14ac:dyDescent="0.2">
      <c r="A1913" s="41"/>
      <c r="B1913" s="40"/>
      <c r="C1913" s="40"/>
      <c r="D1913" s="31"/>
      <c r="E1913" s="31"/>
      <c r="F1913" s="31"/>
      <c r="G1913" s="19" t="e">
        <f t="shared" si="35"/>
        <v>#DIV/0!</v>
      </c>
      <c r="H1913" s="20" t="str">
        <f ca="1">IFERROR(__xludf.DUMMYFUNCTION("IF(COUNTIFS($C$2:C1913, C1913, $A$2:A1913, ""&lt;="" &amp; A1913) &lt; 30, AVERAGEIF($C$2:C1913, C1913, $G$2:G1913), AVERAGE(FILTER($G$2:G1913, $C$2:C1913 = C1913, $A$2:A1913 &gt;= A1913 - 30)))
"),"#DIV/0!")</f>
        <v>#DIV/0!</v>
      </c>
      <c r="I1913" s="20" t="e">
        <f t="shared" ca="1" si="36"/>
        <v>#DIV/0!</v>
      </c>
      <c r="J1913" s="20" t="str">
        <f ca="1">IFERROR(__xludf.DUMMYFUNCTION("IF(OR($I1913=2, $I1913=3), 0, IFERROR(COUNTIFS($C$2:C1913, $C1913, $A$2:A1913, ""&gt;""&amp;IFERROR(MAX(FILTER($A$2:A1913, $C$2:C1913=$C1913, $I$2:I1913&lt;&gt;1)), 0), $I$2:I1913, 1),1))
"),"#DIV/0!")</f>
        <v>#DIV/0!</v>
      </c>
      <c r="K1913" s="7" t="e">
        <f t="shared" ca="1" si="37"/>
        <v>#DIV/0!</v>
      </c>
      <c r="L1913" s="20" t="e">
        <f t="shared" ca="1" si="38"/>
        <v>#DIV/0!</v>
      </c>
      <c r="M1913" s="21" t="e">
        <f t="shared" ca="1" si="39"/>
        <v>#DIV/0!</v>
      </c>
      <c r="N1913" s="20" t="str">
        <f ca="1">IFERROR(__xludf.DUMMYFUNCTION("IF(COUNTIFS($C$2:C1913, C1913, $A$2:A1913, ""&lt;="" &amp; A1913) &lt; 30, STDEV.P(FILTER($G$2:G1913, $C$2:C1913 = C1913)), STDEV.P(FILTER($G$2:G1913, $C$2:C1913 = C1913, $A$2:A1913 &gt;= A1913 - 30)))
"),"#DIV/0!")</f>
        <v>#DIV/0!</v>
      </c>
    </row>
    <row r="1914" spans="1:14" x14ac:dyDescent="0.2">
      <c r="A1914" s="41"/>
      <c r="B1914" s="40"/>
      <c r="C1914" s="40"/>
      <c r="D1914" s="31"/>
      <c r="E1914" s="31"/>
      <c r="F1914" s="31"/>
      <c r="G1914" s="19" t="e">
        <f t="shared" si="35"/>
        <v>#DIV/0!</v>
      </c>
      <c r="H1914" s="20" t="str">
        <f ca="1">IFERROR(__xludf.DUMMYFUNCTION("IF(COUNTIFS($C$2:C1914, C1914, $A$2:A1914, ""&lt;="" &amp; A1914) &lt; 30, AVERAGEIF($C$2:C1914, C1914, $G$2:G1914), AVERAGE(FILTER($G$2:G1914, $C$2:C1914 = C1914, $A$2:A1914 &gt;= A1914 - 30)))
"),"#DIV/0!")</f>
        <v>#DIV/0!</v>
      </c>
      <c r="I1914" s="20" t="e">
        <f t="shared" ca="1" si="36"/>
        <v>#DIV/0!</v>
      </c>
      <c r="J1914" s="20" t="str">
        <f ca="1">IFERROR(__xludf.DUMMYFUNCTION("IF(OR($I1914=2, $I1914=3), 0, IFERROR(COUNTIFS($C$2:C1914, $C1914, $A$2:A1914, ""&gt;""&amp;IFERROR(MAX(FILTER($A$2:A1914, $C$2:C1914=$C1914, $I$2:I1914&lt;&gt;1)), 0), $I$2:I1914, 1),1))
"),"#DIV/0!")</f>
        <v>#DIV/0!</v>
      </c>
      <c r="K1914" s="7" t="e">
        <f t="shared" ca="1" si="37"/>
        <v>#DIV/0!</v>
      </c>
      <c r="L1914" s="20" t="e">
        <f t="shared" ca="1" si="38"/>
        <v>#DIV/0!</v>
      </c>
      <c r="M1914" s="21" t="e">
        <f t="shared" ca="1" si="39"/>
        <v>#DIV/0!</v>
      </c>
      <c r="N1914" s="20" t="str">
        <f ca="1">IFERROR(__xludf.DUMMYFUNCTION("IF(COUNTIFS($C$2:C1914, C1914, $A$2:A1914, ""&lt;="" &amp; A1914) &lt; 30, STDEV.P(FILTER($G$2:G1914, $C$2:C1914 = C1914)), STDEV.P(FILTER($G$2:G1914, $C$2:C1914 = C1914, $A$2:A1914 &gt;= A1914 - 30)))
"),"#DIV/0!")</f>
        <v>#DIV/0!</v>
      </c>
    </row>
    <row r="1915" spans="1:14" x14ac:dyDescent="0.2">
      <c r="A1915" s="41"/>
      <c r="B1915" s="40"/>
      <c r="C1915" s="40"/>
      <c r="D1915" s="31"/>
      <c r="E1915" s="31"/>
      <c r="F1915" s="31"/>
      <c r="G1915" s="19" t="e">
        <f t="shared" si="35"/>
        <v>#DIV/0!</v>
      </c>
      <c r="H1915" s="20" t="str">
        <f ca="1">IFERROR(__xludf.DUMMYFUNCTION("IF(COUNTIFS($C$2:C1915, C1915, $A$2:A1915, ""&lt;="" &amp; A1915) &lt; 30, AVERAGEIF($C$2:C1915, C1915, $G$2:G1915), AVERAGE(FILTER($G$2:G1915, $C$2:C1915 = C1915, $A$2:A1915 &gt;= A1915 - 30)))
"),"#DIV/0!")</f>
        <v>#DIV/0!</v>
      </c>
      <c r="I1915" s="20" t="e">
        <f t="shared" ca="1" si="36"/>
        <v>#DIV/0!</v>
      </c>
      <c r="J1915" s="20" t="str">
        <f ca="1">IFERROR(__xludf.DUMMYFUNCTION("IF(OR($I1915=2, $I1915=3), 0, IFERROR(COUNTIFS($C$2:C1915, $C1915, $A$2:A1915, ""&gt;""&amp;IFERROR(MAX(FILTER($A$2:A1915, $C$2:C1915=$C1915, $I$2:I1915&lt;&gt;1)), 0), $I$2:I1915, 1),1))
"),"#DIV/0!")</f>
        <v>#DIV/0!</v>
      </c>
      <c r="K1915" s="7" t="e">
        <f t="shared" ca="1" si="37"/>
        <v>#DIV/0!</v>
      </c>
      <c r="L1915" s="20" t="e">
        <f t="shared" ca="1" si="38"/>
        <v>#DIV/0!</v>
      </c>
      <c r="M1915" s="21" t="e">
        <f t="shared" ca="1" si="39"/>
        <v>#DIV/0!</v>
      </c>
      <c r="N1915" s="20" t="str">
        <f ca="1">IFERROR(__xludf.DUMMYFUNCTION("IF(COUNTIFS($C$2:C1915, C1915, $A$2:A1915, ""&lt;="" &amp; A1915) &lt; 30, STDEV.P(FILTER($G$2:G1915, $C$2:C1915 = C1915)), STDEV.P(FILTER($G$2:G1915, $C$2:C1915 = C1915, $A$2:A1915 &gt;= A1915 - 30)))
"),"#DIV/0!")</f>
        <v>#DIV/0!</v>
      </c>
    </row>
    <row r="1916" spans="1:14" x14ac:dyDescent="0.2">
      <c r="A1916" s="41"/>
      <c r="B1916" s="40"/>
      <c r="C1916" s="40"/>
      <c r="D1916" s="31"/>
      <c r="E1916" s="31"/>
      <c r="F1916" s="31"/>
      <c r="G1916" s="19" t="e">
        <f t="shared" si="35"/>
        <v>#DIV/0!</v>
      </c>
      <c r="H1916" s="20" t="str">
        <f ca="1">IFERROR(__xludf.DUMMYFUNCTION("IF(COUNTIFS($C$2:C1916, C1916, $A$2:A1916, ""&lt;="" &amp; A1916) &lt; 30, AVERAGEIF($C$2:C1916, C1916, $G$2:G1916), AVERAGE(FILTER($G$2:G1916, $C$2:C1916 = C1916, $A$2:A1916 &gt;= A1916 - 30)))
"),"#DIV/0!")</f>
        <v>#DIV/0!</v>
      </c>
      <c r="I1916" s="20" t="e">
        <f t="shared" ca="1" si="36"/>
        <v>#DIV/0!</v>
      </c>
      <c r="J1916" s="20" t="str">
        <f ca="1">IFERROR(__xludf.DUMMYFUNCTION("IF(OR($I1916=2, $I1916=3), 0, IFERROR(COUNTIFS($C$2:C1916, $C1916, $A$2:A1916, ""&gt;""&amp;IFERROR(MAX(FILTER($A$2:A1916, $C$2:C1916=$C1916, $I$2:I1916&lt;&gt;1)), 0), $I$2:I1916, 1),1))
"),"#DIV/0!")</f>
        <v>#DIV/0!</v>
      </c>
      <c r="K1916" s="7" t="e">
        <f t="shared" ca="1" si="37"/>
        <v>#DIV/0!</v>
      </c>
      <c r="L1916" s="20" t="e">
        <f t="shared" ca="1" si="38"/>
        <v>#DIV/0!</v>
      </c>
      <c r="M1916" s="21" t="e">
        <f t="shared" ca="1" si="39"/>
        <v>#DIV/0!</v>
      </c>
      <c r="N1916" s="20" t="str">
        <f ca="1">IFERROR(__xludf.DUMMYFUNCTION("IF(COUNTIFS($C$2:C1916, C1916, $A$2:A1916, ""&lt;="" &amp; A1916) &lt; 30, STDEV.P(FILTER($G$2:G1916, $C$2:C1916 = C1916)), STDEV.P(FILTER($G$2:G1916, $C$2:C1916 = C1916, $A$2:A1916 &gt;= A1916 - 30)))
"),"#DIV/0!")</f>
        <v>#DIV/0!</v>
      </c>
    </row>
    <row r="1917" spans="1:14" x14ac:dyDescent="0.2">
      <c r="A1917" s="41"/>
      <c r="B1917" s="40"/>
      <c r="C1917" s="40"/>
      <c r="D1917" s="31"/>
      <c r="E1917" s="31"/>
      <c r="F1917" s="31"/>
      <c r="G1917" s="19" t="e">
        <f t="shared" si="35"/>
        <v>#DIV/0!</v>
      </c>
      <c r="H1917" s="20" t="str">
        <f ca="1">IFERROR(__xludf.DUMMYFUNCTION("IF(COUNTIFS($C$2:C1917, C1917, $A$2:A1917, ""&lt;="" &amp; A1917) &lt; 30, AVERAGEIF($C$2:C1917, C1917, $G$2:G1917), AVERAGE(FILTER($G$2:G1917, $C$2:C1917 = C1917, $A$2:A1917 &gt;= A1917 - 30)))
"),"#DIV/0!")</f>
        <v>#DIV/0!</v>
      </c>
      <c r="I1917" s="20" t="e">
        <f t="shared" ca="1" si="36"/>
        <v>#DIV/0!</v>
      </c>
      <c r="J1917" s="20" t="str">
        <f ca="1">IFERROR(__xludf.DUMMYFUNCTION("IF(OR($I1917=2, $I1917=3), 0, IFERROR(COUNTIFS($C$2:C1917, $C1917, $A$2:A1917, ""&gt;""&amp;IFERROR(MAX(FILTER($A$2:A1917, $C$2:C1917=$C1917, $I$2:I1917&lt;&gt;1)), 0), $I$2:I1917, 1),1))
"),"#DIV/0!")</f>
        <v>#DIV/0!</v>
      </c>
      <c r="K1917" s="7" t="e">
        <f t="shared" ca="1" si="37"/>
        <v>#DIV/0!</v>
      </c>
      <c r="L1917" s="20" t="e">
        <f t="shared" ca="1" si="38"/>
        <v>#DIV/0!</v>
      </c>
      <c r="M1917" s="21" t="e">
        <f t="shared" ca="1" si="39"/>
        <v>#DIV/0!</v>
      </c>
      <c r="N1917" s="20" t="str">
        <f ca="1">IFERROR(__xludf.DUMMYFUNCTION("IF(COUNTIFS($C$2:C1917, C1917, $A$2:A1917, ""&lt;="" &amp; A1917) &lt; 30, STDEV.P(FILTER($G$2:G1917, $C$2:C1917 = C1917)), STDEV.P(FILTER($G$2:G1917, $C$2:C1917 = C1917, $A$2:A1917 &gt;= A1917 - 30)))
"),"#DIV/0!")</f>
        <v>#DIV/0!</v>
      </c>
    </row>
    <row r="1918" spans="1:14" x14ac:dyDescent="0.2">
      <c r="A1918" s="41"/>
      <c r="B1918" s="40"/>
      <c r="C1918" s="40"/>
      <c r="D1918" s="31"/>
      <c r="E1918" s="31"/>
      <c r="F1918" s="31"/>
      <c r="G1918" s="19" t="e">
        <f t="shared" si="35"/>
        <v>#DIV/0!</v>
      </c>
      <c r="H1918" s="20" t="str">
        <f ca="1">IFERROR(__xludf.DUMMYFUNCTION("IF(COUNTIFS($C$2:C1918, C1918, $A$2:A1918, ""&lt;="" &amp; A1918) &lt; 30, AVERAGEIF($C$2:C1918, C1918, $G$2:G1918), AVERAGE(FILTER($G$2:G1918, $C$2:C1918 = C1918, $A$2:A1918 &gt;= A1918 - 30)))
"),"#DIV/0!")</f>
        <v>#DIV/0!</v>
      </c>
      <c r="I1918" s="20" t="e">
        <f t="shared" ca="1" si="36"/>
        <v>#DIV/0!</v>
      </c>
      <c r="J1918" s="20" t="str">
        <f ca="1">IFERROR(__xludf.DUMMYFUNCTION("IF(OR($I1918=2, $I1918=3), 0, IFERROR(COUNTIFS($C$2:C1918, $C1918, $A$2:A1918, ""&gt;""&amp;IFERROR(MAX(FILTER($A$2:A1918, $C$2:C1918=$C1918, $I$2:I1918&lt;&gt;1)), 0), $I$2:I1918, 1),1))
"),"#DIV/0!")</f>
        <v>#DIV/0!</v>
      </c>
      <c r="K1918" s="7" t="e">
        <f t="shared" ca="1" si="37"/>
        <v>#DIV/0!</v>
      </c>
      <c r="L1918" s="20" t="e">
        <f t="shared" ca="1" si="38"/>
        <v>#DIV/0!</v>
      </c>
      <c r="M1918" s="21" t="e">
        <f t="shared" ca="1" si="39"/>
        <v>#DIV/0!</v>
      </c>
      <c r="N1918" s="20" t="str">
        <f ca="1">IFERROR(__xludf.DUMMYFUNCTION("IF(COUNTIFS($C$2:C1918, C1918, $A$2:A1918, ""&lt;="" &amp; A1918) &lt; 30, STDEV.P(FILTER($G$2:G1918, $C$2:C1918 = C1918)), STDEV.P(FILTER($G$2:G1918, $C$2:C1918 = C1918, $A$2:A1918 &gt;= A1918 - 30)))
"),"#DIV/0!")</f>
        <v>#DIV/0!</v>
      </c>
    </row>
    <row r="1919" spans="1:14" x14ac:dyDescent="0.2">
      <c r="A1919" s="41"/>
      <c r="B1919" s="40"/>
      <c r="C1919" s="40"/>
      <c r="D1919" s="31"/>
      <c r="E1919" s="31"/>
      <c r="F1919" s="31"/>
      <c r="G1919" s="19" t="e">
        <f t="shared" si="35"/>
        <v>#DIV/0!</v>
      </c>
      <c r="H1919" s="20" t="str">
        <f ca="1">IFERROR(__xludf.DUMMYFUNCTION("IF(COUNTIFS($C$2:C1919, C1919, $A$2:A1919, ""&lt;="" &amp; A1919) &lt; 30, AVERAGEIF($C$2:C1919, C1919, $G$2:G1919), AVERAGE(FILTER($G$2:G1919, $C$2:C1919 = C1919, $A$2:A1919 &gt;= A1919 - 30)))
"),"#DIV/0!")</f>
        <v>#DIV/0!</v>
      </c>
      <c r="I1919" s="20" t="e">
        <f t="shared" ca="1" si="36"/>
        <v>#DIV/0!</v>
      </c>
      <c r="J1919" s="20" t="str">
        <f ca="1">IFERROR(__xludf.DUMMYFUNCTION("IF(OR($I1919=2, $I1919=3), 0, IFERROR(COUNTIFS($C$2:C1919, $C1919, $A$2:A1919, ""&gt;""&amp;IFERROR(MAX(FILTER($A$2:A1919, $C$2:C1919=$C1919, $I$2:I1919&lt;&gt;1)), 0), $I$2:I1919, 1),1))
"),"#DIV/0!")</f>
        <v>#DIV/0!</v>
      </c>
      <c r="K1919" s="7" t="e">
        <f t="shared" ca="1" si="37"/>
        <v>#DIV/0!</v>
      </c>
      <c r="L1919" s="20" t="e">
        <f t="shared" ca="1" si="38"/>
        <v>#DIV/0!</v>
      </c>
      <c r="M1919" s="21" t="e">
        <f t="shared" ca="1" si="39"/>
        <v>#DIV/0!</v>
      </c>
      <c r="N1919" s="20" t="str">
        <f ca="1">IFERROR(__xludf.DUMMYFUNCTION("IF(COUNTIFS($C$2:C1919, C1919, $A$2:A1919, ""&lt;="" &amp; A1919) &lt; 30, STDEV.P(FILTER($G$2:G1919, $C$2:C1919 = C1919)), STDEV.P(FILTER($G$2:G1919, $C$2:C1919 = C1919, $A$2:A1919 &gt;= A1919 - 30)))
"),"#DIV/0!")</f>
        <v>#DIV/0!</v>
      </c>
    </row>
    <row r="1920" spans="1:14" x14ac:dyDescent="0.2">
      <c r="A1920" s="41"/>
      <c r="B1920" s="40"/>
      <c r="C1920" s="40"/>
      <c r="D1920" s="31"/>
      <c r="E1920" s="31"/>
      <c r="F1920" s="31"/>
      <c r="G1920" s="19" t="e">
        <f t="shared" si="35"/>
        <v>#DIV/0!</v>
      </c>
      <c r="H1920" s="20" t="str">
        <f ca="1">IFERROR(__xludf.DUMMYFUNCTION("IF(COUNTIFS($C$2:C1920, C1920, $A$2:A1920, ""&lt;="" &amp; A1920) &lt; 30, AVERAGEIF($C$2:C1920, C1920, $G$2:G1920), AVERAGE(FILTER($G$2:G1920, $C$2:C1920 = C1920, $A$2:A1920 &gt;= A1920 - 30)))
"),"#DIV/0!")</f>
        <v>#DIV/0!</v>
      </c>
      <c r="I1920" s="20" t="e">
        <f t="shared" ca="1" si="36"/>
        <v>#DIV/0!</v>
      </c>
      <c r="J1920" s="20" t="str">
        <f ca="1">IFERROR(__xludf.DUMMYFUNCTION("IF(OR($I1920=2, $I1920=3), 0, IFERROR(COUNTIFS($C$2:C1920, $C1920, $A$2:A1920, ""&gt;""&amp;IFERROR(MAX(FILTER($A$2:A1920, $C$2:C1920=$C1920, $I$2:I1920&lt;&gt;1)), 0), $I$2:I1920, 1),1))
"),"#DIV/0!")</f>
        <v>#DIV/0!</v>
      </c>
      <c r="K1920" s="7" t="e">
        <f t="shared" ca="1" si="37"/>
        <v>#DIV/0!</v>
      </c>
      <c r="L1920" s="20" t="e">
        <f t="shared" ca="1" si="38"/>
        <v>#DIV/0!</v>
      </c>
      <c r="M1920" s="21" t="e">
        <f t="shared" ca="1" si="39"/>
        <v>#DIV/0!</v>
      </c>
      <c r="N1920" s="20" t="str">
        <f ca="1">IFERROR(__xludf.DUMMYFUNCTION("IF(COUNTIFS($C$2:C1920, C1920, $A$2:A1920, ""&lt;="" &amp; A1920) &lt; 30, STDEV.P(FILTER($G$2:G1920, $C$2:C1920 = C1920)), STDEV.P(FILTER($G$2:G1920, $C$2:C1920 = C1920, $A$2:A1920 &gt;= A1920 - 30)))
"),"#DIV/0!")</f>
        <v>#DIV/0!</v>
      </c>
    </row>
    <row r="1921" spans="1:14" x14ac:dyDescent="0.2">
      <c r="A1921" s="41"/>
      <c r="B1921" s="40"/>
      <c r="C1921" s="40"/>
      <c r="D1921" s="31"/>
      <c r="E1921" s="31"/>
      <c r="F1921" s="31"/>
      <c r="G1921" s="19" t="e">
        <f t="shared" si="35"/>
        <v>#DIV/0!</v>
      </c>
      <c r="H1921" s="20" t="str">
        <f ca="1">IFERROR(__xludf.DUMMYFUNCTION("IF(COUNTIFS($C$2:C1921, C1921, $A$2:A1921, ""&lt;="" &amp; A1921) &lt; 30, AVERAGEIF($C$2:C1921, C1921, $G$2:G1921), AVERAGE(FILTER($G$2:G1921, $C$2:C1921 = C1921, $A$2:A1921 &gt;= A1921 - 30)))
"),"#DIV/0!")</f>
        <v>#DIV/0!</v>
      </c>
      <c r="I1921" s="20" t="e">
        <f t="shared" ca="1" si="36"/>
        <v>#DIV/0!</v>
      </c>
      <c r="J1921" s="20" t="str">
        <f ca="1">IFERROR(__xludf.DUMMYFUNCTION("IF(OR($I1921=2, $I1921=3), 0, IFERROR(COUNTIFS($C$2:C1921, $C1921, $A$2:A1921, ""&gt;""&amp;IFERROR(MAX(FILTER($A$2:A1921, $C$2:C1921=$C1921, $I$2:I1921&lt;&gt;1)), 0), $I$2:I1921, 1),1))
"),"#DIV/0!")</f>
        <v>#DIV/0!</v>
      </c>
      <c r="K1921" s="7" t="e">
        <f t="shared" ca="1" si="37"/>
        <v>#DIV/0!</v>
      </c>
      <c r="L1921" s="20" t="e">
        <f t="shared" ca="1" si="38"/>
        <v>#DIV/0!</v>
      </c>
      <c r="M1921" s="21" t="e">
        <f t="shared" ca="1" si="39"/>
        <v>#DIV/0!</v>
      </c>
      <c r="N1921" s="20" t="str">
        <f ca="1">IFERROR(__xludf.DUMMYFUNCTION("IF(COUNTIFS($C$2:C1921, C1921, $A$2:A1921, ""&lt;="" &amp; A1921) &lt; 30, STDEV.P(FILTER($G$2:G1921, $C$2:C1921 = C1921)), STDEV.P(FILTER($G$2:G1921, $C$2:C1921 = C1921, $A$2:A1921 &gt;= A1921 - 30)))
"),"#DIV/0!")</f>
        <v>#DIV/0!</v>
      </c>
    </row>
    <row r="1922" spans="1:14" x14ac:dyDescent="0.2">
      <c r="A1922" s="41"/>
      <c r="B1922" s="40"/>
      <c r="C1922" s="40"/>
      <c r="D1922" s="31"/>
      <c r="E1922" s="31"/>
      <c r="F1922" s="31"/>
      <c r="G1922" s="19" t="e">
        <f t="shared" si="35"/>
        <v>#DIV/0!</v>
      </c>
      <c r="H1922" s="20" t="str">
        <f ca="1">IFERROR(__xludf.DUMMYFUNCTION("IF(COUNTIFS($C$2:C1922, C1922, $A$2:A1922, ""&lt;="" &amp; A1922) &lt; 30, AVERAGEIF($C$2:C1922, C1922, $G$2:G1922), AVERAGE(FILTER($G$2:G1922, $C$2:C1922 = C1922, $A$2:A1922 &gt;= A1922 - 30)))
"),"#DIV/0!")</f>
        <v>#DIV/0!</v>
      </c>
      <c r="I1922" s="20" t="e">
        <f t="shared" ca="1" si="36"/>
        <v>#DIV/0!</v>
      </c>
      <c r="J1922" s="20" t="str">
        <f ca="1">IFERROR(__xludf.DUMMYFUNCTION("IF(OR($I1922=2, $I1922=3), 0, IFERROR(COUNTIFS($C$2:C1922, $C1922, $A$2:A1922, ""&gt;""&amp;IFERROR(MAX(FILTER($A$2:A1922, $C$2:C1922=$C1922, $I$2:I1922&lt;&gt;1)), 0), $I$2:I1922, 1),1))
"),"#DIV/0!")</f>
        <v>#DIV/0!</v>
      </c>
      <c r="K1922" s="7" t="e">
        <f t="shared" ca="1" si="37"/>
        <v>#DIV/0!</v>
      </c>
      <c r="L1922" s="20" t="e">
        <f t="shared" ca="1" si="38"/>
        <v>#DIV/0!</v>
      </c>
      <c r="M1922" s="21" t="e">
        <f t="shared" ca="1" si="39"/>
        <v>#DIV/0!</v>
      </c>
      <c r="N1922" s="20" t="str">
        <f ca="1">IFERROR(__xludf.DUMMYFUNCTION("IF(COUNTIFS($C$2:C1922, C1922, $A$2:A1922, ""&lt;="" &amp; A1922) &lt; 30, STDEV.P(FILTER($G$2:G1922, $C$2:C1922 = C1922)), STDEV.P(FILTER($G$2:G1922, $C$2:C1922 = C1922, $A$2:A1922 &gt;= A1922 - 30)))
"),"#DIV/0!")</f>
        <v>#DIV/0!</v>
      </c>
    </row>
    <row r="1923" spans="1:14" x14ac:dyDescent="0.2">
      <c r="A1923" s="41"/>
      <c r="B1923" s="40"/>
      <c r="C1923" s="40"/>
      <c r="D1923" s="31"/>
      <c r="E1923" s="31"/>
      <c r="F1923" s="31"/>
      <c r="G1923" s="19" t="e">
        <f t="shared" si="35"/>
        <v>#DIV/0!</v>
      </c>
      <c r="H1923" s="20" t="str">
        <f ca="1">IFERROR(__xludf.DUMMYFUNCTION("IF(COUNTIFS($C$2:C1923, C1923, $A$2:A1923, ""&lt;="" &amp; A1923) &lt; 30, AVERAGEIF($C$2:C1923, C1923, $G$2:G1923), AVERAGE(FILTER($G$2:G1923, $C$2:C1923 = C1923, $A$2:A1923 &gt;= A1923 - 30)))
"),"#DIV/0!")</f>
        <v>#DIV/0!</v>
      </c>
      <c r="I1923" s="20" t="e">
        <f t="shared" ca="1" si="36"/>
        <v>#DIV/0!</v>
      </c>
      <c r="J1923" s="20" t="str">
        <f ca="1">IFERROR(__xludf.DUMMYFUNCTION("IF(OR($I1923=2, $I1923=3), 0, IFERROR(COUNTIFS($C$2:C1923, $C1923, $A$2:A1923, ""&gt;""&amp;IFERROR(MAX(FILTER($A$2:A1923, $C$2:C1923=$C1923, $I$2:I1923&lt;&gt;1)), 0), $I$2:I1923, 1),1))
"),"#DIV/0!")</f>
        <v>#DIV/0!</v>
      </c>
      <c r="K1923" s="7" t="e">
        <f t="shared" ca="1" si="37"/>
        <v>#DIV/0!</v>
      </c>
      <c r="L1923" s="20" t="e">
        <f t="shared" ca="1" si="38"/>
        <v>#DIV/0!</v>
      </c>
      <c r="M1923" s="21" t="e">
        <f t="shared" ca="1" si="39"/>
        <v>#DIV/0!</v>
      </c>
      <c r="N1923" s="20" t="str">
        <f ca="1">IFERROR(__xludf.DUMMYFUNCTION("IF(COUNTIFS($C$2:C1923, C1923, $A$2:A1923, ""&lt;="" &amp; A1923) &lt; 30, STDEV.P(FILTER($G$2:G1923, $C$2:C1923 = C1923)), STDEV.P(FILTER($G$2:G1923, $C$2:C1923 = C1923, $A$2:A1923 &gt;= A1923 - 30)))
"),"#DIV/0!")</f>
        <v>#DIV/0!</v>
      </c>
    </row>
    <row r="1924" spans="1:14" x14ac:dyDescent="0.2">
      <c r="A1924" s="41"/>
      <c r="B1924" s="40"/>
      <c r="C1924" s="40"/>
      <c r="D1924" s="31"/>
      <c r="E1924" s="31"/>
      <c r="F1924" s="31"/>
      <c r="G1924" s="19" t="e">
        <f t="shared" si="35"/>
        <v>#DIV/0!</v>
      </c>
      <c r="H1924" s="20" t="str">
        <f ca="1">IFERROR(__xludf.DUMMYFUNCTION("IF(COUNTIFS($C$2:C1924, C1924, $A$2:A1924, ""&lt;="" &amp; A1924) &lt; 30, AVERAGEIF($C$2:C1924, C1924, $G$2:G1924), AVERAGE(FILTER($G$2:G1924, $C$2:C1924 = C1924, $A$2:A1924 &gt;= A1924 - 30)))
"),"#DIV/0!")</f>
        <v>#DIV/0!</v>
      </c>
      <c r="I1924" s="20" t="e">
        <f t="shared" ca="1" si="36"/>
        <v>#DIV/0!</v>
      </c>
      <c r="J1924" s="20" t="str">
        <f ca="1">IFERROR(__xludf.DUMMYFUNCTION("IF(OR($I1924=2, $I1924=3), 0, IFERROR(COUNTIFS($C$2:C1924, $C1924, $A$2:A1924, ""&gt;""&amp;IFERROR(MAX(FILTER($A$2:A1924, $C$2:C1924=$C1924, $I$2:I1924&lt;&gt;1)), 0), $I$2:I1924, 1),1))
"),"#DIV/0!")</f>
        <v>#DIV/0!</v>
      </c>
      <c r="K1924" s="7" t="e">
        <f t="shared" ca="1" si="37"/>
        <v>#DIV/0!</v>
      </c>
      <c r="L1924" s="20" t="e">
        <f t="shared" ca="1" si="38"/>
        <v>#DIV/0!</v>
      </c>
      <c r="M1924" s="21" t="e">
        <f t="shared" ca="1" si="39"/>
        <v>#DIV/0!</v>
      </c>
      <c r="N1924" s="20" t="str">
        <f ca="1">IFERROR(__xludf.DUMMYFUNCTION("IF(COUNTIFS($C$2:C1924, C1924, $A$2:A1924, ""&lt;="" &amp; A1924) &lt; 30, STDEV.P(FILTER($G$2:G1924, $C$2:C1924 = C1924)), STDEV.P(FILTER($G$2:G1924, $C$2:C1924 = C1924, $A$2:A1924 &gt;= A1924 - 30)))
"),"#DIV/0!")</f>
        <v>#DIV/0!</v>
      </c>
    </row>
    <row r="1925" spans="1:14" x14ac:dyDescent="0.2">
      <c r="A1925" s="41"/>
      <c r="B1925" s="40"/>
      <c r="C1925" s="40"/>
      <c r="D1925" s="31"/>
      <c r="E1925" s="31"/>
      <c r="F1925" s="31"/>
      <c r="G1925" s="19" t="e">
        <f t="shared" si="35"/>
        <v>#DIV/0!</v>
      </c>
      <c r="H1925" s="20" t="str">
        <f ca="1">IFERROR(__xludf.DUMMYFUNCTION("IF(COUNTIFS($C$2:C1925, C1925, $A$2:A1925, ""&lt;="" &amp; A1925) &lt; 30, AVERAGEIF($C$2:C1925, C1925, $G$2:G1925), AVERAGE(FILTER($G$2:G1925, $C$2:C1925 = C1925, $A$2:A1925 &gt;= A1925 - 30)))
"),"#DIV/0!")</f>
        <v>#DIV/0!</v>
      </c>
      <c r="I1925" s="20" t="e">
        <f t="shared" ca="1" si="36"/>
        <v>#DIV/0!</v>
      </c>
      <c r="J1925" s="20" t="str">
        <f ca="1">IFERROR(__xludf.DUMMYFUNCTION("IF(OR($I1925=2, $I1925=3), 0, IFERROR(COUNTIFS($C$2:C1925, $C1925, $A$2:A1925, ""&gt;""&amp;IFERROR(MAX(FILTER($A$2:A1925, $C$2:C1925=$C1925, $I$2:I1925&lt;&gt;1)), 0), $I$2:I1925, 1),1))
"),"#DIV/0!")</f>
        <v>#DIV/0!</v>
      </c>
      <c r="K1925" s="7" t="e">
        <f t="shared" ca="1" si="37"/>
        <v>#DIV/0!</v>
      </c>
      <c r="L1925" s="20" t="e">
        <f t="shared" ca="1" si="38"/>
        <v>#DIV/0!</v>
      </c>
      <c r="M1925" s="21" t="e">
        <f t="shared" ca="1" si="39"/>
        <v>#DIV/0!</v>
      </c>
      <c r="N1925" s="20" t="str">
        <f ca="1">IFERROR(__xludf.DUMMYFUNCTION("IF(COUNTIFS($C$2:C1925, C1925, $A$2:A1925, ""&lt;="" &amp; A1925) &lt; 30, STDEV.P(FILTER($G$2:G1925, $C$2:C1925 = C1925)), STDEV.P(FILTER($G$2:G1925, $C$2:C1925 = C1925, $A$2:A1925 &gt;= A1925 - 30)))
"),"#DIV/0!")</f>
        <v>#DIV/0!</v>
      </c>
    </row>
    <row r="1926" spans="1:14" x14ac:dyDescent="0.2">
      <c r="A1926" s="41"/>
      <c r="B1926" s="40"/>
      <c r="C1926" s="40"/>
      <c r="D1926" s="31"/>
      <c r="E1926" s="31"/>
      <c r="F1926" s="31"/>
      <c r="G1926" s="19" t="e">
        <f t="shared" si="35"/>
        <v>#DIV/0!</v>
      </c>
      <c r="H1926" s="20" t="str">
        <f ca="1">IFERROR(__xludf.DUMMYFUNCTION("IF(COUNTIFS($C$2:C1926, C1926, $A$2:A1926, ""&lt;="" &amp; A1926) &lt; 30, AVERAGEIF($C$2:C1926, C1926, $G$2:G1926), AVERAGE(FILTER($G$2:G1926, $C$2:C1926 = C1926, $A$2:A1926 &gt;= A1926 - 30)))
"),"#DIV/0!")</f>
        <v>#DIV/0!</v>
      </c>
      <c r="I1926" s="20" t="e">
        <f t="shared" ca="1" si="36"/>
        <v>#DIV/0!</v>
      </c>
      <c r="J1926" s="20" t="str">
        <f ca="1">IFERROR(__xludf.DUMMYFUNCTION("IF(OR($I1926=2, $I1926=3), 0, IFERROR(COUNTIFS($C$2:C1926, $C1926, $A$2:A1926, ""&gt;""&amp;IFERROR(MAX(FILTER($A$2:A1926, $C$2:C1926=$C1926, $I$2:I1926&lt;&gt;1)), 0), $I$2:I1926, 1),1))
"),"#DIV/0!")</f>
        <v>#DIV/0!</v>
      </c>
      <c r="K1926" s="7" t="e">
        <f t="shared" ca="1" si="37"/>
        <v>#DIV/0!</v>
      </c>
      <c r="L1926" s="20" t="e">
        <f t="shared" ca="1" si="38"/>
        <v>#DIV/0!</v>
      </c>
      <c r="M1926" s="21" t="e">
        <f t="shared" ca="1" si="39"/>
        <v>#DIV/0!</v>
      </c>
      <c r="N1926" s="20" t="str">
        <f ca="1">IFERROR(__xludf.DUMMYFUNCTION("IF(COUNTIFS($C$2:C1926, C1926, $A$2:A1926, ""&lt;="" &amp; A1926) &lt; 30, STDEV.P(FILTER($G$2:G1926, $C$2:C1926 = C1926)), STDEV.P(FILTER($G$2:G1926, $C$2:C1926 = C1926, $A$2:A1926 &gt;= A1926 - 30)))
"),"#DIV/0!")</f>
        <v>#DIV/0!</v>
      </c>
    </row>
    <row r="1927" spans="1:14" x14ac:dyDescent="0.2">
      <c r="A1927" s="41"/>
      <c r="B1927" s="40"/>
      <c r="C1927" s="40"/>
      <c r="D1927" s="31"/>
      <c r="E1927" s="31"/>
      <c r="F1927" s="31"/>
      <c r="G1927" s="19" t="e">
        <f t="shared" si="35"/>
        <v>#DIV/0!</v>
      </c>
      <c r="H1927" s="20" t="str">
        <f ca="1">IFERROR(__xludf.DUMMYFUNCTION("IF(COUNTIFS($C$2:C1927, C1927, $A$2:A1927, ""&lt;="" &amp; A1927) &lt; 30, AVERAGEIF($C$2:C1927, C1927, $G$2:G1927), AVERAGE(FILTER($G$2:G1927, $C$2:C1927 = C1927, $A$2:A1927 &gt;= A1927 - 30)))
"),"#DIV/0!")</f>
        <v>#DIV/0!</v>
      </c>
      <c r="I1927" s="20" t="e">
        <f t="shared" ca="1" si="36"/>
        <v>#DIV/0!</v>
      </c>
      <c r="J1927" s="20" t="str">
        <f ca="1">IFERROR(__xludf.DUMMYFUNCTION("IF(OR($I1927=2, $I1927=3), 0, IFERROR(COUNTIFS($C$2:C1927, $C1927, $A$2:A1927, ""&gt;""&amp;IFERROR(MAX(FILTER($A$2:A1927, $C$2:C1927=$C1927, $I$2:I1927&lt;&gt;1)), 0), $I$2:I1927, 1),1))
"),"#DIV/0!")</f>
        <v>#DIV/0!</v>
      </c>
      <c r="K1927" s="7" t="e">
        <f t="shared" ca="1" si="37"/>
        <v>#DIV/0!</v>
      </c>
      <c r="L1927" s="20" t="e">
        <f t="shared" ca="1" si="38"/>
        <v>#DIV/0!</v>
      </c>
      <c r="M1927" s="21" t="e">
        <f t="shared" ca="1" si="39"/>
        <v>#DIV/0!</v>
      </c>
      <c r="N1927" s="20" t="str">
        <f ca="1">IFERROR(__xludf.DUMMYFUNCTION("IF(COUNTIFS($C$2:C1927, C1927, $A$2:A1927, ""&lt;="" &amp; A1927) &lt; 30, STDEV.P(FILTER($G$2:G1927, $C$2:C1927 = C1927)), STDEV.P(FILTER($G$2:G1927, $C$2:C1927 = C1927, $A$2:A1927 &gt;= A1927 - 30)))
"),"#DIV/0!")</f>
        <v>#DIV/0!</v>
      </c>
    </row>
    <row r="1928" spans="1:14" x14ac:dyDescent="0.2">
      <c r="A1928" s="41"/>
      <c r="B1928" s="40"/>
      <c r="C1928" s="40"/>
      <c r="D1928" s="31"/>
      <c r="E1928" s="31"/>
      <c r="F1928" s="31"/>
      <c r="G1928" s="19" t="e">
        <f t="shared" si="35"/>
        <v>#DIV/0!</v>
      </c>
      <c r="H1928" s="20" t="str">
        <f ca="1">IFERROR(__xludf.DUMMYFUNCTION("IF(COUNTIFS($C$2:C1928, C1928, $A$2:A1928, ""&lt;="" &amp; A1928) &lt; 30, AVERAGEIF($C$2:C1928, C1928, $G$2:G1928), AVERAGE(FILTER($G$2:G1928, $C$2:C1928 = C1928, $A$2:A1928 &gt;= A1928 - 30)))
"),"#DIV/0!")</f>
        <v>#DIV/0!</v>
      </c>
      <c r="I1928" s="20" t="e">
        <f t="shared" ca="1" si="36"/>
        <v>#DIV/0!</v>
      </c>
      <c r="J1928" s="20" t="str">
        <f ca="1">IFERROR(__xludf.DUMMYFUNCTION("IF(OR($I1928=2, $I1928=3), 0, IFERROR(COUNTIFS($C$2:C1928, $C1928, $A$2:A1928, ""&gt;""&amp;IFERROR(MAX(FILTER($A$2:A1928, $C$2:C1928=$C1928, $I$2:I1928&lt;&gt;1)), 0), $I$2:I1928, 1),1))
"),"#DIV/0!")</f>
        <v>#DIV/0!</v>
      </c>
      <c r="K1928" s="7" t="e">
        <f t="shared" ca="1" si="37"/>
        <v>#DIV/0!</v>
      </c>
      <c r="L1928" s="20" t="e">
        <f t="shared" ca="1" si="38"/>
        <v>#DIV/0!</v>
      </c>
      <c r="M1928" s="21" t="e">
        <f t="shared" ca="1" si="39"/>
        <v>#DIV/0!</v>
      </c>
      <c r="N1928" s="20" t="str">
        <f ca="1">IFERROR(__xludf.DUMMYFUNCTION("IF(COUNTIFS($C$2:C1928, C1928, $A$2:A1928, ""&lt;="" &amp; A1928) &lt; 30, STDEV.P(FILTER($G$2:G1928, $C$2:C1928 = C1928)), STDEV.P(FILTER($G$2:G1928, $C$2:C1928 = C1928, $A$2:A1928 &gt;= A1928 - 30)))
"),"#DIV/0!")</f>
        <v>#DIV/0!</v>
      </c>
    </row>
    <row r="1929" spans="1:14" x14ac:dyDescent="0.2">
      <c r="A1929" s="41"/>
      <c r="B1929" s="32"/>
      <c r="C1929" s="32"/>
      <c r="D1929" s="33"/>
      <c r="E1929" s="33"/>
      <c r="F1929" s="33"/>
      <c r="G1929" s="19" t="e">
        <f t="shared" si="35"/>
        <v>#DIV/0!</v>
      </c>
      <c r="H1929" s="20" t="str">
        <f ca="1">IFERROR(__xludf.DUMMYFUNCTION("IF(COUNTIFS($C$2:C1929, C1929, $A$2:A1929, ""&lt;="" &amp; A1929) &lt; 30, AVERAGEIF($C$2:C1929, C1929, $G$2:G1929), AVERAGE(FILTER($G$2:G1929, $C$2:C1929 = C1929, $A$2:A1929 &gt;= A1929 - 30)))
"),"#DIV/0!")</f>
        <v>#DIV/0!</v>
      </c>
      <c r="I1929" s="20" t="e">
        <f t="shared" ca="1" si="36"/>
        <v>#DIV/0!</v>
      </c>
      <c r="J1929" s="20" t="str">
        <f ca="1">IFERROR(__xludf.DUMMYFUNCTION("IF(OR($I1929=2, $I1929=3), 0, IFERROR(COUNTIFS($C$2:C1929, $C1929, $A$2:A1929, ""&gt;""&amp;IFERROR(MAX(FILTER($A$2:A1929, $C$2:C1929=$C1929, $I$2:I1929&lt;&gt;1)), 0), $I$2:I1929, 1),1))
"),"#DIV/0!")</f>
        <v>#DIV/0!</v>
      </c>
      <c r="K1929" s="7" t="e">
        <f t="shared" ca="1" si="37"/>
        <v>#DIV/0!</v>
      </c>
      <c r="L1929" s="20" t="e">
        <f t="shared" ca="1" si="38"/>
        <v>#DIV/0!</v>
      </c>
      <c r="M1929" s="21" t="e">
        <f t="shared" ca="1" si="39"/>
        <v>#DIV/0!</v>
      </c>
      <c r="N1929" s="20" t="str">
        <f ca="1">IFERROR(__xludf.DUMMYFUNCTION("IF(COUNTIFS($C$2:C1929, C1929, $A$2:A1929, ""&lt;="" &amp; A1929) &lt; 30, STDEV.P(FILTER($G$2:G1929, $C$2:C1929 = C1929)), STDEV.P(FILTER($G$2:G1929, $C$2:C1929 = C1929, $A$2:A1929 &gt;= A1929 - 30)))
"),"#DIV/0!")</f>
        <v>#DIV/0!</v>
      </c>
    </row>
    <row r="1930" spans="1:14" x14ac:dyDescent="0.2">
      <c r="A1930" s="41"/>
      <c r="B1930" s="32"/>
      <c r="C1930" s="32"/>
      <c r="D1930" s="33"/>
      <c r="E1930" s="33"/>
      <c r="F1930" s="33"/>
      <c r="G1930" s="19" t="e">
        <f t="shared" si="35"/>
        <v>#DIV/0!</v>
      </c>
      <c r="H1930" s="20" t="str">
        <f ca="1">IFERROR(__xludf.DUMMYFUNCTION("IF(COUNTIFS($C$2:C1930, C1930, $A$2:A1930, ""&lt;="" &amp; A1930) &lt; 30, AVERAGEIF($C$2:C1930, C1930, $G$2:G1930), AVERAGE(FILTER($G$2:G1930, $C$2:C1930 = C1930, $A$2:A1930 &gt;= A1930 - 30)))
"),"#DIV/0!")</f>
        <v>#DIV/0!</v>
      </c>
      <c r="I1930" s="20" t="e">
        <f t="shared" ca="1" si="36"/>
        <v>#DIV/0!</v>
      </c>
      <c r="J1930" s="20" t="str">
        <f ca="1">IFERROR(__xludf.DUMMYFUNCTION("IF(OR($I1930=2, $I1930=3), 0, IFERROR(COUNTIFS($C$2:C1930, $C1930, $A$2:A1930, ""&gt;""&amp;IFERROR(MAX(FILTER($A$2:A1930, $C$2:C1930=$C1930, $I$2:I1930&lt;&gt;1)), 0), $I$2:I1930, 1),1))
"),"#DIV/0!")</f>
        <v>#DIV/0!</v>
      </c>
      <c r="K1930" s="7" t="e">
        <f t="shared" ca="1" si="37"/>
        <v>#DIV/0!</v>
      </c>
      <c r="L1930" s="20" t="e">
        <f t="shared" ca="1" si="38"/>
        <v>#DIV/0!</v>
      </c>
      <c r="M1930" s="21" t="e">
        <f t="shared" ca="1" si="39"/>
        <v>#DIV/0!</v>
      </c>
      <c r="N1930" s="20" t="str">
        <f ca="1">IFERROR(__xludf.DUMMYFUNCTION("IF(COUNTIFS($C$2:C1930, C1930, $A$2:A1930, ""&lt;="" &amp; A1930) &lt; 30, STDEV.P(FILTER($G$2:G1930, $C$2:C1930 = C1930)), STDEV.P(FILTER($G$2:G1930, $C$2:C1930 = C1930, $A$2:A1930 &gt;= A1930 - 30)))
"),"#DIV/0!")</f>
        <v>#DIV/0!</v>
      </c>
    </row>
    <row r="1931" spans="1:14" x14ac:dyDescent="0.2">
      <c r="A1931" s="41"/>
      <c r="B1931" s="32"/>
      <c r="C1931" s="32"/>
      <c r="D1931" s="33"/>
      <c r="E1931" s="33"/>
      <c r="F1931" s="33"/>
      <c r="G1931" s="19" t="e">
        <f t="shared" si="35"/>
        <v>#DIV/0!</v>
      </c>
      <c r="H1931" s="20" t="str">
        <f ca="1">IFERROR(__xludf.DUMMYFUNCTION("IF(COUNTIFS($C$2:C1931, C1931, $A$2:A1931, ""&lt;="" &amp; A1931) &lt; 30, AVERAGEIF($C$2:C1931, C1931, $G$2:G1931), AVERAGE(FILTER($G$2:G1931, $C$2:C1931 = C1931, $A$2:A1931 &gt;= A1931 - 30)))
"),"#DIV/0!")</f>
        <v>#DIV/0!</v>
      </c>
      <c r="I1931" s="20" t="e">
        <f t="shared" ca="1" si="36"/>
        <v>#DIV/0!</v>
      </c>
      <c r="J1931" s="20" t="str">
        <f ca="1">IFERROR(__xludf.DUMMYFUNCTION("IF(OR($I1931=2, $I1931=3), 0, IFERROR(COUNTIFS($C$2:C1931, $C1931, $A$2:A1931, ""&gt;""&amp;IFERROR(MAX(FILTER($A$2:A1931, $C$2:C1931=$C1931, $I$2:I1931&lt;&gt;1)), 0), $I$2:I1931, 1),1))
"),"#DIV/0!")</f>
        <v>#DIV/0!</v>
      </c>
      <c r="K1931" s="7" t="e">
        <f t="shared" ca="1" si="37"/>
        <v>#DIV/0!</v>
      </c>
      <c r="L1931" s="20" t="e">
        <f t="shared" ca="1" si="38"/>
        <v>#DIV/0!</v>
      </c>
      <c r="M1931" s="21" t="e">
        <f t="shared" ca="1" si="39"/>
        <v>#DIV/0!</v>
      </c>
      <c r="N1931" s="20" t="str">
        <f ca="1">IFERROR(__xludf.DUMMYFUNCTION("IF(COUNTIFS($C$2:C1931, C1931, $A$2:A1931, ""&lt;="" &amp; A1931) &lt; 30, STDEV.P(FILTER($G$2:G1931, $C$2:C1931 = C1931)), STDEV.P(FILTER($G$2:G1931, $C$2:C1931 = C1931, $A$2:A1931 &gt;= A1931 - 30)))
"),"#DIV/0!")</f>
        <v>#DIV/0!</v>
      </c>
    </row>
    <row r="1932" spans="1:14" x14ac:dyDescent="0.2">
      <c r="A1932" s="41"/>
      <c r="B1932" s="32"/>
      <c r="C1932" s="32"/>
      <c r="D1932" s="33"/>
      <c r="E1932" s="33"/>
      <c r="F1932" s="33"/>
      <c r="G1932" s="19" t="e">
        <f t="shared" si="35"/>
        <v>#DIV/0!</v>
      </c>
      <c r="H1932" s="20" t="str">
        <f ca="1">IFERROR(__xludf.DUMMYFUNCTION("IF(COUNTIFS($C$2:C1932, C1932, $A$2:A1932, ""&lt;="" &amp; A1932) &lt; 30, AVERAGEIF($C$2:C1932, C1932, $G$2:G1932), AVERAGE(FILTER($G$2:G1932, $C$2:C1932 = C1932, $A$2:A1932 &gt;= A1932 - 30)))
"),"#DIV/0!")</f>
        <v>#DIV/0!</v>
      </c>
      <c r="I1932" s="20" t="e">
        <f t="shared" ca="1" si="36"/>
        <v>#DIV/0!</v>
      </c>
      <c r="J1932" s="20" t="str">
        <f ca="1">IFERROR(__xludf.DUMMYFUNCTION("IF(OR($I1932=2, $I1932=3), 0, IFERROR(COUNTIFS($C$2:C1932, $C1932, $A$2:A1932, ""&gt;""&amp;IFERROR(MAX(FILTER($A$2:A1932, $C$2:C1932=$C1932, $I$2:I1932&lt;&gt;1)), 0), $I$2:I1932, 1),1))
"),"#DIV/0!")</f>
        <v>#DIV/0!</v>
      </c>
      <c r="K1932" s="7" t="e">
        <f t="shared" ca="1" si="37"/>
        <v>#DIV/0!</v>
      </c>
      <c r="L1932" s="20" t="e">
        <f t="shared" ca="1" si="38"/>
        <v>#DIV/0!</v>
      </c>
      <c r="M1932" s="21" t="e">
        <f t="shared" ca="1" si="39"/>
        <v>#DIV/0!</v>
      </c>
      <c r="N1932" s="20" t="str">
        <f ca="1">IFERROR(__xludf.DUMMYFUNCTION("IF(COUNTIFS($C$2:C1932, C1932, $A$2:A1932, ""&lt;="" &amp; A1932) &lt; 30, STDEV.P(FILTER($G$2:G1932, $C$2:C1932 = C1932)), STDEV.P(FILTER($G$2:G1932, $C$2:C1932 = C1932, $A$2:A1932 &gt;= A1932 - 30)))
"),"#DIV/0!")</f>
        <v>#DIV/0!</v>
      </c>
    </row>
    <row r="1933" spans="1:14" x14ac:dyDescent="0.2">
      <c r="A1933" s="41"/>
      <c r="B1933" s="32"/>
      <c r="C1933" s="32"/>
      <c r="D1933" s="33"/>
      <c r="E1933" s="33"/>
      <c r="F1933" s="33"/>
      <c r="G1933" s="19" t="e">
        <f t="shared" si="35"/>
        <v>#DIV/0!</v>
      </c>
      <c r="H1933" s="20" t="str">
        <f ca="1">IFERROR(__xludf.DUMMYFUNCTION("IF(COUNTIFS($C$2:C1933, C1933, $A$2:A1933, ""&lt;="" &amp; A1933) &lt; 30, AVERAGEIF($C$2:C1933, C1933, $G$2:G1933), AVERAGE(FILTER($G$2:G1933, $C$2:C1933 = C1933, $A$2:A1933 &gt;= A1933 - 30)))
"),"#DIV/0!")</f>
        <v>#DIV/0!</v>
      </c>
      <c r="I1933" s="20" t="e">
        <f t="shared" ca="1" si="36"/>
        <v>#DIV/0!</v>
      </c>
      <c r="J1933" s="20" t="str">
        <f ca="1">IFERROR(__xludf.DUMMYFUNCTION("IF(OR($I1933=2, $I1933=3), 0, IFERROR(COUNTIFS($C$2:C1933, $C1933, $A$2:A1933, ""&gt;""&amp;IFERROR(MAX(FILTER($A$2:A1933, $C$2:C1933=$C1933, $I$2:I1933&lt;&gt;1)), 0), $I$2:I1933, 1),1))
"),"#DIV/0!")</f>
        <v>#DIV/0!</v>
      </c>
      <c r="K1933" s="7" t="e">
        <f t="shared" ca="1" si="37"/>
        <v>#DIV/0!</v>
      </c>
      <c r="L1933" s="20" t="e">
        <f t="shared" ca="1" si="38"/>
        <v>#DIV/0!</v>
      </c>
      <c r="M1933" s="21" t="e">
        <f t="shared" ca="1" si="39"/>
        <v>#DIV/0!</v>
      </c>
      <c r="N1933" s="20" t="str">
        <f ca="1">IFERROR(__xludf.DUMMYFUNCTION("IF(COUNTIFS($C$2:C1933, C1933, $A$2:A1933, ""&lt;="" &amp; A1933) &lt; 30, STDEV.P(FILTER($G$2:G1933, $C$2:C1933 = C1933)), STDEV.P(FILTER($G$2:G1933, $C$2:C1933 = C1933, $A$2:A1933 &gt;= A1933 - 30)))
"),"#DIV/0!")</f>
        <v>#DIV/0!</v>
      </c>
    </row>
    <row r="1934" spans="1:14" x14ac:dyDescent="0.2">
      <c r="A1934" s="41"/>
      <c r="B1934" s="32"/>
      <c r="C1934" s="32"/>
      <c r="D1934" s="33"/>
      <c r="E1934" s="33"/>
      <c r="F1934" s="33"/>
      <c r="G1934" s="19" t="e">
        <f t="shared" si="35"/>
        <v>#DIV/0!</v>
      </c>
      <c r="H1934" s="20" t="str">
        <f ca="1">IFERROR(__xludf.DUMMYFUNCTION("IF(COUNTIFS($C$2:C1934, C1934, $A$2:A1934, ""&lt;="" &amp; A1934) &lt; 30, AVERAGEIF($C$2:C1934, C1934, $G$2:G1934), AVERAGE(FILTER($G$2:G1934, $C$2:C1934 = C1934, $A$2:A1934 &gt;= A1934 - 30)))
"),"#DIV/0!")</f>
        <v>#DIV/0!</v>
      </c>
      <c r="I1934" s="20" t="e">
        <f t="shared" ca="1" si="36"/>
        <v>#DIV/0!</v>
      </c>
      <c r="J1934" s="20" t="str">
        <f ca="1">IFERROR(__xludf.DUMMYFUNCTION("IF(OR($I1934=2, $I1934=3), 0, IFERROR(COUNTIFS($C$2:C1934, $C1934, $A$2:A1934, ""&gt;""&amp;IFERROR(MAX(FILTER($A$2:A1934, $C$2:C1934=$C1934, $I$2:I1934&lt;&gt;1)), 0), $I$2:I1934, 1),1))
"),"#DIV/0!")</f>
        <v>#DIV/0!</v>
      </c>
      <c r="K1934" s="7" t="e">
        <f t="shared" ca="1" si="37"/>
        <v>#DIV/0!</v>
      </c>
      <c r="L1934" s="20" t="e">
        <f t="shared" ca="1" si="38"/>
        <v>#DIV/0!</v>
      </c>
      <c r="M1934" s="21" t="e">
        <f t="shared" ca="1" si="39"/>
        <v>#DIV/0!</v>
      </c>
      <c r="N1934" s="20" t="str">
        <f ca="1">IFERROR(__xludf.DUMMYFUNCTION("IF(COUNTIFS($C$2:C1934, C1934, $A$2:A1934, ""&lt;="" &amp; A1934) &lt; 30, STDEV.P(FILTER($G$2:G1934, $C$2:C1934 = C1934)), STDEV.P(FILTER($G$2:G1934, $C$2:C1934 = C1934, $A$2:A1934 &gt;= A1934 - 30)))
"),"#DIV/0!")</f>
        <v>#DIV/0!</v>
      </c>
    </row>
    <row r="1935" spans="1:14" x14ac:dyDescent="0.2">
      <c r="A1935" s="41"/>
      <c r="B1935" s="32"/>
      <c r="C1935" s="32"/>
      <c r="D1935" s="33"/>
      <c r="E1935" s="33"/>
      <c r="F1935" s="33"/>
      <c r="G1935" s="19" t="e">
        <f t="shared" si="35"/>
        <v>#DIV/0!</v>
      </c>
      <c r="H1935" s="20" t="str">
        <f ca="1">IFERROR(__xludf.DUMMYFUNCTION("IF(COUNTIFS($C$2:C1935, C1935, $A$2:A1935, ""&lt;="" &amp; A1935) &lt; 30, AVERAGEIF($C$2:C1935, C1935, $G$2:G1935), AVERAGE(FILTER($G$2:G1935, $C$2:C1935 = C1935, $A$2:A1935 &gt;= A1935 - 30)))
"),"#DIV/0!")</f>
        <v>#DIV/0!</v>
      </c>
      <c r="I1935" s="20" t="e">
        <f t="shared" ca="1" si="36"/>
        <v>#DIV/0!</v>
      </c>
      <c r="J1935" s="20" t="str">
        <f ca="1">IFERROR(__xludf.DUMMYFUNCTION("IF(OR($I1935=2, $I1935=3), 0, IFERROR(COUNTIFS($C$2:C1935, $C1935, $A$2:A1935, ""&gt;""&amp;IFERROR(MAX(FILTER($A$2:A1935, $C$2:C1935=$C1935, $I$2:I1935&lt;&gt;1)), 0), $I$2:I1935, 1),1))
"),"#DIV/0!")</f>
        <v>#DIV/0!</v>
      </c>
      <c r="K1935" s="7" t="e">
        <f t="shared" ca="1" si="37"/>
        <v>#DIV/0!</v>
      </c>
      <c r="L1935" s="20" t="e">
        <f t="shared" ca="1" si="38"/>
        <v>#DIV/0!</v>
      </c>
      <c r="M1935" s="21" t="e">
        <f t="shared" ca="1" si="39"/>
        <v>#DIV/0!</v>
      </c>
      <c r="N1935" s="20" t="str">
        <f ca="1">IFERROR(__xludf.DUMMYFUNCTION("IF(COUNTIFS($C$2:C1935, C1935, $A$2:A1935, ""&lt;="" &amp; A1935) &lt; 30, STDEV.P(FILTER($G$2:G1935, $C$2:C1935 = C1935)), STDEV.P(FILTER($G$2:G1935, $C$2:C1935 = C1935, $A$2:A1935 &gt;= A1935 - 30)))
"),"#DIV/0!")</f>
        <v>#DIV/0!</v>
      </c>
    </row>
    <row r="1936" spans="1:14" x14ac:dyDescent="0.2">
      <c r="A1936" s="41"/>
      <c r="B1936" s="32"/>
      <c r="C1936" s="32"/>
      <c r="D1936" s="33"/>
      <c r="E1936" s="33"/>
      <c r="F1936" s="33"/>
      <c r="G1936" s="19" t="e">
        <f t="shared" si="35"/>
        <v>#DIV/0!</v>
      </c>
      <c r="H1936" s="20" t="str">
        <f ca="1">IFERROR(__xludf.DUMMYFUNCTION("IF(COUNTIFS($C$2:C1936, C1936, $A$2:A1936, ""&lt;="" &amp; A1936) &lt; 30, AVERAGEIF($C$2:C1936, C1936, $G$2:G1936), AVERAGE(FILTER($G$2:G1936, $C$2:C1936 = C1936, $A$2:A1936 &gt;= A1936 - 30)))
"),"#DIV/0!")</f>
        <v>#DIV/0!</v>
      </c>
      <c r="I1936" s="20" t="e">
        <f t="shared" ca="1" si="36"/>
        <v>#DIV/0!</v>
      </c>
      <c r="J1936" s="20" t="str">
        <f ca="1">IFERROR(__xludf.DUMMYFUNCTION("IF(OR($I1936=2, $I1936=3), 0, IFERROR(COUNTIFS($C$2:C1936, $C1936, $A$2:A1936, ""&gt;""&amp;IFERROR(MAX(FILTER($A$2:A1936, $C$2:C1936=$C1936, $I$2:I1936&lt;&gt;1)), 0), $I$2:I1936, 1),1))
"),"#DIV/0!")</f>
        <v>#DIV/0!</v>
      </c>
      <c r="K1936" s="7" t="e">
        <f t="shared" ca="1" si="37"/>
        <v>#DIV/0!</v>
      </c>
      <c r="L1936" s="20" t="e">
        <f t="shared" ca="1" si="38"/>
        <v>#DIV/0!</v>
      </c>
      <c r="M1936" s="21" t="e">
        <f t="shared" ca="1" si="39"/>
        <v>#DIV/0!</v>
      </c>
      <c r="N1936" s="20" t="str">
        <f ca="1">IFERROR(__xludf.DUMMYFUNCTION("IF(COUNTIFS($C$2:C1936, C1936, $A$2:A1936, ""&lt;="" &amp; A1936) &lt; 30, STDEV.P(FILTER($G$2:G1936, $C$2:C1936 = C1936)), STDEV.P(FILTER($G$2:G1936, $C$2:C1936 = C1936, $A$2:A1936 &gt;= A1936 - 30)))
"),"#DIV/0!")</f>
        <v>#DIV/0!</v>
      </c>
    </row>
    <row r="1937" spans="1:14" x14ac:dyDescent="0.2">
      <c r="A1937" s="41"/>
      <c r="B1937" s="32"/>
      <c r="C1937" s="32"/>
      <c r="D1937" s="33"/>
      <c r="E1937" s="33"/>
      <c r="F1937" s="33"/>
      <c r="G1937" s="19" t="e">
        <f t="shared" si="35"/>
        <v>#DIV/0!</v>
      </c>
      <c r="H1937" s="20" t="str">
        <f ca="1">IFERROR(__xludf.DUMMYFUNCTION("IF(COUNTIFS($C$2:C1937, C1937, $A$2:A1937, ""&lt;="" &amp; A1937) &lt; 30, AVERAGEIF($C$2:C1937, C1937, $G$2:G1937), AVERAGE(FILTER($G$2:G1937, $C$2:C1937 = C1937, $A$2:A1937 &gt;= A1937 - 30)))
"),"#DIV/0!")</f>
        <v>#DIV/0!</v>
      </c>
      <c r="I1937" s="20" t="e">
        <f t="shared" ca="1" si="36"/>
        <v>#DIV/0!</v>
      </c>
      <c r="J1937" s="20" t="str">
        <f ca="1">IFERROR(__xludf.DUMMYFUNCTION("IF(OR($I1937=2, $I1937=3), 0, IFERROR(COUNTIFS($C$2:C1937, $C1937, $A$2:A1937, ""&gt;""&amp;IFERROR(MAX(FILTER($A$2:A1937, $C$2:C1937=$C1937, $I$2:I1937&lt;&gt;1)), 0), $I$2:I1937, 1),1))
"),"#DIV/0!")</f>
        <v>#DIV/0!</v>
      </c>
      <c r="K1937" s="7" t="e">
        <f t="shared" ca="1" si="37"/>
        <v>#DIV/0!</v>
      </c>
      <c r="L1937" s="20" t="e">
        <f t="shared" ca="1" si="38"/>
        <v>#DIV/0!</v>
      </c>
      <c r="M1937" s="21" t="e">
        <f t="shared" ca="1" si="39"/>
        <v>#DIV/0!</v>
      </c>
      <c r="N1937" s="20" t="str">
        <f ca="1">IFERROR(__xludf.DUMMYFUNCTION("IF(COUNTIFS($C$2:C1937, C1937, $A$2:A1937, ""&lt;="" &amp; A1937) &lt; 30, STDEV.P(FILTER($G$2:G1937, $C$2:C1937 = C1937)), STDEV.P(FILTER($G$2:G1937, $C$2:C1937 = C1937, $A$2:A1937 &gt;= A1937 - 30)))
"),"#DIV/0!")</f>
        <v>#DIV/0!</v>
      </c>
    </row>
    <row r="1938" spans="1:14" x14ac:dyDescent="0.2">
      <c r="A1938" s="41"/>
      <c r="B1938" s="32"/>
      <c r="C1938" s="32"/>
      <c r="D1938" s="33"/>
      <c r="E1938" s="33"/>
      <c r="F1938" s="33"/>
      <c r="G1938" s="19" t="e">
        <f t="shared" si="35"/>
        <v>#DIV/0!</v>
      </c>
      <c r="H1938" s="20" t="str">
        <f ca="1">IFERROR(__xludf.DUMMYFUNCTION("IF(COUNTIFS($C$2:C1938, C1938, $A$2:A1938, ""&lt;="" &amp; A1938) &lt; 30, AVERAGEIF($C$2:C1938, C1938, $G$2:G1938), AVERAGE(FILTER($G$2:G1938, $C$2:C1938 = C1938, $A$2:A1938 &gt;= A1938 - 30)))
"),"#DIV/0!")</f>
        <v>#DIV/0!</v>
      </c>
      <c r="I1938" s="20" t="e">
        <f t="shared" ca="1" si="36"/>
        <v>#DIV/0!</v>
      </c>
      <c r="J1938" s="20" t="str">
        <f ca="1">IFERROR(__xludf.DUMMYFUNCTION("IF(OR($I1938=2, $I1938=3), 0, IFERROR(COUNTIFS($C$2:C1938, $C1938, $A$2:A1938, ""&gt;""&amp;IFERROR(MAX(FILTER($A$2:A1938, $C$2:C1938=$C1938, $I$2:I1938&lt;&gt;1)), 0), $I$2:I1938, 1),1))
"),"#DIV/0!")</f>
        <v>#DIV/0!</v>
      </c>
      <c r="K1938" s="7" t="e">
        <f t="shared" ca="1" si="37"/>
        <v>#DIV/0!</v>
      </c>
      <c r="L1938" s="20" t="e">
        <f t="shared" ca="1" si="38"/>
        <v>#DIV/0!</v>
      </c>
      <c r="M1938" s="21" t="e">
        <f t="shared" ca="1" si="39"/>
        <v>#DIV/0!</v>
      </c>
      <c r="N1938" s="20" t="str">
        <f ca="1">IFERROR(__xludf.DUMMYFUNCTION("IF(COUNTIFS($C$2:C1938, C1938, $A$2:A1938, ""&lt;="" &amp; A1938) &lt; 30, STDEV.P(FILTER($G$2:G1938, $C$2:C1938 = C1938)), STDEV.P(FILTER($G$2:G1938, $C$2:C1938 = C1938, $A$2:A1938 &gt;= A1938 - 30)))
"),"#DIV/0!")</f>
        <v>#DIV/0!</v>
      </c>
    </row>
    <row r="1939" spans="1:14" x14ac:dyDescent="0.2">
      <c r="A1939" s="41"/>
      <c r="B1939" s="32"/>
      <c r="C1939" s="32"/>
      <c r="D1939" s="33"/>
      <c r="E1939" s="33"/>
      <c r="F1939" s="33"/>
      <c r="G1939" s="19" t="e">
        <f t="shared" si="35"/>
        <v>#DIV/0!</v>
      </c>
      <c r="H1939" s="20" t="str">
        <f ca="1">IFERROR(__xludf.DUMMYFUNCTION("IF(COUNTIFS($C$2:C1939, C1939, $A$2:A1939, ""&lt;="" &amp; A1939) &lt; 30, AVERAGEIF($C$2:C1939, C1939, $G$2:G1939), AVERAGE(FILTER($G$2:G1939, $C$2:C1939 = C1939, $A$2:A1939 &gt;= A1939 - 30)))
"),"#DIV/0!")</f>
        <v>#DIV/0!</v>
      </c>
      <c r="I1939" s="20" t="e">
        <f t="shared" ca="1" si="36"/>
        <v>#DIV/0!</v>
      </c>
      <c r="J1939" s="20" t="str">
        <f ca="1">IFERROR(__xludf.DUMMYFUNCTION("IF(OR($I1939=2, $I1939=3), 0, IFERROR(COUNTIFS($C$2:C1939, $C1939, $A$2:A1939, ""&gt;""&amp;IFERROR(MAX(FILTER($A$2:A1939, $C$2:C1939=$C1939, $I$2:I1939&lt;&gt;1)), 0), $I$2:I1939, 1),1))
"),"#DIV/0!")</f>
        <v>#DIV/0!</v>
      </c>
      <c r="K1939" s="7" t="e">
        <f t="shared" ca="1" si="37"/>
        <v>#DIV/0!</v>
      </c>
      <c r="L1939" s="20" t="e">
        <f t="shared" ca="1" si="38"/>
        <v>#DIV/0!</v>
      </c>
      <c r="M1939" s="21" t="e">
        <f t="shared" ca="1" si="39"/>
        <v>#DIV/0!</v>
      </c>
      <c r="N1939" s="20" t="str">
        <f ca="1">IFERROR(__xludf.DUMMYFUNCTION("IF(COUNTIFS($C$2:C1939, C1939, $A$2:A1939, ""&lt;="" &amp; A1939) &lt; 30, STDEV.P(FILTER($G$2:G1939, $C$2:C1939 = C1939)), STDEV.P(FILTER($G$2:G1939, $C$2:C1939 = C1939, $A$2:A1939 &gt;= A1939 - 30)))
"),"#DIV/0!")</f>
        <v>#DIV/0!</v>
      </c>
    </row>
    <row r="1940" spans="1:14" x14ac:dyDescent="0.2">
      <c r="A1940" s="41"/>
      <c r="B1940" s="32"/>
      <c r="C1940" s="32"/>
      <c r="D1940" s="33"/>
      <c r="E1940" s="33"/>
      <c r="F1940" s="33"/>
      <c r="G1940" s="19" t="e">
        <f t="shared" si="35"/>
        <v>#DIV/0!</v>
      </c>
      <c r="H1940" s="20" t="str">
        <f ca="1">IFERROR(__xludf.DUMMYFUNCTION("IF(COUNTIFS($C$2:C1940, C1940, $A$2:A1940, ""&lt;="" &amp; A1940) &lt; 30, AVERAGEIF($C$2:C1940, C1940, $G$2:G1940), AVERAGE(FILTER($G$2:G1940, $C$2:C1940 = C1940, $A$2:A1940 &gt;= A1940 - 30)))
"),"#DIV/0!")</f>
        <v>#DIV/0!</v>
      </c>
      <c r="I1940" s="20" t="e">
        <f t="shared" ca="1" si="36"/>
        <v>#DIV/0!</v>
      </c>
      <c r="J1940" s="20" t="str">
        <f ca="1">IFERROR(__xludf.DUMMYFUNCTION("IF(OR($I1940=2, $I1940=3), 0, IFERROR(COUNTIFS($C$2:C1940, $C1940, $A$2:A1940, ""&gt;""&amp;IFERROR(MAX(FILTER($A$2:A1940, $C$2:C1940=$C1940, $I$2:I1940&lt;&gt;1)), 0), $I$2:I1940, 1),1))
"),"#DIV/0!")</f>
        <v>#DIV/0!</v>
      </c>
      <c r="K1940" s="7" t="e">
        <f t="shared" ca="1" si="37"/>
        <v>#DIV/0!</v>
      </c>
      <c r="L1940" s="20" t="e">
        <f t="shared" ca="1" si="38"/>
        <v>#DIV/0!</v>
      </c>
      <c r="M1940" s="21" t="e">
        <f t="shared" ca="1" si="39"/>
        <v>#DIV/0!</v>
      </c>
      <c r="N1940" s="20" t="str">
        <f ca="1">IFERROR(__xludf.DUMMYFUNCTION("IF(COUNTIFS($C$2:C1940, C1940, $A$2:A1940, ""&lt;="" &amp; A1940) &lt; 30, STDEV.P(FILTER($G$2:G1940, $C$2:C1940 = C1940)), STDEV.P(FILTER($G$2:G1940, $C$2:C1940 = C1940, $A$2:A1940 &gt;= A1940 - 30)))
"),"#DIV/0!")</f>
        <v>#DIV/0!</v>
      </c>
    </row>
    <row r="1941" spans="1:14" x14ac:dyDescent="0.2">
      <c r="A1941" s="41"/>
      <c r="B1941" s="32"/>
      <c r="C1941" s="32"/>
      <c r="D1941" s="33"/>
      <c r="E1941" s="33"/>
      <c r="F1941" s="33"/>
      <c r="G1941" s="19" t="e">
        <f t="shared" si="35"/>
        <v>#DIV/0!</v>
      </c>
      <c r="H1941" s="20" t="str">
        <f ca="1">IFERROR(__xludf.DUMMYFUNCTION("IF(COUNTIFS($C$2:C1941, C1941, $A$2:A1941, ""&lt;="" &amp; A1941) &lt; 30, AVERAGEIF($C$2:C1941, C1941, $G$2:G1941), AVERAGE(FILTER($G$2:G1941, $C$2:C1941 = C1941, $A$2:A1941 &gt;= A1941 - 30)))
"),"#DIV/0!")</f>
        <v>#DIV/0!</v>
      </c>
      <c r="I1941" s="20" t="e">
        <f t="shared" ca="1" si="36"/>
        <v>#DIV/0!</v>
      </c>
      <c r="J1941" s="20" t="str">
        <f ca="1">IFERROR(__xludf.DUMMYFUNCTION("IF(OR($I1941=2, $I1941=3), 0, IFERROR(COUNTIFS($C$2:C1941, $C1941, $A$2:A1941, ""&gt;""&amp;IFERROR(MAX(FILTER($A$2:A1941, $C$2:C1941=$C1941, $I$2:I1941&lt;&gt;1)), 0), $I$2:I1941, 1),1))
"),"#DIV/0!")</f>
        <v>#DIV/0!</v>
      </c>
      <c r="K1941" s="7" t="e">
        <f t="shared" ca="1" si="37"/>
        <v>#DIV/0!</v>
      </c>
      <c r="L1941" s="20" t="e">
        <f t="shared" ca="1" si="38"/>
        <v>#DIV/0!</v>
      </c>
      <c r="M1941" s="21" t="e">
        <f t="shared" ca="1" si="39"/>
        <v>#DIV/0!</v>
      </c>
      <c r="N1941" s="20" t="str">
        <f ca="1">IFERROR(__xludf.DUMMYFUNCTION("IF(COUNTIFS($C$2:C1941, C1941, $A$2:A1941, ""&lt;="" &amp; A1941) &lt; 30, STDEV.P(FILTER($G$2:G1941, $C$2:C1941 = C1941)), STDEV.P(FILTER($G$2:G1941, $C$2:C1941 = C1941, $A$2:A1941 &gt;= A1941 - 30)))
"),"#DIV/0!")</f>
        <v>#DIV/0!</v>
      </c>
    </row>
    <row r="1942" spans="1:14" x14ac:dyDescent="0.2">
      <c r="A1942" s="41"/>
      <c r="B1942" s="32"/>
      <c r="C1942" s="32"/>
      <c r="D1942" s="33"/>
      <c r="E1942" s="33"/>
      <c r="F1942" s="33"/>
      <c r="G1942" s="19" t="e">
        <f t="shared" si="35"/>
        <v>#DIV/0!</v>
      </c>
      <c r="H1942" s="20" t="str">
        <f ca="1">IFERROR(__xludf.DUMMYFUNCTION("IF(COUNTIFS($C$2:C1942, C1942, $A$2:A1942, ""&lt;="" &amp; A1942) &lt; 30, AVERAGEIF($C$2:C1942, C1942, $G$2:G1942), AVERAGE(FILTER($G$2:G1942, $C$2:C1942 = C1942, $A$2:A1942 &gt;= A1942 - 30)))
"),"#DIV/0!")</f>
        <v>#DIV/0!</v>
      </c>
      <c r="I1942" s="20" t="e">
        <f t="shared" ca="1" si="36"/>
        <v>#DIV/0!</v>
      </c>
      <c r="J1942" s="20" t="str">
        <f ca="1">IFERROR(__xludf.DUMMYFUNCTION("IF(OR($I1942=2, $I1942=3), 0, IFERROR(COUNTIFS($C$2:C1942, $C1942, $A$2:A1942, ""&gt;""&amp;IFERROR(MAX(FILTER($A$2:A1942, $C$2:C1942=$C1942, $I$2:I1942&lt;&gt;1)), 0), $I$2:I1942, 1),1))
"),"#DIV/0!")</f>
        <v>#DIV/0!</v>
      </c>
      <c r="K1942" s="7" t="e">
        <f t="shared" ca="1" si="37"/>
        <v>#DIV/0!</v>
      </c>
      <c r="L1942" s="20" t="e">
        <f t="shared" ca="1" si="38"/>
        <v>#DIV/0!</v>
      </c>
      <c r="M1942" s="21" t="e">
        <f t="shared" ca="1" si="39"/>
        <v>#DIV/0!</v>
      </c>
      <c r="N1942" s="20" t="str">
        <f ca="1">IFERROR(__xludf.DUMMYFUNCTION("IF(COUNTIFS($C$2:C1942, C1942, $A$2:A1942, ""&lt;="" &amp; A1942) &lt; 30, STDEV.P(FILTER($G$2:G1942, $C$2:C1942 = C1942)), STDEV.P(FILTER($G$2:G1942, $C$2:C1942 = C1942, $A$2:A1942 &gt;= A1942 - 30)))
"),"#DIV/0!")</f>
        <v>#DIV/0!</v>
      </c>
    </row>
    <row r="1943" spans="1:14" x14ac:dyDescent="0.2">
      <c r="A1943" s="41"/>
      <c r="B1943" s="32"/>
      <c r="C1943" s="32"/>
      <c r="D1943" s="33"/>
      <c r="E1943" s="33"/>
      <c r="F1943" s="33"/>
      <c r="G1943" s="19" t="e">
        <f t="shared" si="35"/>
        <v>#DIV/0!</v>
      </c>
      <c r="H1943" s="20" t="str">
        <f ca="1">IFERROR(__xludf.DUMMYFUNCTION("IF(COUNTIFS($C$2:C1943, C1943, $A$2:A1943, ""&lt;="" &amp; A1943) &lt; 30, AVERAGEIF($C$2:C1943, C1943, $G$2:G1943), AVERAGE(FILTER($G$2:G1943, $C$2:C1943 = C1943, $A$2:A1943 &gt;= A1943 - 30)))
"),"#DIV/0!")</f>
        <v>#DIV/0!</v>
      </c>
      <c r="I1943" s="20" t="e">
        <f t="shared" ca="1" si="36"/>
        <v>#DIV/0!</v>
      </c>
      <c r="J1943" s="20" t="str">
        <f ca="1">IFERROR(__xludf.DUMMYFUNCTION("IF(OR($I1943=2, $I1943=3), 0, IFERROR(COUNTIFS($C$2:C1943, $C1943, $A$2:A1943, ""&gt;""&amp;IFERROR(MAX(FILTER($A$2:A1943, $C$2:C1943=$C1943, $I$2:I1943&lt;&gt;1)), 0), $I$2:I1943, 1),1))
"),"#DIV/0!")</f>
        <v>#DIV/0!</v>
      </c>
      <c r="K1943" s="7" t="e">
        <f t="shared" ca="1" si="37"/>
        <v>#DIV/0!</v>
      </c>
      <c r="L1943" s="20" t="e">
        <f t="shared" ca="1" si="38"/>
        <v>#DIV/0!</v>
      </c>
      <c r="M1943" s="21" t="e">
        <f t="shared" ca="1" si="39"/>
        <v>#DIV/0!</v>
      </c>
      <c r="N1943" s="20" t="str">
        <f ca="1">IFERROR(__xludf.DUMMYFUNCTION("IF(COUNTIFS($C$2:C1943, C1943, $A$2:A1943, ""&lt;="" &amp; A1943) &lt; 30, STDEV.P(FILTER($G$2:G1943, $C$2:C1943 = C1943)), STDEV.P(FILTER($G$2:G1943, $C$2:C1943 = C1943, $A$2:A1943 &gt;= A1943 - 30)))
"),"#DIV/0!")</f>
        <v>#DIV/0!</v>
      </c>
    </row>
    <row r="1944" spans="1:14" x14ac:dyDescent="0.2">
      <c r="A1944" s="41"/>
      <c r="B1944" s="32"/>
      <c r="C1944" s="32"/>
      <c r="D1944" s="33"/>
      <c r="E1944" s="33"/>
      <c r="F1944" s="33"/>
      <c r="G1944" s="19" t="e">
        <f t="shared" si="35"/>
        <v>#DIV/0!</v>
      </c>
      <c r="H1944" s="20" t="str">
        <f ca="1">IFERROR(__xludf.DUMMYFUNCTION("IF(COUNTIFS($C$2:C1944, C1944, $A$2:A1944, ""&lt;="" &amp; A1944) &lt; 30, AVERAGEIF($C$2:C1944, C1944, $G$2:G1944), AVERAGE(FILTER($G$2:G1944, $C$2:C1944 = C1944, $A$2:A1944 &gt;= A1944 - 30)))
"),"#DIV/0!")</f>
        <v>#DIV/0!</v>
      </c>
      <c r="I1944" s="20" t="e">
        <f t="shared" ca="1" si="36"/>
        <v>#DIV/0!</v>
      </c>
      <c r="J1944" s="20" t="str">
        <f ca="1">IFERROR(__xludf.DUMMYFUNCTION("IF(OR($I1944=2, $I1944=3), 0, IFERROR(COUNTIFS($C$2:C1944, $C1944, $A$2:A1944, ""&gt;""&amp;IFERROR(MAX(FILTER($A$2:A1944, $C$2:C1944=$C1944, $I$2:I1944&lt;&gt;1)), 0), $I$2:I1944, 1),1))
"),"#DIV/0!")</f>
        <v>#DIV/0!</v>
      </c>
      <c r="K1944" s="7" t="e">
        <f t="shared" ca="1" si="37"/>
        <v>#DIV/0!</v>
      </c>
      <c r="L1944" s="20" t="e">
        <f t="shared" ca="1" si="38"/>
        <v>#DIV/0!</v>
      </c>
      <c r="M1944" s="21" t="e">
        <f t="shared" ca="1" si="39"/>
        <v>#DIV/0!</v>
      </c>
      <c r="N1944" s="20" t="str">
        <f ca="1">IFERROR(__xludf.DUMMYFUNCTION("IF(COUNTIFS($C$2:C1944, C1944, $A$2:A1944, ""&lt;="" &amp; A1944) &lt; 30, STDEV.P(FILTER($G$2:G1944, $C$2:C1944 = C1944)), STDEV.P(FILTER($G$2:G1944, $C$2:C1944 = C1944, $A$2:A1944 &gt;= A1944 - 30)))
"),"#DIV/0!")</f>
        <v>#DIV/0!</v>
      </c>
    </row>
    <row r="1945" spans="1:14" x14ac:dyDescent="0.2">
      <c r="A1945" s="41"/>
      <c r="B1945" s="32"/>
      <c r="C1945" s="32"/>
      <c r="D1945" s="33"/>
      <c r="E1945" s="33"/>
      <c r="F1945" s="33"/>
      <c r="G1945" s="19" t="e">
        <f t="shared" si="35"/>
        <v>#DIV/0!</v>
      </c>
      <c r="H1945" s="20" t="str">
        <f ca="1">IFERROR(__xludf.DUMMYFUNCTION("IF(COUNTIFS($C$2:C1945, C1945, $A$2:A1945, ""&lt;="" &amp; A1945) &lt; 30, AVERAGEIF($C$2:C1945, C1945, $G$2:G1945), AVERAGE(FILTER($G$2:G1945, $C$2:C1945 = C1945, $A$2:A1945 &gt;= A1945 - 30)))
"),"#DIV/0!")</f>
        <v>#DIV/0!</v>
      </c>
      <c r="I1945" s="20" t="e">
        <f t="shared" ca="1" si="36"/>
        <v>#DIV/0!</v>
      </c>
      <c r="J1945" s="20" t="str">
        <f ca="1">IFERROR(__xludf.DUMMYFUNCTION("IF(OR($I1945=2, $I1945=3), 0, IFERROR(COUNTIFS($C$2:C1945, $C1945, $A$2:A1945, ""&gt;""&amp;IFERROR(MAX(FILTER($A$2:A1945, $C$2:C1945=$C1945, $I$2:I1945&lt;&gt;1)), 0), $I$2:I1945, 1),1))
"),"#DIV/0!")</f>
        <v>#DIV/0!</v>
      </c>
      <c r="K1945" s="7" t="e">
        <f t="shared" ca="1" si="37"/>
        <v>#DIV/0!</v>
      </c>
      <c r="L1945" s="20" t="e">
        <f t="shared" ca="1" si="38"/>
        <v>#DIV/0!</v>
      </c>
      <c r="M1945" s="21" t="e">
        <f t="shared" ca="1" si="39"/>
        <v>#DIV/0!</v>
      </c>
      <c r="N1945" s="20" t="str">
        <f ca="1">IFERROR(__xludf.DUMMYFUNCTION("IF(COUNTIFS($C$2:C1945, C1945, $A$2:A1945, ""&lt;="" &amp; A1945) &lt; 30, STDEV.P(FILTER($G$2:G1945, $C$2:C1945 = C1945)), STDEV.P(FILTER($G$2:G1945, $C$2:C1945 = C1945, $A$2:A1945 &gt;= A1945 - 30)))
"),"#DIV/0!")</f>
        <v>#DIV/0!</v>
      </c>
    </row>
    <row r="1946" spans="1:14" x14ac:dyDescent="0.2">
      <c r="A1946" s="41"/>
      <c r="B1946" s="32"/>
      <c r="C1946" s="32"/>
      <c r="D1946" s="33"/>
      <c r="E1946" s="33"/>
      <c r="F1946" s="33"/>
      <c r="G1946" s="19" t="e">
        <f t="shared" si="35"/>
        <v>#DIV/0!</v>
      </c>
      <c r="H1946" s="20" t="str">
        <f ca="1">IFERROR(__xludf.DUMMYFUNCTION("IF(COUNTIFS($C$2:C1946, C1946, $A$2:A1946, ""&lt;="" &amp; A1946) &lt; 30, AVERAGEIF($C$2:C1946, C1946, $G$2:G1946), AVERAGE(FILTER($G$2:G1946, $C$2:C1946 = C1946, $A$2:A1946 &gt;= A1946 - 30)))
"),"#DIV/0!")</f>
        <v>#DIV/0!</v>
      </c>
      <c r="I1946" s="20" t="e">
        <f t="shared" ca="1" si="36"/>
        <v>#DIV/0!</v>
      </c>
      <c r="J1946" s="20" t="str">
        <f ca="1">IFERROR(__xludf.DUMMYFUNCTION("IF(OR($I1946=2, $I1946=3), 0, IFERROR(COUNTIFS($C$2:C1946, $C1946, $A$2:A1946, ""&gt;""&amp;IFERROR(MAX(FILTER($A$2:A1946, $C$2:C1946=$C1946, $I$2:I1946&lt;&gt;1)), 0), $I$2:I1946, 1),1))
"),"#DIV/0!")</f>
        <v>#DIV/0!</v>
      </c>
      <c r="K1946" s="7" t="e">
        <f t="shared" ca="1" si="37"/>
        <v>#DIV/0!</v>
      </c>
      <c r="L1946" s="20" t="e">
        <f t="shared" ca="1" si="38"/>
        <v>#DIV/0!</v>
      </c>
      <c r="M1946" s="21" t="e">
        <f t="shared" ca="1" si="39"/>
        <v>#DIV/0!</v>
      </c>
      <c r="N1946" s="20" t="str">
        <f ca="1">IFERROR(__xludf.DUMMYFUNCTION("IF(COUNTIFS($C$2:C1946, C1946, $A$2:A1946, ""&lt;="" &amp; A1946) &lt; 30, STDEV.P(FILTER($G$2:G1946, $C$2:C1946 = C1946)), STDEV.P(FILTER($G$2:G1946, $C$2:C1946 = C1946, $A$2:A1946 &gt;= A1946 - 30)))
"),"#DIV/0!")</f>
        <v>#DIV/0!</v>
      </c>
    </row>
    <row r="1947" spans="1:14" x14ac:dyDescent="0.2">
      <c r="A1947" s="41"/>
      <c r="B1947" s="32"/>
      <c r="C1947" s="32"/>
      <c r="D1947" s="33"/>
      <c r="E1947" s="33"/>
      <c r="F1947" s="33"/>
      <c r="G1947" s="19" t="e">
        <f t="shared" si="35"/>
        <v>#DIV/0!</v>
      </c>
      <c r="H1947" s="20" t="str">
        <f ca="1">IFERROR(__xludf.DUMMYFUNCTION("IF(COUNTIFS($C$2:C1947, C1947, $A$2:A1947, ""&lt;="" &amp; A1947) &lt; 30, AVERAGEIF($C$2:C1947, C1947, $G$2:G1947), AVERAGE(FILTER($G$2:G1947, $C$2:C1947 = C1947, $A$2:A1947 &gt;= A1947 - 30)))
"),"#DIV/0!")</f>
        <v>#DIV/0!</v>
      </c>
      <c r="I1947" s="20" t="e">
        <f t="shared" ca="1" si="36"/>
        <v>#DIV/0!</v>
      </c>
      <c r="J1947" s="20" t="str">
        <f ca="1">IFERROR(__xludf.DUMMYFUNCTION("IF(OR($I1947=2, $I1947=3), 0, IFERROR(COUNTIFS($C$2:C1947, $C1947, $A$2:A1947, ""&gt;""&amp;IFERROR(MAX(FILTER($A$2:A1947, $C$2:C1947=$C1947, $I$2:I1947&lt;&gt;1)), 0), $I$2:I1947, 1),1))
"),"#DIV/0!")</f>
        <v>#DIV/0!</v>
      </c>
      <c r="K1947" s="7" t="e">
        <f t="shared" ca="1" si="37"/>
        <v>#DIV/0!</v>
      </c>
      <c r="L1947" s="20" t="e">
        <f t="shared" ca="1" si="38"/>
        <v>#DIV/0!</v>
      </c>
      <c r="M1947" s="21" t="e">
        <f t="shared" ca="1" si="39"/>
        <v>#DIV/0!</v>
      </c>
      <c r="N1947" s="20" t="str">
        <f ca="1">IFERROR(__xludf.DUMMYFUNCTION("IF(COUNTIFS($C$2:C1947, C1947, $A$2:A1947, ""&lt;="" &amp; A1947) &lt; 30, STDEV.P(FILTER($G$2:G1947, $C$2:C1947 = C1947)), STDEV.P(FILTER($G$2:G1947, $C$2:C1947 = C1947, $A$2:A1947 &gt;= A1947 - 30)))
"),"#DIV/0!")</f>
        <v>#DIV/0!</v>
      </c>
    </row>
    <row r="1948" spans="1:14" x14ac:dyDescent="0.2">
      <c r="A1948" s="41"/>
      <c r="B1948" s="32"/>
      <c r="C1948" s="32"/>
      <c r="D1948" s="33"/>
      <c r="E1948" s="33"/>
      <c r="F1948" s="33"/>
      <c r="G1948" s="19" t="e">
        <f t="shared" si="35"/>
        <v>#DIV/0!</v>
      </c>
      <c r="H1948" s="20" t="str">
        <f ca="1">IFERROR(__xludf.DUMMYFUNCTION("IF(COUNTIFS($C$2:C1948, C1948, $A$2:A1948, ""&lt;="" &amp; A1948) &lt; 30, AVERAGEIF($C$2:C1948, C1948, $G$2:G1948), AVERAGE(FILTER($G$2:G1948, $C$2:C1948 = C1948, $A$2:A1948 &gt;= A1948 - 30)))
"),"#DIV/0!")</f>
        <v>#DIV/0!</v>
      </c>
      <c r="I1948" s="20" t="e">
        <f t="shared" ca="1" si="36"/>
        <v>#DIV/0!</v>
      </c>
      <c r="J1948" s="20" t="str">
        <f ca="1">IFERROR(__xludf.DUMMYFUNCTION("IF(OR($I1948=2, $I1948=3), 0, IFERROR(COUNTIFS($C$2:C1948, $C1948, $A$2:A1948, ""&gt;""&amp;IFERROR(MAX(FILTER($A$2:A1948, $C$2:C1948=$C1948, $I$2:I1948&lt;&gt;1)), 0), $I$2:I1948, 1),1))
"),"#DIV/0!")</f>
        <v>#DIV/0!</v>
      </c>
      <c r="K1948" s="7" t="e">
        <f t="shared" ca="1" si="37"/>
        <v>#DIV/0!</v>
      </c>
      <c r="L1948" s="20" t="e">
        <f t="shared" ca="1" si="38"/>
        <v>#DIV/0!</v>
      </c>
      <c r="M1948" s="21" t="e">
        <f t="shared" ca="1" si="39"/>
        <v>#DIV/0!</v>
      </c>
      <c r="N1948" s="20" t="str">
        <f ca="1">IFERROR(__xludf.DUMMYFUNCTION("IF(COUNTIFS($C$2:C1948, C1948, $A$2:A1948, ""&lt;="" &amp; A1948) &lt; 30, STDEV.P(FILTER($G$2:G1948, $C$2:C1948 = C1948)), STDEV.P(FILTER($G$2:G1948, $C$2:C1948 = C1948, $A$2:A1948 &gt;= A1948 - 30)))
"),"#DIV/0!")</f>
        <v>#DIV/0!</v>
      </c>
    </row>
    <row r="1949" spans="1:14" x14ac:dyDescent="0.2">
      <c r="A1949" s="41"/>
      <c r="B1949" s="32"/>
      <c r="C1949" s="32"/>
      <c r="D1949" s="33"/>
      <c r="E1949" s="33"/>
      <c r="F1949" s="33"/>
      <c r="G1949" s="19" t="e">
        <f t="shared" si="35"/>
        <v>#DIV/0!</v>
      </c>
      <c r="H1949" s="20" t="str">
        <f ca="1">IFERROR(__xludf.DUMMYFUNCTION("IF(COUNTIFS($C$2:C1949, C1949, $A$2:A1949, ""&lt;="" &amp; A1949) &lt; 30, AVERAGEIF($C$2:C1949, C1949, $G$2:G1949), AVERAGE(FILTER($G$2:G1949, $C$2:C1949 = C1949, $A$2:A1949 &gt;= A1949 - 30)))
"),"#DIV/0!")</f>
        <v>#DIV/0!</v>
      </c>
      <c r="I1949" s="20" t="e">
        <f t="shared" ca="1" si="36"/>
        <v>#DIV/0!</v>
      </c>
      <c r="J1949" s="20" t="str">
        <f ca="1">IFERROR(__xludf.DUMMYFUNCTION("IF(OR($I1949=2, $I1949=3), 0, IFERROR(COUNTIFS($C$2:C1949, $C1949, $A$2:A1949, ""&gt;""&amp;IFERROR(MAX(FILTER($A$2:A1949, $C$2:C1949=$C1949, $I$2:I1949&lt;&gt;1)), 0), $I$2:I1949, 1),1))
"),"#DIV/0!")</f>
        <v>#DIV/0!</v>
      </c>
      <c r="K1949" s="7" t="e">
        <f t="shared" ca="1" si="37"/>
        <v>#DIV/0!</v>
      </c>
      <c r="L1949" s="20" t="e">
        <f t="shared" ca="1" si="38"/>
        <v>#DIV/0!</v>
      </c>
      <c r="M1949" s="21" t="e">
        <f t="shared" ca="1" si="39"/>
        <v>#DIV/0!</v>
      </c>
      <c r="N1949" s="20" t="str">
        <f ca="1">IFERROR(__xludf.DUMMYFUNCTION("IF(COUNTIFS($C$2:C1949, C1949, $A$2:A1949, ""&lt;="" &amp; A1949) &lt; 30, STDEV.P(FILTER($G$2:G1949, $C$2:C1949 = C1949)), STDEV.P(FILTER($G$2:G1949, $C$2:C1949 = C1949, $A$2:A1949 &gt;= A1949 - 30)))
"),"#DIV/0!")</f>
        <v>#DIV/0!</v>
      </c>
    </row>
    <row r="1950" spans="1:14" x14ac:dyDescent="0.2">
      <c r="A1950" s="41"/>
      <c r="B1950" s="32"/>
      <c r="C1950" s="32"/>
      <c r="D1950" s="33"/>
      <c r="E1950" s="33"/>
      <c r="F1950" s="33"/>
      <c r="G1950" s="19" t="e">
        <f t="shared" si="35"/>
        <v>#DIV/0!</v>
      </c>
      <c r="H1950" s="20" t="str">
        <f ca="1">IFERROR(__xludf.DUMMYFUNCTION("IF(COUNTIFS($C$2:C1950, C1950, $A$2:A1950, ""&lt;="" &amp; A1950) &lt; 30, AVERAGEIF($C$2:C1950, C1950, $G$2:G1950), AVERAGE(FILTER($G$2:G1950, $C$2:C1950 = C1950, $A$2:A1950 &gt;= A1950 - 30)))
"),"#DIV/0!")</f>
        <v>#DIV/0!</v>
      </c>
      <c r="I1950" s="20" t="e">
        <f t="shared" ca="1" si="36"/>
        <v>#DIV/0!</v>
      </c>
      <c r="J1950" s="20" t="str">
        <f ca="1">IFERROR(__xludf.DUMMYFUNCTION("IF(OR($I1950=2, $I1950=3), 0, IFERROR(COUNTIFS($C$2:C1950, $C1950, $A$2:A1950, ""&gt;""&amp;IFERROR(MAX(FILTER($A$2:A1950, $C$2:C1950=$C1950, $I$2:I1950&lt;&gt;1)), 0), $I$2:I1950, 1),1))
"),"#DIV/0!")</f>
        <v>#DIV/0!</v>
      </c>
      <c r="K1950" s="7" t="e">
        <f t="shared" ca="1" si="37"/>
        <v>#DIV/0!</v>
      </c>
      <c r="L1950" s="20" t="e">
        <f t="shared" ca="1" si="38"/>
        <v>#DIV/0!</v>
      </c>
      <c r="M1950" s="21" t="e">
        <f t="shared" ca="1" si="39"/>
        <v>#DIV/0!</v>
      </c>
      <c r="N1950" s="20" t="str">
        <f ca="1">IFERROR(__xludf.DUMMYFUNCTION("IF(COUNTIFS($C$2:C1950, C1950, $A$2:A1950, ""&lt;="" &amp; A1950) &lt; 30, STDEV.P(FILTER($G$2:G1950, $C$2:C1950 = C1950)), STDEV.P(FILTER($G$2:G1950, $C$2:C1950 = C1950, $A$2:A1950 &gt;= A1950 - 30)))
"),"#DIV/0!")</f>
        <v>#DIV/0!</v>
      </c>
    </row>
    <row r="1951" spans="1:14" x14ac:dyDescent="0.2">
      <c r="A1951" s="41"/>
      <c r="B1951" s="32"/>
      <c r="C1951" s="32"/>
      <c r="D1951" s="33"/>
      <c r="E1951" s="33"/>
      <c r="F1951" s="33"/>
      <c r="G1951" s="19" t="e">
        <f t="shared" si="35"/>
        <v>#DIV/0!</v>
      </c>
      <c r="H1951" s="20" t="str">
        <f ca="1">IFERROR(__xludf.DUMMYFUNCTION("IF(COUNTIFS($C$2:C1951, C1951, $A$2:A1951, ""&lt;="" &amp; A1951) &lt; 30, AVERAGEIF($C$2:C1951, C1951, $G$2:G1951), AVERAGE(FILTER($G$2:G1951, $C$2:C1951 = C1951, $A$2:A1951 &gt;= A1951 - 30)))
"),"#DIV/0!")</f>
        <v>#DIV/0!</v>
      </c>
      <c r="I1951" s="20" t="e">
        <f t="shared" ca="1" si="36"/>
        <v>#DIV/0!</v>
      </c>
      <c r="J1951" s="20" t="str">
        <f ca="1">IFERROR(__xludf.DUMMYFUNCTION("IF(OR($I1951=2, $I1951=3), 0, IFERROR(COUNTIFS($C$2:C1951, $C1951, $A$2:A1951, ""&gt;""&amp;IFERROR(MAX(FILTER($A$2:A1951, $C$2:C1951=$C1951, $I$2:I1951&lt;&gt;1)), 0), $I$2:I1951, 1),1))
"),"#DIV/0!")</f>
        <v>#DIV/0!</v>
      </c>
      <c r="K1951" s="7" t="e">
        <f t="shared" ca="1" si="37"/>
        <v>#DIV/0!</v>
      </c>
      <c r="L1951" s="20" t="e">
        <f t="shared" ca="1" si="38"/>
        <v>#DIV/0!</v>
      </c>
      <c r="M1951" s="21" t="e">
        <f t="shared" ca="1" si="39"/>
        <v>#DIV/0!</v>
      </c>
      <c r="N1951" s="20" t="str">
        <f ca="1">IFERROR(__xludf.DUMMYFUNCTION("IF(COUNTIFS($C$2:C1951, C1951, $A$2:A1951, ""&lt;="" &amp; A1951) &lt; 30, STDEV.P(FILTER($G$2:G1951, $C$2:C1951 = C1951)), STDEV.P(FILTER($G$2:G1951, $C$2:C1951 = C1951, $A$2:A1951 &gt;= A1951 - 30)))
"),"#DIV/0!")</f>
        <v>#DIV/0!</v>
      </c>
    </row>
    <row r="1952" spans="1:14" x14ac:dyDescent="0.2">
      <c r="A1952" s="41"/>
      <c r="B1952" s="32"/>
      <c r="C1952" s="32"/>
      <c r="D1952" s="33"/>
      <c r="E1952" s="33"/>
      <c r="F1952" s="33"/>
      <c r="G1952" s="19" t="e">
        <f t="shared" si="35"/>
        <v>#DIV/0!</v>
      </c>
      <c r="H1952" s="20" t="str">
        <f ca="1">IFERROR(__xludf.DUMMYFUNCTION("IF(COUNTIFS($C$2:C1952, C1952, $A$2:A1952, ""&lt;="" &amp; A1952) &lt; 30, AVERAGEIF($C$2:C1952, C1952, $G$2:G1952), AVERAGE(FILTER($G$2:G1952, $C$2:C1952 = C1952, $A$2:A1952 &gt;= A1952 - 30)))
"),"#DIV/0!")</f>
        <v>#DIV/0!</v>
      </c>
      <c r="I1952" s="20" t="e">
        <f t="shared" ca="1" si="36"/>
        <v>#DIV/0!</v>
      </c>
      <c r="J1952" s="20" t="str">
        <f ca="1">IFERROR(__xludf.DUMMYFUNCTION("IF(OR($I1952=2, $I1952=3), 0, IFERROR(COUNTIFS($C$2:C1952, $C1952, $A$2:A1952, ""&gt;""&amp;IFERROR(MAX(FILTER($A$2:A1952, $C$2:C1952=$C1952, $I$2:I1952&lt;&gt;1)), 0), $I$2:I1952, 1),1))
"),"#DIV/0!")</f>
        <v>#DIV/0!</v>
      </c>
      <c r="K1952" s="7" t="e">
        <f t="shared" ca="1" si="37"/>
        <v>#DIV/0!</v>
      </c>
      <c r="L1952" s="20" t="e">
        <f t="shared" ca="1" si="38"/>
        <v>#DIV/0!</v>
      </c>
      <c r="M1952" s="21" t="e">
        <f t="shared" ca="1" si="39"/>
        <v>#DIV/0!</v>
      </c>
      <c r="N1952" s="20" t="str">
        <f ca="1">IFERROR(__xludf.DUMMYFUNCTION("IF(COUNTIFS($C$2:C1952, C1952, $A$2:A1952, ""&lt;="" &amp; A1952) &lt; 30, STDEV.P(FILTER($G$2:G1952, $C$2:C1952 = C1952)), STDEV.P(FILTER($G$2:G1952, $C$2:C1952 = C1952, $A$2:A1952 &gt;= A1952 - 30)))
"),"#DIV/0!")</f>
        <v>#DIV/0!</v>
      </c>
    </row>
    <row r="1953" spans="1:14" x14ac:dyDescent="0.2">
      <c r="A1953" s="41"/>
      <c r="B1953" s="32"/>
      <c r="C1953" s="32"/>
      <c r="D1953" s="33"/>
      <c r="E1953" s="33"/>
      <c r="F1953" s="33"/>
      <c r="G1953" s="19" t="e">
        <f t="shared" si="35"/>
        <v>#DIV/0!</v>
      </c>
      <c r="H1953" s="20" t="str">
        <f ca="1">IFERROR(__xludf.DUMMYFUNCTION("IF(COUNTIFS($C$2:C1953, C1953, $A$2:A1953, ""&lt;="" &amp; A1953) &lt; 30, AVERAGEIF($C$2:C1953, C1953, $G$2:G1953), AVERAGE(FILTER($G$2:G1953, $C$2:C1953 = C1953, $A$2:A1953 &gt;= A1953 - 30)))
"),"#DIV/0!")</f>
        <v>#DIV/0!</v>
      </c>
      <c r="I1953" s="20" t="e">
        <f t="shared" ca="1" si="36"/>
        <v>#DIV/0!</v>
      </c>
      <c r="J1953" s="20" t="str">
        <f ca="1">IFERROR(__xludf.DUMMYFUNCTION("IF(OR($I1953=2, $I1953=3), 0, IFERROR(COUNTIFS($C$2:C1953, $C1953, $A$2:A1953, ""&gt;""&amp;IFERROR(MAX(FILTER($A$2:A1953, $C$2:C1953=$C1953, $I$2:I1953&lt;&gt;1)), 0), $I$2:I1953, 1),1))
"),"#DIV/0!")</f>
        <v>#DIV/0!</v>
      </c>
      <c r="K1953" s="7" t="e">
        <f t="shared" ca="1" si="37"/>
        <v>#DIV/0!</v>
      </c>
      <c r="L1953" s="20" t="e">
        <f t="shared" ca="1" si="38"/>
        <v>#DIV/0!</v>
      </c>
      <c r="M1953" s="21" t="e">
        <f t="shared" ca="1" si="39"/>
        <v>#DIV/0!</v>
      </c>
      <c r="N1953" s="20" t="str">
        <f ca="1">IFERROR(__xludf.DUMMYFUNCTION("IF(COUNTIFS($C$2:C1953, C1953, $A$2:A1953, ""&lt;="" &amp; A1953) &lt; 30, STDEV.P(FILTER($G$2:G1953, $C$2:C1953 = C1953)), STDEV.P(FILTER($G$2:G1953, $C$2:C1953 = C1953, $A$2:A1953 &gt;= A1953 - 30)))
"),"#DIV/0!")</f>
        <v>#DIV/0!</v>
      </c>
    </row>
    <row r="1954" spans="1:14" x14ac:dyDescent="0.2">
      <c r="A1954" s="41"/>
      <c r="B1954" s="32"/>
      <c r="C1954" s="32"/>
      <c r="D1954" s="33"/>
      <c r="E1954" s="33"/>
      <c r="F1954" s="33"/>
      <c r="G1954" s="19" t="e">
        <f t="shared" si="35"/>
        <v>#DIV/0!</v>
      </c>
      <c r="H1954" s="20" t="str">
        <f ca="1">IFERROR(__xludf.DUMMYFUNCTION("IF(COUNTIFS($C$2:C1954, C1954, $A$2:A1954, ""&lt;="" &amp; A1954) &lt; 30, AVERAGEIF($C$2:C1954, C1954, $G$2:G1954), AVERAGE(FILTER($G$2:G1954, $C$2:C1954 = C1954, $A$2:A1954 &gt;= A1954 - 30)))
"),"#DIV/0!")</f>
        <v>#DIV/0!</v>
      </c>
      <c r="I1954" s="20" t="e">
        <f t="shared" ca="1" si="36"/>
        <v>#DIV/0!</v>
      </c>
      <c r="J1954" s="20" t="str">
        <f ca="1">IFERROR(__xludf.DUMMYFUNCTION("IF(OR($I1954=2, $I1954=3), 0, IFERROR(COUNTIFS($C$2:C1954, $C1954, $A$2:A1954, ""&gt;""&amp;IFERROR(MAX(FILTER($A$2:A1954, $C$2:C1954=$C1954, $I$2:I1954&lt;&gt;1)), 0), $I$2:I1954, 1),1))
"),"#DIV/0!")</f>
        <v>#DIV/0!</v>
      </c>
      <c r="K1954" s="7" t="e">
        <f t="shared" ca="1" si="37"/>
        <v>#DIV/0!</v>
      </c>
      <c r="L1954" s="20" t="e">
        <f t="shared" ca="1" si="38"/>
        <v>#DIV/0!</v>
      </c>
      <c r="M1954" s="21" t="e">
        <f t="shared" ca="1" si="39"/>
        <v>#DIV/0!</v>
      </c>
      <c r="N1954" s="20" t="str">
        <f ca="1">IFERROR(__xludf.DUMMYFUNCTION("IF(COUNTIFS($C$2:C1954, C1954, $A$2:A1954, ""&lt;="" &amp; A1954) &lt; 30, STDEV.P(FILTER($G$2:G1954, $C$2:C1954 = C1954)), STDEV.P(FILTER($G$2:G1954, $C$2:C1954 = C1954, $A$2:A1954 &gt;= A1954 - 30)))
"),"#DIV/0!")</f>
        <v>#DIV/0!</v>
      </c>
    </row>
    <row r="1955" spans="1:14" x14ac:dyDescent="0.2">
      <c r="A1955" s="41"/>
      <c r="B1955" s="32"/>
      <c r="C1955" s="32"/>
      <c r="D1955" s="33"/>
      <c r="E1955" s="33"/>
      <c r="F1955" s="33"/>
      <c r="G1955" s="19" t="e">
        <f t="shared" si="35"/>
        <v>#DIV/0!</v>
      </c>
      <c r="H1955" s="20" t="str">
        <f ca="1">IFERROR(__xludf.DUMMYFUNCTION("IF(COUNTIFS($C$2:C1955, C1955, $A$2:A1955, ""&lt;="" &amp; A1955) &lt; 30, AVERAGEIF($C$2:C1955, C1955, $G$2:G1955), AVERAGE(FILTER($G$2:G1955, $C$2:C1955 = C1955, $A$2:A1955 &gt;= A1955 - 30)))
"),"#DIV/0!")</f>
        <v>#DIV/0!</v>
      </c>
      <c r="I1955" s="20" t="e">
        <f t="shared" ca="1" si="36"/>
        <v>#DIV/0!</v>
      </c>
      <c r="J1955" s="20" t="str">
        <f ca="1">IFERROR(__xludf.DUMMYFUNCTION("IF(OR($I1955=2, $I1955=3), 0, IFERROR(COUNTIFS($C$2:C1955, $C1955, $A$2:A1955, ""&gt;""&amp;IFERROR(MAX(FILTER($A$2:A1955, $C$2:C1955=$C1955, $I$2:I1955&lt;&gt;1)), 0), $I$2:I1955, 1),1))
"),"#DIV/0!")</f>
        <v>#DIV/0!</v>
      </c>
      <c r="K1955" s="7" t="e">
        <f t="shared" ca="1" si="37"/>
        <v>#DIV/0!</v>
      </c>
      <c r="L1955" s="20" t="e">
        <f t="shared" ca="1" si="38"/>
        <v>#DIV/0!</v>
      </c>
      <c r="M1955" s="21" t="e">
        <f t="shared" ca="1" si="39"/>
        <v>#DIV/0!</v>
      </c>
      <c r="N1955" s="20" t="str">
        <f ca="1">IFERROR(__xludf.DUMMYFUNCTION("IF(COUNTIFS($C$2:C1955, C1955, $A$2:A1955, ""&lt;="" &amp; A1955) &lt; 30, STDEV.P(FILTER($G$2:G1955, $C$2:C1955 = C1955)), STDEV.P(FILTER($G$2:G1955, $C$2:C1955 = C1955, $A$2:A1955 &gt;= A1955 - 30)))
"),"#DIV/0!")</f>
        <v>#DIV/0!</v>
      </c>
    </row>
    <row r="1956" spans="1:14" x14ac:dyDescent="0.2">
      <c r="A1956" s="41"/>
      <c r="B1956" s="32"/>
      <c r="C1956" s="32"/>
      <c r="D1956" s="33"/>
      <c r="E1956" s="33"/>
      <c r="F1956" s="33"/>
      <c r="G1956" s="19" t="e">
        <f t="shared" si="35"/>
        <v>#DIV/0!</v>
      </c>
      <c r="H1956" s="20" t="str">
        <f ca="1">IFERROR(__xludf.DUMMYFUNCTION("IF(COUNTIFS($C$2:C1956, C1956, $A$2:A1956, ""&lt;="" &amp; A1956) &lt; 30, AVERAGEIF($C$2:C1956, C1956, $G$2:G1956), AVERAGE(FILTER($G$2:G1956, $C$2:C1956 = C1956, $A$2:A1956 &gt;= A1956 - 30)))
"),"#DIV/0!")</f>
        <v>#DIV/0!</v>
      </c>
      <c r="I1956" s="20" t="e">
        <f t="shared" ca="1" si="36"/>
        <v>#DIV/0!</v>
      </c>
      <c r="J1956" s="20" t="str">
        <f ca="1">IFERROR(__xludf.DUMMYFUNCTION("IF(OR($I1956=2, $I1956=3), 0, IFERROR(COUNTIFS($C$2:C1956, $C1956, $A$2:A1956, ""&gt;""&amp;IFERROR(MAX(FILTER($A$2:A1956, $C$2:C1956=$C1956, $I$2:I1956&lt;&gt;1)), 0), $I$2:I1956, 1),1))
"),"#DIV/0!")</f>
        <v>#DIV/0!</v>
      </c>
      <c r="K1956" s="7" t="e">
        <f t="shared" ca="1" si="37"/>
        <v>#DIV/0!</v>
      </c>
      <c r="L1956" s="20" t="e">
        <f t="shared" ca="1" si="38"/>
        <v>#DIV/0!</v>
      </c>
      <c r="M1956" s="21" t="e">
        <f t="shared" ca="1" si="39"/>
        <v>#DIV/0!</v>
      </c>
      <c r="N1956" s="20" t="str">
        <f ca="1">IFERROR(__xludf.DUMMYFUNCTION("IF(COUNTIFS($C$2:C1956, C1956, $A$2:A1956, ""&lt;="" &amp; A1956) &lt; 30, STDEV.P(FILTER($G$2:G1956, $C$2:C1956 = C1956)), STDEV.P(FILTER($G$2:G1956, $C$2:C1956 = C1956, $A$2:A1956 &gt;= A1956 - 30)))
"),"#DIV/0!")</f>
        <v>#DIV/0!</v>
      </c>
    </row>
    <row r="1957" spans="1:14" x14ac:dyDescent="0.2">
      <c r="A1957" s="41"/>
      <c r="B1957" s="32"/>
      <c r="C1957" s="32"/>
      <c r="D1957" s="33"/>
      <c r="E1957" s="33"/>
      <c r="F1957" s="33"/>
      <c r="G1957" s="19" t="e">
        <f t="shared" si="35"/>
        <v>#DIV/0!</v>
      </c>
      <c r="H1957" s="20" t="str">
        <f ca="1">IFERROR(__xludf.DUMMYFUNCTION("IF(COUNTIFS($C$2:C1957, C1957, $A$2:A1957, ""&lt;="" &amp; A1957) &lt; 30, AVERAGEIF($C$2:C1957, C1957, $G$2:G1957), AVERAGE(FILTER($G$2:G1957, $C$2:C1957 = C1957, $A$2:A1957 &gt;= A1957 - 30)))
"),"#DIV/0!")</f>
        <v>#DIV/0!</v>
      </c>
      <c r="I1957" s="20" t="e">
        <f t="shared" ca="1" si="36"/>
        <v>#DIV/0!</v>
      </c>
      <c r="J1957" s="20" t="str">
        <f ca="1">IFERROR(__xludf.DUMMYFUNCTION("IF(OR($I1957=2, $I1957=3), 0, IFERROR(COUNTIFS($C$2:C1957, $C1957, $A$2:A1957, ""&gt;""&amp;IFERROR(MAX(FILTER($A$2:A1957, $C$2:C1957=$C1957, $I$2:I1957&lt;&gt;1)), 0), $I$2:I1957, 1),1))
"),"#DIV/0!")</f>
        <v>#DIV/0!</v>
      </c>
      <c r="K1957" s="7" t="e">
        <f t="shared" ca="1" si="37"/>
        <v>#DIV/0!</v>
      </c>
      <c r="L1957" s="20" t="e">
        <f t="shared" ca="1" si="38"/>
        <v>#DIV/0!</v>
      </c>
      <c r="M1957" s="21" t="e">
        <f t="shared" ca="1" si="39"/>
        <v>#DIV/0!</v>
      </c>
      <c r="N1957" s="20" t="str">
        <f ca="1">IFERROR(__xludf.DUMMYFUNCTION("IF(COUNTIFS($C$2:C1957, C1957, $A$2:A1957, ""&lt;="" &amp; A1957) &lt; 30, STDEV.P(FILTER($G$2:G1957, $C$2:C1957 = C1957)), STDEV.P(FILTER($G$2:G1957, $C$2:C1957 = C1957, $A$2:A1957 &gt;= A1957 - 30)))
"),"#DIV/0!")</f>
        <v>#DIV/0!</v>
      </c>
    </row>
    <row r="1958" spans="1:14" x14ac:dyDescent="0.2">
      <c r="A1958" s="41"/>
      <c r="B1958" s="32"/>
      <c r="C1958" s="32"/>
      <c r="D1958" s="33"/>
      <c r="E1958" s="33"/>
      <c r="F1958" s="33"/>
      <c r="G1958" s="19" t="e">
        <f t="shared" si="35"/>
        <v>#DIV/0!</v>
      </c>
      <c r="H1958" s="20" t="str">
        <f ca="1">IFERROR(__xludf.DUMMYFUNCTION("IF(COUNTIFS($C$2:C1958, C1958, $A$2:A1958, ""&lt;="" &amp; A1958) &lt; 30, AVERAGEIF($C$2:C1958, C1958, $G$2:G1958), AVERAGE(FILTER($G$2:G1958, $C$2:C1958 = C1958, $A$2:A1958 &gt;= A1958 - 30)))
"),"#DIV/0!")</f>
        <v>#DIV/0!</v>
      </c>
      <c r="I1958" s="20" t="e">
        <f t="shared" ca="1" si="36"/>
        <v>#DIV/0!</v>
      </c>
      <c r="J1958" s="20" t="str">
        <f ca="1">IFERROR(__xludf.DUMMYFUNCTION("IF(OR($I1958=2, $I1958=3), 0, IFERROR(COUNTIFS($C$2:C1958, $C1958, $A$2:A1958, ""&gt;""&amp;IFERROR(MAX(FILTER($A$2:A1958, $C$2:C1958=$C1958, $I$2:I1958&lt;&gt;1)), 0), $I$2:I1958, 1),1))
"),"#DIV/0!")</f>
        <v>#DIV/0!</v>
      </c>
      <c r="K1958" s="7" t="e">
        <f t="shared" ca="1" si="37"/>
        <v>#DIV/0!</v>
      </c>
      <c r="L1958" s="20" t="e">
        <f t="shared" ca="1" si="38"/>
        <v>#DIV/0!</v>
      </c>
      <c r="M1958" s="21" t="e">
        <f t="shared" ca="1" si="39"/>
        <v>#DIV/0!</v>
      </c>
      <c r="N1958" s="20" t="str">
        <f ca="1">IFERROR(__xludf.DUMMYFUNCTION("IF(COUNTIFS($C$2:C1958, C1958, $A$2:A1958, ""&lt;="" &amp; A1958) &lt; 30, STDEV.P(FILTER($G$2:G1958, $C$2:C1958 = C1958)), STDEV.P(FILTER($G$2:G1958, $C$2:C1958 = C1958, $A$2:A1958 &gt;= A1958 - 30)))
"),"#DIV/0!")</f>
        <v>#DIV/0!</v>
      </c>
    </row>
    <row r="1959" spans="1:14" x14ac:dyDescent="0.2">
      <c r="A1959" s="41"/>
      <c r="B1959" s="32"/>
      <c r="C1959" s="32"/>
      <c r="D1959" s="33"/>
      <c r="E1959" s="33"/>
      <c r="F1959" s="33"/>
      <c r="G1959" s="19" t="e">
        <f t="shared" si="35"/>
        <v>#DIV/0!</v>
      </c>
      <c r="H1959" s="20" t="str">
        <f ca="1">IFERROR(__xludf.DUMMYFUNCTION("IF(COUNTIFS($C$2:C1959, C1959, $A$2:A1959, ""&lt;="" &amp; A1959) &lt; 30, AVERAGEIF($C$2:C1959, C1959, $G$2:G1959), AVERAGE(FILTER($G$2:G1959, $C$2:C1959 = C1959, $A$2:A1959 &gt;= A1959 - 30)))
"),"#DIV/0!")</f>
        <v>#DIV/0!</v>
      </c>
      <c r="I1959" s="20" t="e">
        <f t="shared" ca="1" si="36"/>
        <v>#DIV/0!</v>
      </c>
      <c r="J1959" s="20" t="str">
        <f ca="1">IFERROR(__xludf.DUMMYFUNCTION("IF(OR($I1959=2, $I1959=3), 0, IFERROR(COUNTIFS($C$2:C1959, $C1959, $A$2:A1959, ""&gt;""&amp;IFERROR(MAX(FILTER($A$2:A1959, $C$2:C1959=$C1959, $I$2:I1959&lt;&gt;1)), 0), $I$2:I1959, 1),1))
"),"#DIV/0!")</f>
        <v>#DIV/0!</v>
      </c>
      <c r="K1959" s="7" t="e">
        <f t="shared" ca="1" si="37"/>
        <v>#DIV/0!</v>
      </c>
      <c r="L1959" s="20" t="e">
        <f t="shared" ca="1" si="38"/>
        <v>#DIV/0!</v>
      </c>
      <c r="M1959" s="21" t="e">
        <f t="shared" ca="1" si="39"/>
        <v>#DIV/0!</v>
      </c>
      <c r="N1959" s="20" t="str">
        <f ca="1">IFERROR(__xludf.DUMMYFUNCTION("IF(COUNTIFS($C$2:C1959, C1959, $A$2:A1959, ""&lt;="" &amp; A1959) &lt; 30, STDEV.P(FILTER($G$2:G1959, $C$2:C1959 = C1959)), STDEV.P(FILTER($G$2:G1959, $C$2:C1959 = C1959, $A$2:A1959 &gt;= A1959 - 30)))
"),"#DIV/0!")</f>
        <v>#DIV/0!</v>
      </c>
    </row>
    <row r="1960" spans="1:14" x14ac:dyDescent="0.2">
      <c r="A1960" s="41"/>
      <c r="B1960" s="32"/>
      <c r="C1960" s="32"/>
      <c r="D1960" s="33"/>
      <c r="E1960" s="33"/>
      <c r="F1960" s="33"/>
      <c r="G1960" s="19" t="e">
        <f t="shared" si="35"/>
        <v>#DIV/0!</v>
      </c>
      <c r="H1960" s="20" t="str">
        <f ca="1">IFERROR(__xludf.DUMMYFUNCTION("IF(COUNTIFS($C$2:C1960, C1960, $A$2:A1960, ""&lt;="" &amp; A1960) &lt; 30, AVERAGEIF($C$2:C1960, C1960, $G$2:G1960), AVERAGE(FILTER($G$2:G1960, $C$2:C1960 = C1960, $A$2:A1960 &gt;= A1960 - 30)))
"),"#DIV/0!")</f>
        <v>#DIV/0!</v>
      </c>
      <c r="I1960" s="20" t="e">
        <f t="shared" ca="1" si="36"/>
        <v>#DIV/0!</v>
      </c>
      <c r="J1960" s="20" t="str">
        <f ca="1">IFERROR(__xludf.DUMMYFUNCTION("IF(OR($I1960=2, $I1960=3), 0, IFERROR(COUNTIFS($C$2:C1960, $C1960, $A$2:A1960, ""&gt;""&amp;IFERROR(MAX(FILTER($A$2:A1960, $C$2:C1960=$C1960, $I$2:I1960&lt;&gt;1)), 0), $I$2:I1960, 1),1))
"),"#DIV/0!")</f>
        <v>#DIV/0!</v>
      </c>
      <c r="K1960" s="7" t="e">
        <f t="shared" ca="1" si="37"/>
        <v>#DIV/0!</v>
      </c>
      <c r="L1960" s="20" t="e">
        <f t="shared" ca="1" si="38"/>
        <v>#DIV/0!</v>
      </c>
      <c r="M1960" s="21" t="e">
        <f t="shared" ca="1" si="39"/>
        <v>#DIV/0!</v>
      </c>
      <c r="N1960" s="20" t="str">
        <f ca="1">IFERROR(__xludf.DUMMYFUNCTION("IF(COUNTIFS($C$2:C1960, C1960, $A$2:A1960, ""&lt;="" &amp; A1960) &lt; 30, STDEV.P(FILTER($G$2:G1960, $C$2:C1960 = C1960)), STDEV.P(FILTER($G$2:G1960, $C$2:C1960 = C1960, $A$2:A1960 &gt;= A1960 - 30)))
"),"#DIV/0!")</f>
        <v>#DIV/0!</v>
      </c>
    </row>
    <row r="1961" spans="1:14" x14ac:dyDescent="0.2">
      <c r="A1961" s="41"/>
      <c r="B1961" s="32"/>
      <c r="C1961" s="32"/>
      <c r="D1961" s="33"/>
      <c r="E1961" s="33"/>
      <c r="F1961" s="33"/>
      <c r="G1961" s="19" t="e">
        <f t="shared" si="35"/>
        <v>#DIV/0!</v>
      </c>
      <c r="H1961" s="20" t="str">
        <f ca="1">IFERROR(__xludf.DUMMYFUNCTION("IF(COUNTIFS($C$2:C1961, C1961, $A$2:A1961, ""&lt;="" &amp; A1961) &lt; 30, AVERAGEIF($C$2:C1961, C1961, $G$2:G1961), AVERAGE(FILTER($G$2:G1961, $C$2:C1961 = C1961, $A$2:A1961 &gt;= A1961 - 30)))
"),"#DIV/0!")</f>
        <v>#DIV/0!</v>
      </c>
      <c r="I1961" s="20" t="e">
        <f t="shared" ca="1" si="36"/>
        <v>#DIV/0!</v>
      </c>
      <c r="J1961" s="20" t="str">
        <f ca="1">IFERROR(__xludf.DUMMYFUNCTION("IF(OR($I1961=2, $I1961=3), 0, IFERROR(COUNTIFS($C$2:C1961, $C1961, $A$2:A1961, ""&gt;""&amp;IFERROR(MAX(FILTER($A$2:A1961, $C$2:C1961=$C1961, $I$2:I1961&lt;&gt;1)), 0), $I$2:I1961, 1),1))
"),"#DIV/0!")</f>
        <v>#DIV/0!</v>
      </c>
      <c r="K1961" s="7" t="e">
        <f t="shared" ca="1" si="37"/>
        <v>#DIV/0!</v>
      </c>
      <c r="L1961" s="20" t="e">
        <f t="shared" ca="1" si="38"/>
        <v>#DIV/0!</v>
      </c>
      <c r="M1961" s="21" t="e">
        <f t="shared" ca="1" si="39"/>
        <v>#DIV/0!</v>
      </c>
      <c r="N1961" s="20" t="str">
        <f ca="1">IFERROR(__xludf.DUMMYFUNCTION("IF(COUNTIFS($C$2:C1961, C1961, $A$2:A1961, ""&lt;="" &amp; A1961) &lt; 30, STDEV.P(FILTER($G$2:G1961, $C$2:C1961 = C1961)), STDEV.P(FILTER($G$2:G1961, $C$2:C1961 = C1961, $A$2:A1961 &gt;= A1961 - 30)))
"),"#DIV/0!")</f>
        <v>#DIV/0!</v>
      </c>
    </row>
    <row r="1962" spans="1:14" x14ac:dyDescent="0.2">
      <c r="A1962" s="41"/>
      <c r="B1962" s="32"/>
      <c r="C1962" s="32"/>
      <c r="D1962" s="33"/>
      <c r="E1962" s="33"/>
      <c r="F1962" s="33"/>
      <c r="G1962" s="19" t="e">
        <f t="shared" si="35"/>
        <v>#DIV/0!</v>
      </c>
      <c r="H1962" s="20" t="str">
        <f ca="1">IFERROR(__xludf.DUMMYFUNCTION("IF(COUNTIFS($C$2:C1962, C1962, $A$2:A1962, ""&lt;="" &amp; A1962) &lt; 30, AVERAGEIF($C$2:C1962, C1962, $G$2:G1962), AVERAGE(FILTER($G$2:G1962, $C$2:C1962 = C1962, $A$2:A1962 &gt;= A1962 - 30)))
"),"#DIV/0!")</f>
        <v>#DIV/0!</v>
      </c>
      <c r="I1962" s="20" t="e">
        <f t="shared" ca="1" si="36"/>
        <v>#DIV/0!</v>
      </c>
      <c r="J1962" s="20" t="str">
        <f ca="1">IFERROR(__xludf.DUMMYFUNCTION("IF(OR($I1962=2, $I1962=3), 0, IFERROR(COUNTIFS($C$2:C1962, $C1962, $A$2:A1962, ""&gt;""&amp;IFERROR(MAX(FILTER($A$2:A1962, $C$2:C1962=$C1962, $I$2:I1962&lt;&gt;1)), 0), $I$2:I1962, 1),1))
"),"#DIV/0!")</f>
        <v>#DIV/0!</v>
      </c>
      <c r="K1962" s="7" t="e">
        <f t="shared" ca="1" si="37"/>
        <v>#DIV/0!</v>
      </c>
      <c r="L1962" s="20" t="e">
        <f t="shared" ca="1" si="38"/>
        <v>#DIV/0!</v>
      </c>
      <c r="M1962" s="21" t="e">
        <f t="shared" ca="1" si="39"/>
        <v>#DIV/0!</v>
      </c>
      <c r="N1962" s="20" t="str">
        <f ca="1">IFERROR(__xludf.DUMMYFUNCTION("IF(COUNTIFS($C$2:C1962, C1962, $A$2:A1962, ""&lt;="" &amp; A1962) &lt; 30, STDEV.P(FILTER($G$2:G1962, $C$2:C1962 = C1962)), STDEV.P(FILTER($G$2:G1962, $C$2:C1962 = C1962, $A$2:A1962 &gt;= A1962 - 30)))
"),"#DIV/0!")</f>
        <v>#DIV/0!</v>
      </c>
    </row>
    <row r="1963" spans="1:14" x14ac:dyDescent="0.2">
      <c r="A1963" s="41"/>
      <c r="B1963" s="32"/>
      <c r="C1963" s="32"/>
      <c r="D1963" s="33"/>
      <c r="E1963" s="33"/>
      <c r="F1963" s="33"/>
      <c r="G1963" s="19" t="e">
        <f t="shared" si="35"/>
        <v>#DIV/0!</v>
      </c>
      <c r="H1963" s="20" t="str">
        <f ca="1">IFERROR(__xludf.DUMMYFUNCTION("IF(COUNTIFS($C$2:C1963, C1963, $A$2:A1963, ""&lt;="" &amp; A1963) &lt; 30, AVERAGEIF($C$2:C1963, C1963, $G$2:G1963), AVERAGE(FILTER($G$2:G1963, $C$2:C1963 = C1963, $A$2:A1963 &gt;= A1963 - 30)))
"),"#DIV/0!")</f>
        <v>#DIV/0!</v>
      </c>
      <c r="I1963" s="20" t="e">
        <f t="shared" ca="1" si="36"/>
        <v>#DIV/0!</v>
      </c>
      <c r="J1963" s="20" t="str">
        <f ca="1">IFERROR(__xludf.DUMMYFUNCTION("IF(OR($I1963=2, $I1963=3), 0, IFERROR(COUNTIFS($C$2:C1963, $C1963, $A$2:A1963, ""&gt;""&amp;IFERROR(MAX(FILTER($A$2:A1963, $C$2:C1963=$C1963, $I$2:I1963&lt;&gt;1)), 0), $I$2:I1963, 1),1))
"),"#DIV/0!")</f>
        <v>#DIV/0!</v>
      </c>
      <c r="K1963" s="7" t="e">
        <f t="shared" ca="1" si="37"/>
        <v>#DIV/0!</v>
      </c>
      <c r="L1963" s="20" t="e">
        <f t="shared" ca="1" si="38"/>
        <v>#DIV/0!</v>
      </c>
      <c r="M1963" s="21" t="e">
        <f t="shared" ca="1" si="39"/>
        <v>#DIV/0!</v>
      </c>
      <c r="N1963" s="20" t="str">
        <f ca="1">IFERROR(__xludf.DUMMYFUNCTION("IF(COUNTIFS($C$2:C1963, C1963, $A$2:A1963, ""&lt;="" &amp; A1963) &lt; 30, STDEV.P(FILTER($G$2:G1963, $C$2:C1963 = C1963)), STDEV.P(FILTER($G$2:G1963, $C$2:C1963 = C1963, $A$2:A1963 &gt;= A1963 - 30)))
"),"#DIV/0!")</f>
        <v>#DIV/0!</v>
      </c>
    </row>
    <row r="1964" spans="1:14" x14ac:dyDescent="0.2">
      <c r="A1964" s="41"/>
      <c r="B1964" s="32"/>
      <c r="C1964" s="32"/>
      <c r="D1964" s="33"/>
      <c r="E1964" s="33"/>
      <c r="F1964" s="33"/>
      <c r="G1964" s="19" t="e">
        <f t="shared" si="35"/>
        <v>#DIV/0!</v>
      </c>
      <c r="H1964" s="20" t="str">
        <f ca="1">IFERROR(__xludf.DUMMYFUNCTION("IF(COUNTIFS($C$2:C1964, C1964, $A$2:A1964, ""&lt;="" &amp; A1964) &lt; 30, AVERAGEIF($C$2:C1964, C1964, $G$2:G1964), AVERAGE(FILTER($G$2:G1964, $C$2:C1964 = C1964, $A$2:A1964 &gt;= A1964 - 30)))
"),"#DIV/0!")</f>
        <v>#DIV/0!</v>
      </c>
      <c r="I1964" s="20" t="e">
        <f t="shared" ca="1" si="36"/>
        <v>#DIV/0!</v>
      </c>
      <c r="J1964" s="20" t="str">
        <f ca="1">IFERROR(__xludf.DUMMYFUNCTION("IF(OR($I1964=2, $I1964=3), 0, IFERROR(COUNTIFS($C$2:C1964, $C1964, $A$2:A1964, ""&gt;""&amp;IFERROR(MAX(FILTER($A$2:A1964, $C$2:C1964=$C1964, $I$2:I1964&lt;&gt;1)), 0), $I$2:I1964, 1),1))
"),"#DIV/0!")</f>
        <v>#DIV/0!</v>
      </c>
      <c r="K1964" s="7" t="e">
        <f t="shared" ca="1" si="37"/>
        <v>#DIV/0!</v>
      </c>
      <c r="L1964" s="20" t="e">
        <f t="shared" ca="1" si="38"/>
        <v>#DIV/0!</v>
      </c>
      <c r="M1964" s="21" t="e">
        <f t="shared" ca="1" si="39"/>
        <v>#DIV/0!</v>
      </c>
      <c r="N1964" s="20" t="str">
        <f ca="1">IFERROR(__xludf.DUMMYFUNCTION("IF(COUNTIFS($C$2:C1964, C1964, $A$2:A1964, ""&lt;="" &amp; A1964) &lt; 30, STDEV.P(FILTER($G$2:G1964, $C$2:C1964 = C1964)), STDEV.P(FILTER($G$2:G1964, $C$2:C1964 = C1964, $A$2:A1964 &gt;= A1964 - 30)))
"),"#DIV/0!")</f>
        <v>#DIV/0!</v>
      </c>
    </row>
    <row r="1965" spans="1:14" x14ac:dyDescent="0.2">
      <c r="A1965" s="41"/>
      <c r="B1965" s="32"/>
      <c r="C1965" s="32"/>
      <c r="D1965" s="33"/>
      <c r="E1965" s="33"/>
      <c r="F1965" s="33"/>
      <c r="G1965" s="19" t="e">
        <f t="shared" si="35"/>
        <v>#DIV/0!</v>
      </c>
      <c r="H1965" s="20" t="str">
        <f ca="1">IFERROR(__xludf.DUMMYFUNCTION("IF(COUNTIFS($C$2:C1965, C1965, $A$2:A1965, ""&lt;="" &amp; A1965) &lt; 30, AVERAGEIF($C$2:C1965, C1965, $G$2:G1965), AVERAGE(FILTER($G$2:G1965, $C$2:C1965 = C1965, $A$2:A1965 &gt;= A1965 - 30)))
"),"#DIV/0!")</f>
        <v>#DIV/0!</v>
      </c>
      <c r="I1965" s="20" t="e">
        <f t="shared" ca="1" si="36"/>
        <v>#DIV/0!</v>
      </c>
      <c r="J1965" s="20" t="str">
        <f ca="1">IFERROR(__xludf.DUMMYFUNCTION("IF(OR($I1965=2, $I1965=3), 0, IFERROR(COUNTIFS($C$2:C1965, $C1965, $A$2:A1965, ""&gt;""&amp;IFERROR(MAX(FILTER($A$2:A1965, $C$2:C1965=$C1965, $I$2:I1965&lt;&gt;1)), 0), $I$2:I1965, 1),1))
"),"#DIV/0!")</f>
        <v>#DIV/0!</v>
      </c>
      <c r="K1965" s="7" t="e">
        <f t="shared" ca="1" si="37"/>
        <v>#DIV/0!</v>
      </c>
      <c r="L1965" s="20" t="e">
        <f t="shared" ca="1" si="38"/>
        <v>#DIV/0!</v>
      </c>
      <c r="M1965" s="21" t="e">
        <f t="shared" ca="1" si="39"/>
        <v>#DIV/0!</v>
      </c>
      <c r="N1965" s="20" t="str">
        <f ca="1">IFERROR(__xludf.DUMMYFUNCTION("IF(COUNTIFS($C$2:C1965, C1965, $A$2:A1965, ""&lt;="" &amp; A1965) &lt; 30, STDEV.P(FILTER($G$2:G1965, $C$2:C1965 = C1965)), STDEV.P(FILTER($G$2:G1965, $C$2:C1965 = C1965, $A$2:A1965 &gt;= A1965 - 30)))
"),"#DIV/0!")</f>
        <v>#DIV/0!</v>
      </c>
    </row>
    <row r="1966" spans="1:14" x14ac:dyDescent="0.2">
      <c r="A1966" s="41"/>
      <c r="B1966" s="32"/>
      <c r="C1966" s="32"/>
      <c r="D1966" s="33"/>
      <c r="E1966" s="33"/>
      <c r="F1966" s="33"/>
      <c r="G1966" s="19" t="e">
        <f t="shared" si="35"/>
        <v>#DIV/0!</v>
      </c>
      <c r="H1966" s="20" t="str">
        <f ca="1">IFERROR(__xludf.DUMMYFUNCTION("IF(COUNTIFS($C$2:C1966, C1966, $A$2:A1966, ""&lt;="" &amp; A1966) &lt; 30, AVERAGEIF($C$2:C1966, C1966, $G$2:G1966), AVERAGE(FILTER($G$2:G1966, $C$2:C1966 = C1966, $A$2:A1966 &gt;= A1966 - 30)))
"),"#DIV/0!")</f>
        <v>#DIV/0!</v>
      </c>
      <c r="I1966" s="20" t="e">
        <f t="shared" ca="1" si="36"/>
        <v>#DIV/0!</v>
      </c>
      <c r="J1966" s="20" t="str">
        <f ca="1">IFERROR(__xludf.DUMMYFUNCTION("IF(OR($I1966=2, $I1966=3), 0, IFERROR(COUNTIFS($C$2:C1966, $C1966, $A$2:A1966, ""&gt;""&amp;IFERROR(MAX(FILTER($A$2:A1966, $C$2:C1966=$C1966, $I$2:I1966&lt;&gt;1)), 0), $I$2:I1966, 1),1))
"),"#DIV/0!")</f>
        <v>#DIV/0!</v>
      </c>
      <c r="K1966" s="7" t="e">
        <f t="shared" ca="1" si="37"/>
        <v>#DIV/0!</v>
      </c>
      <c r="L1966" s="20" t="e">
        <f t="shared" ca="1" si="38"/>
        <v>#DIV/0!</v>
      </c>
      <c r="M1966" s="21" t="e">
        <f t="shared" ca="1" si="39"/>
        <v>#DIV/0!</v>
      </c>
      <c r="N1966" s="20" t="str">
        <f ca="1">IFERROR(__xludf.DUMMYFUNCTION("IF(COUNTIFS($C$2:C1966, C1966, $A$2:A1966, ""&lt;="" &amp; A1966) &lt; 30, STDEV.P(FILTER($G$2:G1966, $C$2:C1966 = C1966)), STDEV.P(FILTER($G$2:G1966, $C$2:C1966 = C1966, $A$2:A1966 &gt;= A1966 - 30)))
"),"#DIV/0!")</f>
        <v>#DIV/0!</v>
      </c>
    </row>
    <row r="1967" spans="1:14" x14ac:dyDescent="0.2">
      <c r="A1967" s="41"/>
      <c r="B1967" s="32"/>
      <c r="C1967" s="32"/>
      <c r="D1967" s="33"/>
      <c r="E1967" s="33"/>
      <c r="F1967" s="33"/>
      <c r="G1967" s="19" t="e">
        <f t="shared" si="35"/>
        <v>#DIV/0!</v>
      </c>
      <c r="H1967" s="20" t="str">
        <f ca="1">IFERROR(__xludf.DUMMYFUNCTION("IF(COUNTIFS($C$2:C1967, C1967, $A$2:A1967, ""&lt;="" &amp; A1967) &lt; 30, AVERAGEIF($C$2:C1967, C1967, $G$2:G1967), AVERAGE(FILTER($G$2:G1967, $C$2:C1967 = C1967, $A$2:A1967 &gt;= A1967 - 30)))
"),"#DIV/0!")</f>
        <v>#DIV/0!</v>
      </c>
      <c r="I1967" s="20" t="e">
        <f t="shared" ca="1" si="36"/>
        <v>#DIV/0!</v>
      </c>
      <c r="J1967" s="20" t="str">
        <f ca="1">IFERROR(__xludf.DUMMYFUNCTION("IF(OR($I1967=2, $I1967=3), 0, IFERROR(COUNTIFS($C$2:C1967, $C1967, $A$2:A1967, ""&gt;""&amp;IFERROR(MAX(FILTER($A$2:A1967, $C$2:C1967=$C1967, $I$2:I1967&lt;&gt;1)), 0), $I$2:I1967, 1),1))
"),"#DIV/0!")</f>
        <v>#DIV/0!</v>
      </c>
      <c r="K1967" s="7" t="e">
        <f t="shared" ca="1" si="37"/>
        <v>#DIV/0!</v>
      </c>
      <c r="L1967" s="20" t="e">
        <f t="shared" ca="1" si="38"/>
        <v>#DIV/0!</v>
      </c>
      <c r="M1967" s="21" t="e">
        <f t="shared" ca="1" si="39"/>
        <v>#DIV/0!</v>
      </c>
      <c r="N1967" s="20" t="str">
        <f ca="1">IFERROR(__xludf.DUMMYFUNCTION("IF(COUNTIFS($C$2:C1967, C1967, $A$2:A1967, ""&lt;="" &amp; A1967) &lt; 30, STDEV.P(FILTER($G$2:G1967, $C$2:C1967 = C1967)), STDEV.P(FILTER($G$2:G1967, $C$2:C1967 = C1967, $A$2:A1967 &gt;= A1967 - 30)))
"),"#DIV/0!")</f>
        <v>#DIV/0!</v>
      </c>
    </row>
    <row r="1968" spans="1:14" x14ac:dyDescent="0.2">
      <c r="A1968" s="41"/>
      <c r="B1968" s="32"/>
      <c r="C1968" s="32"/>
      <c r="D1968" s="33"/>
      <c r="E1968" s="33"/>
      <c r="F1968" s="33"/>
      <c r="G1968" s="19" t="e">
        <f t="shared" si="35"/>
        <v>#DIV/0!</v>
      </c>
      <c r="H1968" s="20" t="str">
        <f ca="1">IFERROR(__xludf.DUMMYFUNCTION("IF(COUNTIFS($C$2:C1968, C1968, $A$2:A1968, ""&lt;="" &amp; A1968) &lt; 30, AVERAGEIF($C$2:C1968, C1968, $G$2:G1968), AVERAGE(FILTER($G$2:G1968, $C$2:C1968 = C1968, $A$2:A1968 &gt;= A1968 - 30)))
"),"#DIV/0!")</f>
        <v>#DIV/0!</v>
      </c>
      <c r="I1968" s="20" t="e">
        <f t="shared" ca="1" si="36"/>
        <v>#DIV/0!</v>
      </c>
      <c r="J1968" s="20" t="str">
        <f ca="1">IFERROR(__xludf.DUMMYFUNCTION("IF(OR($I1968=2, $I1968=3), 0, IFERROR(COUNTIFS($C$2:C1968, $C1968, $A$2:A1968, ""&gt;""&amp;IFERROR(MAX(FILTER($A$2:A1968, $C$2:C1968=$C1968, $I$2:I1968&lt;&gt;1)), 0), $I$2:I1968, 1),1))
"),"#DIV/0!")</f>
        <v>#DIV/0!</v>
      </c>
      <c r="K1968" s="7" t="e">
        <f t="shared" ca="1" si="37"/>
        <v>#DIV/0!</v>
      </c>
      <c r="L1968" s="20" t="e">
        <f t="shared" ca="1" si="38"/>
        <v>#DIV/0!</v>
      </c>
      <c r="M1968" s="21" t="e">
        <f t="shared" ca="1" si="39"/>
        <v>#DIV/0!</v>
      </c>
      <c r="N1968" s="20" t="str">
        <f ca="1">IFERROR(__xludf.DUMMYFUNCTION("IF(COUNTIFS($C$2:C1968, C1968, $A$2:A1968, ""&lt;="" &amp; A1968) &lt; 30, STDEV.P(FILTER($G$2:G1968, $C$2:C1968 = C1968)), STDEV.P(FILTER($G$2:G1968, $C$2:C1968 = C1968, $A$2:A1968 &gt;= A1968 - 30)))
"),"#DIV/0!")</f>
        <v>#DIV/0!</v>
      </c>
    </row>
    <row r="1969" spans="1:14" x14ac:dyDescent="0.2">
      <c r="A1969" s="41"/>
      <c r="B1969" s="32"/>
      <c r="C1969" s="32"/>
      <c r="D1969" s="33"/>
      <c r="E1969" s="33"/>
      <c r="F1969" s="33"/>
      <c r="G1969" s="19" t="e">
        <f t="shared" si="35"/>
        <v>#DIV/0!</v>
      </c>
      <c r="H1969" s="20" t="str">
        <f ca="1">IFERROR(__xludf.DUMMYFUNCTION("IF(COUNTIFS($C$2:C1969, C1969, $A$2:A1969, ""&lt;="" &amp; A1969) &lt; 30, AVERAGEIF($C$2:C1969, C1969, $G$2:G1969), AVERAGE(FILTER($G$2:G1969, $C$2:C1969 = C1969, $A$2:A1969 &gt;= A1969 - 30)))
"),"#DIV/0!")</f>
        <v>#DIV/0!</v>
      </c>
      <c r="I1969" s="20" t="e">
        <f t="shared" ca="1" si="36"/>
        <v>#DIV/0!</v>
      </c>
      <c r="J1969" s="20" t="str">
        <f ca="1">IFERROR(__xludf.DUMMYFUNCTION("IF(OR($I1969=2, $I1969=3), 0, IFERROR(COUNTIFS($C$2:C1969, $C1969, $A$2:A1969, ""&gt;""&amp;IFERROR(MAX(FILTER($A$2:A1969, $C$2:C1969=$C1969, $I$2:I1969&lt;&gt;1)), 0), $I$2:I1969, 1),1))
"),"#DIV/0!")</f>
        <v>#DIV/0!</v>
      </c>
      <c r="K1969" s="7" t="e">
        <f t="shared" ca="1" si="37"/>
        <v>#DIV/0!</v>
      </c>
      <c r="L1969" s="20" t="e">
        <f t="shared" ca="1" si="38"/>
        <v>#DIV/0!</v>
      </c>
      <c r="M1969" s="21" t="e">
        <f t="shared" ca="1" si="39"/>
        <v>#DIV/0!</v>
      </c>
      <c r="N1969" s="20" t="str">
        <f ca="1">IFERROR(__xludf.DUMMYFUNCTION("IF(COUNTIFS($C$2:C1969, C1969, $A$2:A1969, ""&lt;="" &amp; A1969) &lt; 30, STDEV.P(FILTER($G$2:G1969, $C$2:C1969 = C1969)), STDEV.P(FILTER($G$2:G1969, $C$2:C1969 = C1969, $A$2:A1969 &gt;= A1969 - 30)))
"),"#DIV/0!")</f>
        <v>#DIV/0!</v>
      </c>
    </row>
    <row r="1970" spans="1:14" x14ac:dyDescent="0.2">
      <c r="A1970" s="41"/>
      <c r="B1970" s="32"/>
      <c r="C1970" s="32"/>
      <c r="D1970" s="33"/>
      <c r="E1970" s="33"/>
      <c r="F1970" s="33"/>
      <c r="G1970" s="19" t="e">
        <f t="shared" si="35"/>
        <v>#DIV/0!</v>
      </c>
      <c r="H1970" s="20" t="str">
        <f ca="1">IFERROR(__xludf.DUMMYFUNCTION("IF(COUNTIFS($C$2:C1970, C1970, $A$2:A1970, ""&lt;="" &amp; A1970) &lt; 30, AVERAGEIF($C$2:C1970, C1970, $G$2:G1970), AVERAGE(FILTER($G$2:G1970, $C$2:C1970 = C1970, $A$2:A1970 &gt;= A1970 - 30)))
"),"#DIV/0!")</f>
        <v>#DIV/0!</v>
      </c>
      <c r="I1970" s="20" t="e">
        <f t="shared" ca="1" si="36"/>
        <v>#DIV/0!</v>
      </c>
      <c r="J1970" s="20" t="str">
        <f ca="1">IFERROR(__xludf.DUMMYFUNCTION("IF(OR($I1970=2, $I1970=3), 0, IFERROR(COUNTIFS($C$2:C1970, $C1970, $A$2:A1970, ""&gt;""&amp;IFERROR(MAX(FILTER($A$2:A1970, $C$2:C1970=$C1970, $I$2:I1970&lt;&gt;1)), 0), $I$2:I1970, 1),1))
"),"#DIV/0!")</f>
        <v>#DIV/0!</v>
      </c>
      <c r="K1970" s="7" t="e">
        <f t="shared" ca="1" si="37"/>
        <v>#DIV/0!</v>
      </c>
      <c r="L1970" s="20" t="e">
        <f t="shared" ca="1" si="38"/>
        <v>#DIV/0!</v>
      </c>
      <c r="M1970" s="21" t="e">
        <f t="shared" ca="1" si="39"/>
        <v>#DIV/0!</v>
      </c>
      <c r="N1970" s="20" t="str">
        <f ca="1">IFERROR(__xludf.DUMMYFUNCTION("IF(COUNTIFS($C$2:C1970, C1970, $A$2:A1970, ""&lt;="" &amp; A1970) &lt; 30, STDEV.P(FILTER($G$2:G1970, $C$2:C1970 = C1970)), STDEV.P(FILTER($G$2:G1970, $C$2:C1970 = C1970, $A$2:A1970 &gt;= A1970 - 30)))
"),"#DIV/0!")</f>
        <v>#DIV/0!</v>
      </c>
    </row>
    <row r="1971" spans="1:14" x14ac:dyDescent="0.2">
      <c r="A1971" s="41"/>
      <c r="B1971" s="32"/>
      <c r="C1971" s="32"/>
      <c r="D1971" s="33"/>
      <c r="E1971" s="33"/>
      <c r="F1971" s="33"/>
      <c r="G1971" s="19" t="e">
        <f t="shared" si="35"/>
        <v>#DIV/0!</v>
      </c>
      <c r="H1971" s="20" t="str">
        <f ca="1">IFERROR(__xludf.DUMMYFUNCTION("IF(COUNTIFS($C$2:C1971, C1971, $A$2:A1971, ""&lt;="" &amp; A1971) &lt; 30, AVERAGEIF($C$2:C1971, C1971, $G$2:G1971), AVERAGE(FILTER($G$2:G1971, $C$2:C1971 = C1971, $A$2:A1971 &gt;= A1971 - 30)))
"),"#DIV/0!")</f>
        <v>#DIV/0!</v>
      </c>
      <c r="I1971" s="20" t="e">
        <f t="shared" ca="1" si="36"/>
        <v>#DIV/0!</v>
      </c>
      <c r="J1971" s="20" t="str">
        <f ca="1">IFERROR(__xludf.DUMMYFUNCTION("IF(OR($I1971=2, $I1971=3), 0, IFERROR(COUNTIFS($C$2:C1971, $C1971, $A$2:A1971, ""&gt;""&amp;IFERROR(MAX(FILTER($A$2:A1971, $C$2:C1971=$C1971, $I$2:I1971&lt;&gt;1)), 0), $I$2:I1971, 1),1))
"),"#DIV/0!")</f>
        <v>#DIV/0!</v>
      </c>
      <c r="K1971" s="7" t="e">
        <f t="shared" ca="1" si="37"/>
        <v>#DIV/0!</v>
      </c>
      <c r="L1971" s="20" t="e">
        <f t="shared" ca="1" si="38"/>
        <v>#DIV/0!</v>
      </c>
      <c r="M1971" s="21" t="e">
        <f t="shared" ca="1" si="39"/>
        <v>#DIV/0!</v>
      </c>
      <c r="N1971" s="20" t="str">
        <f ca="1">IFERROR(__xludf.DUMMYFUNCTION("IF(COUNTIFS($C$2:C1971, C1971, $A$2:A1971, ""&lt;="" &amp; A1971) &lt; 30, STDEV.P(FILTER($G$2:G1971, $C$2:C1971 = C1971)), STDEV.P(FILTER($G$2:G1971, $C$2:C1971 = C1971, $A$2:A1971 &gt;= A1971 - 30)))
"),"#DIV/0!")</f>
        <v>#DIV/0!</v>
      </c>
    </row>
    <row r="1972" spans="1:14" x14ac:dyDescent="0.2">
      <c r="A1972" s="41"/>
      <c r="B1972" s="32"/>
      <c r="C1972" s="32"/>
      <c r="D1972" s="33"/>
      <c r="E1972" s="33"/>
      <c r="F1972" s="33"/>
      <c r="G1972" s="19" t="e">
        <f t="shared" si="35"/>
        <v>#DIV/0!</v>
      </c>
      <c r="H1972" s="20" t="str">
        <f ca="1">IFERROR(__xludf.DUMMYFUNCTION("IF(COUNTIFS($C$2:C1972, C1972, $A$2:A1972, ""&lt;="" &amp; A1972) &lt; 30, AVERAGEIF($C$2:C1972, C1972, $G$2:G1972), AVERAGE(FILTER($G$2:G1972, $C$2:C1972 = C1972, $A$2:A1972 &gt;= A1972 - 30)))
"),"#DIV/0!")</f>
        <v>#DIV/0!</v>
      </c>
      <c r="I1972" s="20" t="e">
        <f t="shared" ca="1" si="36"/>
        <v>#DIV/0!</v>
      </c>
      <c r="J1972" s="20" t="str">
        <f ca="1">IFERROR(__xludf.DUMMYFUNCTION("IF(OR($I1972=2, $I1972=3), 0, IFERROR(COUNTIFS($C$2:C1972, $C1972, $A$2:A1972, ""&gt;""&amp;IFERROR(MAX(FILTER($A$2:A1972, $C$2:C1972=$C1972, $I$2:I1972&lt;&gt;1)), 0), $I$2:I1972, 1),1))
"),"#DIV/0!")</f>
        <v>#DIV/0!</v>
      </c>
      <c r="K1972" s="7" t="e">
        <f t="shared" ca="1" si="37"/>
        <v>#DIV/0!</v>
      </c>
      <c r="L1972" s="20" t="e">
        <f t="shared" ca="1" si="38"/>
        <v>#DIV/0!</v>
      </c>
      <c r="M1972" s="21" t="e">
        <f t="shared" ca="1" si="39"/>
        <v>#DIV/0!</v>
      </c>
      <c r="N1972" s="20" t="str">
        <f ca="1">IFERROR(__xludf.DUMMYFUNCTION("IF(COUNTIFS($C$2:C1972, C1972, $A$2:A1972, ""&lt;="" &amp; A1972) &lt; 30, STDEV.P(FILTER($G$2:G1972, $C$2:C1972 = C1972)), STDEV.P(FILTER($G$2:G1972, $C$2:C1972 = C1972, $A$2:A1972 &gt;= A1972 - 30)))
"),"#DIV/0!")</f>
        <v>#DIV/0!</v>
      </c>
    </row>
    <row r="1973" spans="1:14" x14ac:dyDescent="0.2">
      <c r="A1973" s="41"/>
      <c r="B1973" s="32"/>
      <c r="C1973" s="32"/>
      <c r="D1973" s="33"/>
      <c r="E1973" s="33"/>
      <c r="F1973" s="33"/>
      <c r="G1973" s="19" t="e">
        <f t="shared" si="35"/>
        <v>#DIV/0!</v>
      </c>
      <c r="H1973" s="20" t="str">
        <f ca="1">IFERROR(__xludf.DUMMYFUNCTION("IF(COUNTIFS($C$2:C1973, C1973, $A$2:A1973, ""&lt;="" &amp; A1973) &lt; 30, AVERAGEIF($C$2:C1973, C1973, $G$2:G1973), AVERAGE(FILTER($G$2:G1973, $C$2:C1973 = C1973, $A$2:A1973 &gt;= A1973 - 30)))
"),"#DIV/0!")</f>
        <v>#DIV/0!</v>
      </c>
      <c r="I1973" s="20" t="e">
        <f t="shared" ca="1" si="36"/>
        <v>#DIV/0!</v>
      </c>
      <c r="J1973" s="20" t="str">
        <f ca="1">IFERROR(__xludf.DUMMYFUNCTION("IF(OR($I1973=2, $I1973=3), 0, IFERROR(COUNTIFS($C$2:C1973, $C1973, $A$2:A1973, ""&gt;""&amp;IFERROR(MAX(FILTER($A$2:A1973, $C$2:C1973=$C1973, $I$2:I1973&lt;&gt;1)), 0), $I$2:I1973, 1),1))
"),"#DIV/0!")</f>
        <v>#DIV/0!</v>
      </c>
      <c r="K1973" s="7" t="e">
        <f t="shared" ca="1" si="37"/>
        <v>#DIV/0!</v>
      </c>
      <c r="L1973" s="20" t="e">
        <f t="shared" ca="1" si="38"/>
        <v>#DIV/0!</v>
      </c>
      <c r="M1973" s="21" t="e">
        <f t="shared" ca="1" si="39"/>
        <v>#DIV/0!</v>
      </c>
      <c r="N1973" s="20" t="str">
        <f ca="1">IFERROR(__xludf.DUMMYFUNCTION("IF(COUNTIFS($C$2:C1973, C1973, $A$2:A1973, ""&lt;="" &amp; A1973) &lt; 30, STDEV.P(FILTER($G$2:G1973, $C$2:C1973 = C1973)), STDEV.P(FILTER($G$2:G1973, $C$2:C1973 = C1973, $A$2:A1973 &gt;= A1973 - 30)))
"),"#DIV/0!")</f>
        <v>#DIV/0!</v>
      </c>
    </row>
    <row r="1974" spans="1:14" x14ac:dyDescent="0.2">
      <c r="A1974" s="41"/>
      <c r="B1974" s="32"/>
      <c r="C1974" s="32"/>
      <c r="D1974" s="33"/>
      <c r="E1974" s="33"/>
      <c r="F1974" s="33"/>
      <c r="G1974" s="19" t="e">
        <f t="shared" si="35"/>
        <v>#DIV/0!</v>
      </c>
      <c r="H1974" s="20" t="str">
        <f ca="1">IFERROR(__xludf.DUMMYFUNCTION("IF(COUNTIFS($C$2:C1974, C1974, $A$2:A1974, ""&lt;="" &amp; A1974) &lt; 30, AVERAGEIF($C$2:C1974, C1974, $G$2:G1974), AVERAGE(FILTER($G$2:G1974, $C$2:C1974 = C1974, $A$2:A1974 &gt;= A1974 - 30)))
"),"#DIV/0!")</f>
        <v>#DIV/0!</v>
      </c>
      <c r="I1974" s="20" t="e">
        <f t="shared" ca="1" si="36"/>
        <v>#DIV/0!</v>
      </c>
      <c r="J1974" s="20" t="str">
        <f ca="1">IFERROR(__xludf.DUMMYFUNCTION("IF(OR($I1974=2, $I1974=3), 0, IFERROR(COUNTIFS($C$2:C1974, $C1974, $A$2:A1974, ""&gt;""&amp;IFERROR(MAX(FILTER($A$2:A1974, $C$2:C1974=$C1974, $I$2:I1974&lt;&gt;1)), 0), $I$2:I1974, 1),1))
"),"#DIV/0!")</f>
        <v>#DIV/0!</v>
      </c>
      <c r="K1974" s="7" t="e">
        <f t="shared" ca="1" si="37"/>
        <v>#DIV/0!</v>
      </c>
      <c r="L1974" s="20" t="e">
        <f t="shared" ca="1" si="38"/>
        <v>#DIV/0!</v>
      </c>
      <c r="M1974" s="21" t="e">
        <f t="shared" ca="1" si="39"/>
        <v>#DIV/0!</v>
      </c>
      <c r="N1974" s="20" t="str">
        <f ca="1">IFERROR(__xludf.DUMMYFUNCTION("IF(COUNTIFS($C$2:C1974, C1974, $A$2:A1974, ""&lt;="" &amp; A1974) &lt; 30, STDEV.P(FILTER($G$2:G1974, $C$2:C1974 = C1974)), STDEV.P(FILTER($G$2:G1974, $C$2:C1974 = C1974, $A$2:A1974 &gt;= A1974 - 30)))
"),"#DIV/0!")</f>
        <v>#DIV/0!</v>
      </c>
    </row>
    <row r="1975" spans="1:14" x14ac:dyDescent="0.2">
      <c r="A1975" s="41"/>
      <c r="B1975" s="32"/>
      <c r="C1975" s="32"/>
      <c r="D1975" s="33"/>
      <c r="E1975" s="33"/>
      <c r="F1975" s="33"/>
      <c r="G1975" s="19" t="e">
        <f t="shared" si="35"/>
        <v>#DIV/0!</v>
      </c>
      <c r="H1975" s="20" t="str">
        <f ca="1">IFERROR(__xludf.DUMMYFUNCTION("IF(COUNTIFS($C$2:C1975, C1975, $A$2:A1975, ""&lt;="" &amp; A1975) &lt; 30, AVERAGEIF($C$2:C1975, C1975, $G$2:G1975), AVERAGE(FILTER($G$2:G1975, $C$2:C1975 = C1975, $A$2:A1975 &gt;= A1975 - 30)))
"),"#DIV/0!")</f>
        <v>#DIV/0!</v>
      </c>
      <c r="I1975" s="20" t="e">
        <f t="shared" ca="1" si="36"/>
        <v>#DIV/0!</v>
      </c>
      <c r="J1975" s="20" t="str">
        <f ca="1">IFERROR(__xludf.DUMMYFUNCTION("IF(OR($I1975=2, $I1975=3), 0, IFERROR(COUNTIFS($C$2:C1975, $C1975, $A$2:A1975, ""&gt;""&amp;IFERROR(MAX(FILTER($A$2:A1975, $C$2:C1975=$C1975, $I$2:I1975&lt;&gt;1)), 0), $I$2:I1975, 1),1))
"),"#DIV/0!")</f>
        <v>#DIV/0!</v>
      </c>
      <c r="K1975" s="7" t="e">
        <f t="shared" ca="1" si="37"/>
        <v>#DIV/0!</v>
      </c>
      <c r="L1975" s="20" t="e">
        <f t="shared" ca="1" si="38"/>
        <v>#DIV/0!</v>
      </c>
      <c r="M1975" s="21" t="e">
        <f t="shared" ca="1" si="39"/>
        <v>#DIV/0!</v>
      </c>
      <c r="N1975" s="20" t="str">
        <f ca="1">IFERROR(__xludf.DUMMYFUNCTION("IF(COUNTIFS($C$2:C1975, C1975, $A$2:A1975, ""&lt;="" &amp; A1975) &lt; 30, STDEV.P(FILTER($G$2:G1975, $C$2:C1975 = C1975)), STDEV.P(FILTER($G$2:G1975, $C$2:C1975 = C1975, $A$2:A1975 &gt;= A1975 - 30)))
"),"#DIV/0!")</f>
        <v>#DIV/0!</v>
      </c>
    </row>
    <row r="1976" spans="1:14" x14ac:dyDescent="0.2">
      <c r="A1976" s="41"/>
      <c r="B1976" s="32"/>
      <c r="C1976" s="32"/>
      <c r="D1976" s="33"/>
      <c r="E1976" s="33"/>
      <c r="F1976" s="33"/>
      <c r="G1976" s="19" t="e">
        <f t="shared" si="35"/>
        <v>#DIV/0!</v>
      </c>
      <c r="H1976" s="20" t="str">
        <f ca="1">IFERROR(__xludf.DUMMYFUNCTION("IF(COUNTIFS($C$2:C1976, C1976, $A$2:A1976, ""&lt;="" &amp; A1976) &lt; 30, AVERAGEIF($C$2:C1976, C1976, $G$2:G1976), AVERAGE(FILTER($G$2:G1976, $C$2:C1976 = C1976, $A$2:A1976 &gt;= A1976 - 30)))
"),"#DIV/0!")</f>
        <v>#DIV/0!</v>
      </c>
      <c r="I1976" s="20" t="e">
        <f t="shared" ca="1" si="36"/>
        <v>#DIV/0!</v>
      </c>
      <c r="J1976" s="20" t="str">
        <f ca="1">IFERROR(__xludf.DUMMYFUNCTION("IF(OR($I1976=2, $I1976=3), 0, IFERROR(COUNTIFS($C$2:C1976, $C1976, $A$2:A1976, ""&gt;""&amp;IFERROR(MAX(FILTER($A$2:A1976, $C$2:C1976=$C1976, $I$2:I1976&lt;&gt;1)), 0), $I$2:I1976, 1),1))
"),"#DIV/0!")</f>
        <v>#DIV/0!</v>
      </c>
      <c r="K1976" s="7" t="e">
        <f t="shared" ca="1" si="37"/>
        <v>#DIV/0!</v>
      </c>
      <c r="L1976" s="20" t="e">
        <f t="shared" ca="1" si="38"/>
        <v>#DIV/0!</v>
      </c>
      <c r="M1976" s="21" t="e">
        <f t="shared" ca="1" si="39"/>
        <v>#DIV/0!</v>
      </c>
      <c r="N1976" s="20" t="str">
        <f ca="1">IFERROR(__xludf.DUMMYFUNCTION("IF(COUNTIFS($C$2:C1976, C1976, $A$2:A1976, ""&lt;="" &amp; A1976) &lt; 30, STDEV.P(FILTER($G$2:G1976, $C$2:C1976 = C1976)), STDEV.P(FILTER($G$2:G1976, $C$2:C1976 = C1976, $A$2:A1976 &gt;= A1976 - 30)))
"),"#DIV/0!")</f>
        <v>#DIV/0!</v>
      </c>
    </row>
    <row r="1977" spans="1:14" x14ac:dyDescent="0.2">
      <c r="A1977" s="41"/>
      <c r="B1977" s="32"/>
      <c r="C1977" s="32"/>
      <c r="D1977" s="33"/>
      <c r="E1977" s="33"/>
      <c r="F1977" s="33"/>
      <c r="G1977" s="19" t="e">
        <f t="shared" si="35"/>
        <v>#DIV/0!</v>
      </c>
      <c r="H1977" s="20" t="str">
        <f ca="1">IFERROR(__xludf.DUMMYFUNCTION("IF(COUNTIFS($C$2:C1977, C1977, $A$2:A1977, ""&lt;="" &amp; A1977) &lt; 30, AVERAGEIF($C$2:C1977, C1977, $G$2:G1977), AVERAGE(FILTER($G$2:G1977, $C$2:C1977 = C1977, $A$2:A1977 &gt;= A1977 - 30)))
"),"#DIV/0!")</f>
        <v>#DIV/0!</v>
      </c>
      <c r="I1977" s="20" t="e">
        <f t="shared" ca="1" si="36"/>
        <v>#DIV/0!</v>
      </c>
      <c r="J1977" s="20" t="str">
        <f ca="1">IFERROR(__xludf.DUMMYFUNCTION("IF(OR($I1977=2, $I1977=3), 0, IFERROR(COUNTIFS($C$2:C1977, $C1977, $A$2:A1977, ""&gt;""&amp;IFERROR(MAX(FILTER($A$2:A1977, $C$2:C1977=$C1977, $I$2:I1977&lt;&gt;1)), 0), $I$2:I1977, 1),1))
"),"#DIV/0!")</f>
        <v>#DIV/0!</v>
      </c>
      <c r="K1977" s="7" t="e">
        <f t="shared" ca="1" si="37"/>
        <v>#DIV/0!</v>
      </c>
      <c r="L1977" s="20" t="e">
        <f t="shared" ca="1" si="38"/>
        <v>#DIV/0!</v>
      </c>
      <c r="M1977" s="21" t="e">
        <f t="shared" ca="1" si="39"/>
        <v>#DIV/0!</v>
      </c>
      <c r="N1977" s="20" t="str">
        <f ca="1">IFERROR(__xludf.DUMMYFUNCTION("IF(COUNTIFS($C$2:C1977, C1977, $A$2:A1977, ""&lt;="" &amp; A1977) &lt; 30, STDEV.P(FILTER($G$2:G1977, $C$2:C1977 = C1977)), STDEV.P(FILTER($G$2:G1977, $C$2:C1977 = C1977, $A$2:A1977 &gt;= A1977 - 30)))
"),"#DIV/0!")</f>
        <v>#DIV/0!</v>
      </c>
    </row>
    <row r="1978" spans="1:14" x14ac:dyDescent="0.2">
      <c r="A1978" s="41"/>
      <c r="B1978" s="32"/>
      <c r="C1978" s="32"/>
      <c r="D1978" s="33"/>
      <c r="E1978" s="33"/>
      <c r="F1978" s="33"/>
      <c r="G1978" s="19" t="e">
        <f t="shared" si="35"/>
        <v>#DIV/0!</v>
      </c>
      <c r="H1978" s="20" t="str">
        <f ca="1">IFERROR(__xludf.DUMMYFUNCTION("IF(COUNTIFS($C$2:C1978, C1978, $A$2:A1978, ""&lt;="" &amp; A1978) &lt; 30, AVERAGEIF($C$2:C1978, C1978, $G$2:G1978), AVERAGE(FILTER($G$2:G1978, $C$2:C1978 = C1978, $A$2:A1978 &gt;= A1978 - 30)))
"),"#DIV/0!")</f>
        <v>#DIV/0!</v>
      </c>
      <c r="I1978" s="20" t="e">
        <f t="shared" ca="1" si="36"/>
        <v>#DIV/0!</v>
      </c>
      <c r="J1978" s="20" t="str">
        <f ca="1">IFERROR(__xludf.DUMMYFUNCTION("IF(OR($I1978=2, $I1978=3), 0, IFERROR(COUNTIFS($C$2:C1978, $C1978, $A$2:A1978, ""&gt;""&amp;IFERROR(MAX(FILTER($A$2:A1978, $C$2:C1978=$C1978, $I$2:I1978&lt;&gt;1)), 0), $I$2:I1978, 1),1))
"),"#DIV/0!")</f>
        <v>#DIV/0!</v>
      </c>
      <c r="K1978" s="7" t="e">
        <f t="shared" ca="1" si="37"/>
        <v>#DIV/0!</v>
      </c>
      <c r="L1978" s="20" t="e">
        <f t="shared" ca="1" si="38"/>
        <v>#DIV/0!</v>
      </c>
      <c r="M1978" s="21" t="e">
        <f t="shared" ca="1" si="39"/>
        <v>#DIV/0!</v>
      </c>
      <c r="N1978" s="20" t="str">
        <f ca="1">IFERROR(__xludf.DUMMYFUNCTION("IF(COUNTIFS($C$2:C1978, C1978, $A$2:A1978, ""&lt;="" &amp; A1978) &lt; 30, STDEV.P(FILTER($G$2:G1978, $C$2:C1978 = C1978)), STDEV.P(FILTER($G$2:G1978, $C$2:C1978 = C1978, $A$2:A1978 &gt;= A1978 - 30)))
"),"#DIV/0!")</f>
        <v>#DIV/0!</v>
      </c>
    </row>
    <row r="1979" spans="1:14" x14ac:dyDescent="0.2">
      <c r="A1979" s="41"/>
      <c r="B1979" s="32"/>
      <c r="C1979" s="32"/>
      <c r="D1979" s="33"/>
      <c r="E1979" s="33"/>
      <c r="F1979" s="33"/>
      <c r="G1979" s="19" t="e">
        <f t="shared" si="35"/>
        <v>#DIV/0!</v>
      </c>
      <c r="H1979" s="20" t="str">
        <f ca="1">IFERROR(__xludf.DUMMYFUNCTION("IF(COUNTIFS($C$2:C1979, C1979, $A$2:A1979, ""&lt;="" &amp; A1979) &lt; 30, AVERAGEIF($C$2:C1979, C1979, $G$2:G1979), AVERAGE(FILTER($G$2:G1979, $C$2:C1979 = C1979, $A$2:A1979 &gt;= A1979 - 30)))
"),"#DIV/0!")</f>
        <v>#DIV/0!</v>
      </c>
      <c r="I1979" s="20" t="e">
        <f t="shared" ca="1" si="36"/>
        <v>#DIV/0!</v>
      </c>
      <c r="J1979" s="20" t="str">
        <f ca="1">IFERROR(__xludf.DUMMYFUNCTION("IF(OR($I1979=2, $I1979=3), 0, IFERROR(COUNTIFS($C$2:C1979, $C1979, $A$2:A1979, ""&gt;""&amp;IFERROR(MAX(FILTER($A$2:A1979, $C$2:C1979=$C1979, $I$2:I1979&lt;&gt;1)), 0), $I$2:I1979, 1),1))
"),"#DIV/0!")</f>
        <v>#DIV/0!</v>
      </c>
      <c r="K1979" s="7" t="e">
        <f t="shared" ca="1" si="37"/>
        <v>#DIV/0!</v>
      </c>
      <c r="L1979" s="20" t="e">
        <f t="shared" ca="1" si="38"/>
        <v>#DIV/0!</v>
      </c>
      <c r="M1979" s="21" t="e">
        <f t="shared" ca="1" si="39"/>
        <v>#DIV/0!</v>
      </c>
      <c r="N1979" s="20" t="str">
        <f ca="1">IFERROR(__xludf.DUMMYFUNCTION("IF(COUNTIFS($C$2:C1979, C1979, $A$2:A1979, ""&lt;="" &amp; A1979) &lt; 30, STDEV.P(FILTER($G$2:G1979, $C$2:C1979 = C1979)), STDEV.P(FILTER($G$2:G1979, $C$2:C1979 = C1979, $A$2:A1979 &gt;= A1979 - 30)))
"),"#DIV/0!")</f>
        <v>#DIV/0!</v>
      </c>
    </row>
    <row r="1980" spans="1:14" x14ac:dyDescent="0.2">
      <c r="A1980" s="41"/>
      <c r="B1980" s="32"/>
      <c r="C1980" s="32"/>
      <c r="D1980" s="33"/>
      <c r="E1980" s="33"/>
      <c r="F1980" s="33"/>
      <c r="G1980" s="19" t="e">
        <f t="shared" si="35"/>
        <v>#DIV/0!</v>
      </c>
      <c r="H1980" s="20" t="str">
        <f ca="1">IFERROR(__xludf.DUMMYFUNCTION("IF(COUNTIFS($C$2:C1980, C1980, $A$2:A1980, ""&lt;="" &amp; A1980) &lt; 30, AVERAGEIF($C$2:C1980, C1980, $G$2:G1980), AVERAGE(FILTER($G$2:G1980, $C$2:C1980 = C1980, $A$2:A1980 &gt;= A1980 - 30)))
"),"#DIV/0!")</f>
        <v>#DIV/0!</v>
      </c>
      <c r="I1980" s="20" t="e">
        <f t="shared" ca="1" si="36"/>
        <v>#DIV/0!</v>
      </c>
      <c r="J1980" s="20" t="str">
        <f ca="1">IFERROR(__xludf.DUMMYFUNCTION("IF(OR($I1980=2, $I1980=3), 0, IFERROR(COUNTIFS($C$2:C1980, $C1980, $A$2:A1980, ""&gt;""&amp;IFERROR(MAX(FILTER($A$2:A1980, $C$2:C1980=$C1980, $I$2:I1980&lt;&gt;1)), 0), $I$2:I1980, 1),1))
"),"#DIV/0!")</f>
        <v>#DIV/0!</v>
      </c>
      <c r="K1980" s="7" t="e">
        <f t="shared" ca="1" si="37"/>
        <v>#DIV/0!</v>
      </c>
      <c r="L1980" s="20" t="e">
        <f t="shared" ca="1" si="38"/>
        <v>#DIV/0!</v>
      </c>
      <c r="M1980" s="21" t="e">
        <f t="shared" ca="1" si="39"/>
        <v>#DIV/0!</v>
      </c>
      <c r="N1980" s="20" t="str">
        <f ca="1">IFERROR(__xludf.DUMMYFUNCTION("IF(COUNTIFS($C$2:C1980, C1980, $A$2:A1980, ""&lt;="" &amp; A1980) &lt; 30, STDEV.P(FILTER($G$2:G1980, $C$2:C1980 = C1980)), STDEV.P(FILTER($G$2:G1980, $C$2:C1980 = C1980, $A$2:A1980 &gt;= A1980 - 30)))
"),"#DIV/0!")</f>
        <v>#DIV/0!</v>
      </c>
    </row>
    <row r="1981" spans="1:14" x14ac:dyDescent="0.2">
      <c r="A1981" s="41"/>
      <c r="B1981" s="32"/>
      <c r="C1981" s="32"/>
      <c r="D1981" s="33"/>
      <c r="E1981" s="33"/>
      <c r="F1981" s="33"/>
      <c r="G1981" s="19" t="e">
        <f t="shared" si="35"/>
        <v>#DIV/0!</v>
      </c>
      <c r="H1981" s="20" t="str">
        <f ca="1">IFERROR(__xludf.DUMMYFUNCTION("IF(COUNTIFS($C$2:C1981, C1981, $A$2:A1981, ""&lt;="" &amp; A1981) &lt; 30, AVERAGEIF($C$2:C1981, C1981, $G$2:G1981), AVERAGE(FILTER($G$2:G1981, $C$2:C1981 = C1981, $A$2:A1981 &gt;= A1981 - 30)))
"),"#DIV/0!")</f>
        <v>#DIV/0!</v>
      </c>
      <c r="I1981" s="20" t="e">
        <f t="shared" ca="1" si="36"/>
        <v>#DIV/0!</v>
      </c>
      <c r="J1981" s="20" t="str">
        <f ca="1">IFERROR(__xludf.DUMMYFUNCTION("IF(OR($I1981=2, $I1981=3), 0, IFERROR(COUNTIFS($C$2:C1981, $C1981, $A$2:A1981, ""&gt;""&amp;IFERROR(MAX(FILTER($A$2:A1981, $C$2:C1981=$C1981, $I$2:I1981&lt;&gt;1)), 0), $I$2:I1981, 1),1))
"),"#DIV/0!")</f>
        <v>#DIV/0!</v>
      </c>
      <c r="K1981" s="7" t="e">
        <f t="shared" ca="1" si="37"/>
        <v>#DIV/0!</v>
      </c>
      <c r="L1981" s="20" t="e">
        <f t="shared" ca="1" si="38"/>
        <v>#DIV/0!</v>
      </c>
      <c r="M1981" s="21" t="e">
        <f t="shared" ca="1" si="39"/>
        <v>#DIV/0!</v>
      </c>
      <c r="N1981" s="20" t="str">
        <f ca="1">IFERROR(__xludf.DUMMYFUNCTION("IF(COUNTIFS($C$2:C1981, C1981, $A$2:A1981, ""&lt;="" &amp; A1981) &lt; 30, STDEV.P(FILTER($G$2:G1981, $C$2:C1981 = C1981)), STDEV.P(FILTER($G$2:G1981, $C$2:C1981 = C1981, $A$2:A1981 &gt;= A1981 - 30)))
"),"#DIV/0!")</f>
        <v>#DIV/0!</v>
      </c>
    </row>
    <row r="1982" spans="1:14" x14ac:dyDescent="0.2">
      <c r="A1982" s="41"/>
      <c r="B1982" s="32"/>
      <c r="C1982" s="32"/>
      <c r="D1982" s="33"/>
      <c r="E1982" s="33"/>
      <c r="F1982" s="33"/>
      <c r="G1982" s="19" t="e">
        <f t="shared" si="35"/>
        <v>#DIV/0!</v>
      </c>
      <c r="H1982" s="20" t="str">
        <f ca="1">IFERROR(__xludf.DUMMYFUNCTION("IF(COUNTIFS($C$2:C1982, C1982, $A$2:A1982, ""&lt;="" &amp; A1982) &lt; 30, AVERAGEIF($C$2:C1982, C1982, $G$2:G1982), AVERAGE(FILTER($G$2:G1982, $C$2:C1982 = C1982, $A$2:A1982 &gt;= A1982 - 30)))
"),"#DIV/0!")</f>
        <v>#DIV/0!</v>
      </c>
      <c r="I1982" s="20" t="e">
        <f t="shared" ca="1" si="36"/>
        <v>#DIV/0!</v>
      </c>
      <c r="J1982" s="20" t="str">
        <f ca="1">IFERROR(__xludf.DUMMYFUNCTION("IF(OR($I1982=2, $I1982=3), 0, IFERROR(COUNTIFS($C$2:C1982, $C1982, $A$2:A1982, ""&gt;""&amp;IFERROR(MAX(FILTER($A$2:A1982, $C$2:C1982=$C1982, $I$2:I1982&lt;&gt;1)), 0), $I$2:I1982, 1),1))
"),"#DIV/0!")</f>
        <v>#DIV/0!</v>
      </c>
      <c r="K1982" s="7" t="e">
        <f t="shared" ca="1" si="37"/>
        <v>#DIV/0!</v>
      </c>
      <c r="L1982" s="20" t="e">
        <f t="shared" ca="1" si="38"/>
        <v>#DIV/0!</v>
      </c>
      <c r="M1982" s="21" t="e">
        <f t="shared" ca="1" si="39"/>
        <v>#DIV/0!</v>
      </c>
      <c r="N1982" s="20" t="str">
        <f ca="1">IFERROR(__xludf.DUMMYFUNCTION("IF(COUNTIFS($C$2:C1982, C1982, $A$2:A1982, ""&lt;="" &amp; A1982) &lt; 30, STDEV.P(FILTER($G$2:G1982, $C$2:C1982 = C1982)), STDEV.P(FILTER($G$2:G1982, $C$2:C1982 = C1982, $A$2:A1982 &gt;= A1982 - 30)))
"),"#DIV/0!")</f>
        <v>#DIV/0!</v>
      </c>
    </row>
    <row r="1983" spans="1:14" x14ac:dyDescent="0.2">
      <c r="A1983" s="41"/>
      <c r="B1983" s="32"/>
      <c r="C1983" s="32"/>
      <c r="D1983" s="33"/>
      <c r="E1983" s="33"/>
      <c r="F1983" s="33"/>
      <c r="G1983" s="19" t="e">
        <f t="shared" si="35"/>
        <v>#DIV/0!</v>
      </c>
      <c r="H1983" s="20" t="str">
        <f ca="1">IFERROR(__xludf.DUMMYFUNCTION("IF(COUNTIFS($C$2:C1983, C1983, $A$2:A1983, ""&lt;="" &amp; A1983) &lt; 30, AVERAGEIF($C$2:C1983, C1983, $G$2:G1983), AVERAGE(FILTER($G$2:G1983, $C$2:C1983 = C1983, $A$2:A1983 &gt;= A1983 - 30)))
"),"#DIV/0!")</f>
        <v>#DIV/0!</v>
      </c>
      <c r="I1983" s="20" t="e">
        <f t="shared" ca="1" si="36"/>
        <v>#DIV/0!</v>
      </c>
      <c r="J1983" s="20" t="str">
        <f ca="1">IFERROR(__xludf.DUMMYFUNCTION("IF(OR($I1983=2, $I1983=3), 0, IFERROR(COUNTIFS($C$2:C1983, $C1983, $A$2:A1983, ""&gt;""&amp;IFERROR(MAX(FILTER($A$2:A1983, $C$2:C1983=$C1983, $I$2:I1983&lt;&gt;1)), 0), $I$2:I1983, 1),1))
"),"#DIV/0!")</f>
        <v>#DIV/0!</v>
      </c>
      <c r="K1983" s="7" t="e">
        <f t="shared" ca="1" si="37"/>
        <v>#DIV/0!</v>
      </c>
      <c r="L1983" s="20" t="e">
        <f t="shared" ca="1" si="38"/>
        <v>#DIV/0!</v>
      </c>
      <c r="M1983" s="21" t="e">
        <f t="shared" ca="1" si="39"/>
        <v>#DIV/0!</v>
      </c>
      <c r="N1983" s="20" t="str">
        <f ca="1">IFERROR(__xludf.DUMMYFUNCTION("IF(COUNTIFS($C$2:C1983, C1983, $A$2:A1983, ""&lt;="" &amp; A1983) &lt; 30, STDEV.P(FILTER($G$2:G1983, $C$2:C1983 = C1983)), STDEV.P(FILTER($G$2:G1983, $C$2:C1983 = C1983, $A$2:A1983 &gt;= A1983 - 30)))
"),"#DIV/0!")</f>
        <v>#DIV/0!</v>
      </c>
    </row>
    <row r="1984" spans="1:14" x14ac:dyDescent="0.2">
      <c r="A1984" s="41"/>
      <c r="B1984" s="32"/>
      <c r="C1984" s="32"/>
      <c r="D1984" s="33"/>
      <c r="E1984" s="33"/>
      <c r="F1984" s="33"/>
      <c r="G1984" s="19" t="e">
        <f t="shared" si="35"/>
        <v>#DIV/0!</v>
      </c>
      <c r="H1984" s="20" t="str">
        <f ca="1">IFERROR(__xludf.DUMMYFUNCTION("IF(COUNTIFS($C$2:C1984, C1984, $A$2:A1984, ""&lt;="" &amp; A1984) &lt; 30, AVERAGEIF($C$2:C1984, C1984, $G$2:G1984), AVERAGE(FILTER($G$2:G1984, $C$2:C1984 = C1984, $A$2:A1984 &gt;= A1984 - 30)))
"),"#DIV/0!")</f>
        <v>#DIV/0!</v>
      </c>
      <c r="I1984" s="20" t="e">
        <f t="shared" ca="1" si="36"/>
        <v>#DIV/0!</v>
      </c>
      <c r="J1984" s="20" t="str">
        <f ca="1">IFERROR(__xludf.DUMMYFUNCTION("IF(OR($I1984=2, $I1984=3), 0, IFERROR(COUNTIFS($C$2:C1984, $C1984, $A$2:A1984, ""&gt;""&amp;IFERROR(MAX(FILTER($A$2:A1984, $C$2:C1984=$C1984, $I$2:I1984&lt;&gt;1)), 0), $I$2:I1984, 1),1))
"),"#DIV/0!")</f>
        <v>#DIV/0!</v>
      </c>
      <c r="K1984" s="7" t="e">
        <f t="shared" ca="1" si="37"/>
        <v>#DIV/0!</v>
      </c>
      <c r="L1984" s="20" t="e">
        <f t="shared" ca="1" si="38"/>
        <v>#DIV/0!</v>
      </c>
      <c r="M1984" s="21" t="e">
        <f t="shared" ca="1" si="39"/>
        <v>#DIV/0!</v>
      </c>
      <c r="N1984" s="20" t="str">
        <f ca="1">IFERROR(__xludf.DUMMYFUNCTION("IF(COUNTIFS($C$2:C1984, C1984, $A$2:A1984, ""&lt;="" &amp; A1984) &lt; 30, STDEV.P(FILTER($G$2:G1984, $C$2:C1984 = C1984)), STDEV.P(FILTER($G$2:G1984, $C$2:C1984 = C1984, $A$2:A1984 &gt;= A1984 - 30)))
"),"#DIV/0!")</f>
        <v>#DIV/0!</v>
      </c>
    </row>
    <row r="1985" spans="1:14" x14ac:dyDescent="0.2">
      <c r="A1985" s="41"/>
      <c r="B1985" s="32"/>
      <c r="C1985" s="32"/>
      <c r="D1985" s="33"/>
      <c r="E1985" s="33"/>
      <c r="F1985" s="33"/>
      <c r="G1985" s="19" t="e">
        <f t="shared" si="35"/>
        <v>#DIV/0!</v>
      </c>
      <c r="H1985" s="20" t="str">
        <f ca="1">IFERROR(__xludf.DUMMYFUNCTION("IF(COUNTIFS($C$2:C1985, C1985, $A$2:A1985, ""&lt;="" &amp; A1985) &lt; 30, AVERAGEIF($C$2:C1985, C1985, $G$2:G1985), AVERAGE(FILTER($G$2:G1985, $C$2:C1985 = C1985, $A$2:A1985 &gt;= A1985 - 30)))
"),"#DIV/0!")</f>
        <v>#DIV/0!</v>
      </c>
      <c r="I1985" s="20" t="e">
        <f t="shared" ca="1" si="36"/>
        <v>#DIV/0!</v>
      </c>
      <c r="J1985" s="20" t="str">
        <f ca="1">IFERROR(__xludf.DUMMYFUNCTION("IF(OR($I1985=2, $I1985=3), 0, IFERROR(COUNTIFS($C$2:C1985, $C1985, $A$2:A1985, ""&gt;""&amp;IFERROR(MAX(FILTER($A$2:A1985, $C$2:C1985=$C1985, $I$2:I1985&lt;&gt;1)), 0), $I$2:I1985, 1),1))
"),"#DIV/0!")</f>
        <v>#DIV/0!</v>
      </c>
      <c r="K1985" s="7" t="e">
        <f t="shared" ca="1" si="37"/>
        <v>#DIV/0!</v>
      </c>
      <c r="L1985" s="20" t="e">
        <f t="shared" ca="1" si="38"/>
        <v>#DIV/0!</v>
      </c>
      <c r="M1985" s="21" t="e">
        <f t="shared" ca="1" si="39"/>
        <v>#DIV/0!</v>
      </c>
      <c r="N1985" s="20" t="str">
        <f ca="1">IFERROR(__xludf.DUMMYFUNCTION("IF(COUNTIFS($C$2:C1985, C1985, $A$2:A1985, ""&lt;="" &amp; A1985) &lt; 30, STDEV.P(FILTER($G$2:G1985, $C$2:C1985 = C1985)), STDEV.P(FILTER($G$2:G1985, $C$2:C1985 = C1985, $A$2:A1985 &gt;= A1985 - 30)))
"),"#DIV/0!")</f>
        <v>#DIV/0!</v>
      </c>
    </row>
    <row r="1986" spans="1:14" x14ac:dyDescent="0.2">
      <c r="A1986" s="41"/>
      <c r="B1986" s="32"/>
      <c r="C1986" s="32"/>
      <c r="D1986" s="33"/>
      <c r="E1986" s="33"/>
      <c r="F1986" s="33"/>
      <c r="G1986" s="19" t="e">
        <f t="shared" si="35"/>
        <v>#DIV/0!</v>
      </c>
      <c r="H1986" s="20" t="str">
        <f ca="1">IFERROR(__xludf.DUMMYFUNCTION("IF(COUNTIFS($C$2:C1986, C1986, $A$2:A1986, ""&lt;="" &amp; A1986) &lt; 30, AVERAGEIF($C$2:C1986, C1986, $G$2:G1986), AVERAGE(FILTER($G$2:G1986, $C$2:C1986 = C1986, $A$2:A1986 &gt;= A1986 - 30)))
"),"#DIV/0!")</f>
        <v>#DIV/0!</v>
      </c>
      <c r="I1986" s="20" t="e">
        <f t="shared" ca="1" si="36"/>
        <v>#DIV/0!</v>
      </c>
      <c r="J1986" s="20" t="str">
        <f ca="1">IFERROR(__xludf.DUMMYFUNCTION("IF(OR($I1986=2, $I1986=3), 0, IFERROR(COUNTIFS($C$2:C1986, $C1986, $A$2:A1986, ""&gt;""&amp;IFERROR(MAX(FILTER($A$2:A1986, $C$2:C1986=$C1986, $I$2:I1986&lt;&gt;1)), 0), $I$2:I1986, 1),1))
"),"#DIV/0!")</f>
        <v>#DIV/0!</v>
      </c>
      <c r="K1986" s="7" t="e">
        <f t="shared" ca="1" si="37"/>
        <v>#DIV/0!</v>
      </c>
      <c r="L1986" s="20" t="e">
        <f t="shared" ca="1" si="38"/>
        <v>#DIV/0!</v>
      </c>
      <c r="M1986" s="21" t="e">
        <f t="shared" ca="1" si="39"/>
        <v>#DIV/0!</v>
      </c>
      <c r="N1986" s="20" t="str">
        <f ca="1">IFERROR(__xludf.DUMMYFUNCTION("IF(COUNTIFS($C$2:C1986, C1986, $A$2:A1986, ""&lt;="" &amp; A1986) &lt; 30, STDEV.P(FILTER($G$2:G1986, $C$2:C1986 = C1986)), STDEV.P(FILTER($G$2:G1986, $C$2:C1986 = C1986, $A$2:A1986 &gt;= A1986 - 30)))
"),"#DIV/0!")</f>
        <v>#DIV/0!</v>
      </c>
    </row>
    <row r="1987" spans="1:14" x14ac:dyDescent="0.2">
      <c r="A1987" s="41"/>
      <c r="B1987" s="32"/>
      <c r="C1987" s="32"/>
      <c r="D1987" s="33"/>
      <c r="E1987" s="33"/>
      <c r="F1987" s="33"/>
      <c r="G1987" s="19" t="e">
        <f t="shared" si="35"/>
        <v>#DIV/0!</v>
      </c>
      <c r="H1987" s="20" t="str">
        <f ca="1">IFERROR(__xludf.DUMMYFUNCTION("IF(COUNTIFS($C$2:C1987, C1987, $A$2:A1987, ""&lt;="" &amp; A1987) &lt; 30, AVERAGEIF($C$2:C1987, C1987, $G$2:G1987), AVERAGE(FILTER($G$2:G1987, $C$2:C1987 = C1987, $A$2:A1987 &gt;= A1987 - 30)))
"),"#DIV/0!")</f>
        <v>#DIV/0!</v>
      </c>
      <c r="I1987" s="20" t="e">
        <f t="shared" ca="1" si="36"/>
        <v>#DIV/0!</v>
      </c>
      <c r="J1987" s="20" t="str">
        <f ca="1">IFERROR(__xludf.DUMMYFUNCTION("IF(OR($I1987=2, $I1987=3), 0, IFERROR(COUNTIFS($C$2:C1987, $C1987, $A$2:A1987, ""&gt;""&amp;IFERROR(MAX(FILTER($A$2:A1987, $C$2:C1987=$C1987, $I$2:I1987&lt;&gt;1)), 0), $I$2:I1987, 1),1))
"),"#DIV/0!")</f>
        <v>#DIV/0!</v>
      </c>
      <c r="K1987" s="7" t="e">
        <f t="shared" ca="1" si="37"/>
        <v>#DIV/0!</v>
      </c>
      <c r="L1987" s="20" t="e">
        <f t="shared" ca="1" si="38"/>
        <v>#DIV/0!</v>
      </c>
      <c r="M1987" s="21" t="e">
        <f t="shared" ca="1" si="39"/>
        <v>#DIV/0!</v>
      </c>
      <c r="N1987" s="20" t="str">
        <f ca="1">IFERROR(__xludf.DUMMYFUNCTION("IF(COUNTIFS($C$2:C1987, C1987, $A$2:A1987, ""&lt;="" &amp; A1987) &lt; 30, STDEV.P(FILTER($G$2:G1987, $C$2:C1987 = C1987)), STDEV.P(FILTER($G$2:G1987, $C$2:C1987 = C1987, $A$2:A1987 &gt;= A1987 - 30)))
"),"#DIV/0!")</f>
        <v>#DIV/0!</v>
      </c>
    </row>
    <row r="1988" spans="1:14" x14ac:dyDescent="0.2">
      <c r="A1988" s="41"/>
      <c r="B1988" s="32"/>
      <c r="C1988" s="32"/>
      <c r="D1988" s="33"/>
      <c r="E1988" s="33"/>
      <c r="F1988" s="33"/>
      <c r="G1988" s="19" t="e">
        <f t="shared" si="35"/>
        <v>#DIV/0!</v>
      </c>
      <c r="H1988" s="20" t="str">
        <f ca="1">IFERROR(__xludf.DUMMYFUNCTION("IF(COUNTIFS($C$2:C1988, C1988, $A$2:A1988, ""&lt;="" &amp; A1988) &lt; 30, AVERAGEIF($C$2:C1988, C1988, $G$2:G1988), AVERAGE(FILTER($G$2:G1988, $C$2:C1988 = C1988, $A$2:A1988 &gt;= A1988 - 30)))
"),"#DIV/0!")</f>
        <v>#DIV/0!</v>
      </c>
      <c r="I1988" s="20" t="e">
        <f t="shared" ca="1" si="36"/>
        <v>#DIV/0!</v>
      </c>
      <c r="J1988" s="20" t="str">
        <f ca="1">IFERROR(__xludf.DUMMYFUNCTION("IF(OR($I1988=2, $I1988=3), 0, IFERROR(COUNTIFS($C$2:C1988, $C1988, $A$2:A1988, ""&gt;""&amp;IFERROR(MAX(FILTER($A$2:A1988, $C$2:C1988=$C1988, $I$2:I1988&lt;&gt;1)), 0), $I$2:I1988, 1),1))
"),"#DIV/0!")</f>
        <v>#DIV/0!</v>
      </c>
      <c r="K1988" s="7" t="e">
        <f t="shared" ca="1" si="37"/>
        <v>#DIV/0!</v>
      </c>
      <c r="L1988" s="20" t="e">
        <f t="shared" ca="1" si="38"/>
        <v>#DIV/0!</v>
      </c>
      <c r="M1988" s="21" t="e">
        <f t="shared" ca="1" si="39"/>
        <v>#DIV/0!</v>
      </c>
      <c r="N1988" s="20" t="str">
        <f ca="1">IFERROR(__xludf.DUMMYFUNCTION("IF(COUNTIFS($C$2:C1988, C1988, $A$2:A1988, ""&lt;="" &amp; A1988) &lt; 30, STDEV.P(FILTER($G$2:G1988, $C$2:C1988 = C1988)), STDEV.P(FILTER($G$2:G1988, $C$2:C1988 = C1988, $A$2:A1988 &gt;= A1988 - 30)))
"),"#DIV/0!")</f>
        <v>#DIV/0!</v>
      </c>
    </row>
  </sheetData>
  <conditionalFormatting sqref="I1:I1988">
    <cfRule type="cellIs" dxfId="3" priority="1" operator="equal">
      <formula>3</formula>
    </cfRule>
    <cfRule type="cellIs" dxfId="2" priority="2" operator="equal">
      <formula>2</formula>
    </cfRule>
    <cfRule type="cellIs" dxfId="1" priority="3" operator="equal">
      <formula>1</formula>
    </cfRule>
  </conditionalFormatting>
  <conditionalFormatting sqref="J1:J1988">
    <cfRule type="cellIs" dxfId="0" priority="4" operator="greaterThanOrEqual">
      <formula>2</formula>
    </cfRule>
  </conditionalFormatting>
  <pageMargins left="0.7" right="0.7" top="0.75" bottom="0.75" header="0.3" footer="0.3"/>
  <tableParts count="1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5"/>
  <sheetViews>
    <sheetView workbookViewId="0"/>
  </sheetViews>
  <sheetFormatPr defaultColWidth="12.5703125" defaultRowHeight="15.75" customHeight="1" x14ac:dyDescent="0.2"/>
  <cols>
    <col min="3" max="3" width="19.42578125" customWidth="1"/>
  </cols>
  <sheetData>
    <row r="1" spans="1:8" x14ac:dyDescent="0.2">
      <c r="A1" s="1">
        <v>46037</v>
      </c>
      <c r="B1" s="2" t="b">
        <v>0</v>
      </c>
      <c r="C1" s="3" t="s">
        <v>0</v>
      </c>
      <c r="G1" s="3" t="s">
        <v>1</v>
      </c>
      <c r="H1" s="3" t="s">
        <v>2</v>
      </c>
    </row>
    <row r="2" spans="1:8" x14ac:dyDescent="0.2">
      <c r="A2" s="4">
        <v>46037</v>
      </c>
      <c r="B2" s="5" t="b">
        <v>0</v>
      </c>
      <c r="C2" s="3" t="s">
        <v>3</v>
      </c>
      <c r="G2" s="3" t="s">
        <v>4</v>
      </c>
      <c r="H2" s="3" t="s">
        <v>5</v>
      </c>
    </row>
    <row r="3" spans="1:8" x14ac:dyDescent="0.2">
      <c r="A3" s="4">
        <v>46037</v>
      </c>
      <c r="B3" s="5" t="b">
        <v>0</v>
      </c>
      <c r="C3" s="3" t="s">
        <v>6</v>
      </c>
      <c r="G3" s="3" t="s">
        <v>7</v>
      </c>
      <c r="H3" s="3" t="s">
        <v>8</v>
      </c>
    </row>
    <row r="4" spans="1:8" x14ac:dyDescent="0.2">
      <c r="A4" s="4">
        <v>46037</v>
      </c>
      <c r="B4" s="5" t="b">
        <v>0</v>
      </c>
      <c r="C4" s="3" t="s">
        <v>9</v>
      </c>
      <c r="G4" s="3" t="s">
        <v>10</v>
      </c>
      <c r="H4" s="3" t="s">
        <v>11</v>
      </c>
    </row>
    <row r="5" spans="1:8" x14ac:dyDescent="0.2">
      <c r="A5" s="4">
        <v>46037</v>
      </c>
      <c r="B5" s="5" t="b">
        <v>0</v>
      </c>
      <c r="C5" s="3" t="s">
        <v>12</v>
      </c>
      <c r="G5" s="3" t="s">
        <v>13</v>
      </c>
      <c r="H5" s="3" t="s">
        <v>14</v>
      </c>
    </row>
    <row r="6" spans="1:8" x14ac:dyDescent="0.2">
      <c r="A6" s="4">
        <v>46037</v>
      </c>
      <c r="B6" s="5" t="b">
        <v>0</v>
      </c>
      <c r="C6" s="3" t="s">
        <v>15</v>
      </c>
      <c r="G6" s="3" t="s">
        <v>16</v>
      </c>
      <c r="H6" s="3" t="s">
        <v>17</v>
      </c>
    </row>
    <row r="7" spans="1:8" x14ac:dyDescent="0.2">
      <c r="A7" s="6">
        <v>46037</v>
      </c>
      <c r="B7" s="7" t="b">
        <v>0</v>
      </c>
      <c r="C7" s="3" t="s">
        <v>18</v>
      </c>
      <c r="G7" s="3" t="s">
        <v>19</v>
      </c>
      <c r="H7" s="3" t="s">
        <v>20</v>
      </c>
    </row>
    <row r="8" spans="1:8" x14ac:dyDescent="0.2">
      <c r="A8" s="6">
        <v>46037</v>
      </c>
      <c r="B8" s="7" t="b">
        <v>0</v>
      </c>
      <c r="C8" s="3" t="s">
        <v>21</v>
      </c>
      <c r="G8" s="3" t="s">
        <v>22</v>
      </c>
      <c r="H8" s="3" t="s">
        <v>23</v>
      </c>
    </row>
    <row r="9" spans="1:8" x14ac:dyDescent="0.2">
      <c r="A9" s="6">
        <v>46037</v>
      </c>
      <c r="B9" s="7" t="b">
        <v>0</v>
      </c>
      <c r="C9" s="3" t="s">
        <v>24</v>
      </c>
      <c r="G9" s="3" t="s">
        <v>25</v>
      </c>
      <c r="H9" s="3" t="s">
        <v>26</v>
      </c>
    </row>
    <row r="10" spans="1:8" x14ac:dyDescent="0.2">
      <c r="A10" s="6">
        <v>46037</v>
      </c>
      <c r="B10" s="7" t="b">
        <v>0</v>
      </c>
      <c r="C10" s="3" t="s">
        <v>27</v>
      </c>
      <c r="G10" s="3" t="s">
        <v>28</v>
      </c>
      <c r="H10" s="3" t="s">
        <v>29</v>
      </c>
    </row>
    <row r="11" spans="1:8" x14ac:dyDescent="0.2">
      <c r="A11" s="6">
        <v>46037</v>
      </c>
      <c r="B11" s="7" t="b">
        <v>0</v>
      </c>
      <c r="C11" s="3" t="s">
        <v>30</v>
      </c>
      <c r="G11" s="3" t="s">
        <v>31</v>
      </c>
      <c r="H11" s="3" t="s">
        <v>32</v>
      </c>
    </row>
    <row r="12" spans="1:8" x14ac:dyDescent="0.2">
      <c r="A12" s="4">
        <v>46037</v>
      </c>
      <c r="B12" s="5" t="b">
        <v>0</v>
      </c>
      <c r="C12" s="3" t="s">
        <v>33</v>
      </c>
      <c r="G12" s="3" t="s">
        <v>34</v>
      </c>
      <c r="H12" s="3" t="s">
        <v>35</v>
      </c>
    </row>
    <row r="13" spans="1:8" x14ac:dyDescent="0.2">
      <c r="A13" s="4">
        <v>46037</v>
      </c>
      <c r="B13" s="5" t="b">
        <v>0</v>
      </c>
      <c r="C13" s="3" t="s">
        <v>36</v>
      </c>
      <c r="G13" s="3" t="s">
        <v>37</v>
      </c>
      <c r="H13" s="3" t="s">
        <v>38</v>
      </c>
    </row>
    <row r="14" spans="1:8" x14ac:dyDescent="0.2">
      <c r="A14" s="4">
        <v>46037</v>
      </c>
      <c r="B14" s="5" t="b">
        <v>0</v>
      </c>
      <c r="C14" s="3" t="s">
        <v>39</v>
      </c>
      <c r="G14" s="3" t="s">
        <v>40</v>
      </c>
      <c r="H14" s="3" t="s">
        <v>41</v>
      </c>
    </row>
    <row r="15" spans="1:8" x14ac:dyDescent="0.2">
      <c r="A15" s="4">
        <v>46037</v>
      </c>
      <c r="B15" s="5" t="b">
        <v>0</v>
      </c>
      <c r="C15" s="3" t="s">
        <v>42</v>
      </c>
      <c r="G15" s="3" t="s">
        <v>43</v>
      </c>
      <c r="H15" s="3" t="s">
        <v>44</v>
      </c>
    </row>
    <row r="16" spans="1:8" x14ac:dyDescent="0.2">
      <c r="A16" s="4">
        <v>46037</v>
      </c>
      <c r="B16" s="5" t="b">
        <v>0</v>
      </c>
      <c r="C16" s="3" t="s">
        <v>45</v>
      </c>
      <c r="G16" s="3" t="s">
        <v>46</v>
      </c>
      <c r="H16" s="3" t="s">
        <v>47</v>
      </c>
    </row>
    <row r="17" spans="1:8" x14ac:dyDescent="0.2">
      <c r="A17" s="4">
        <v>46037</v>
      </c>
      <c r="B17" s="5" t="b">
        <v>0</v>
      </c>
      <c r="C17" s="3" t="s">
        <v>48</v>
      </c>
      <c r="G17" s="3" t="s">
        <v>49</v>
      </c>
      <c r="H17" s="3" t="s">
        <v>50</v>
      </c>
    </row>
    <row r="18" spans="1:8" x14ac:dyDescent="0.2">
      <c r="A18" s="6">
        <v>46037</v>
      </c>
      <c r="B18" s="5" t="b">
        <v>0</v>
      </c>
      <c r="C18" s="3" t="s">
        <v>51</v>
      </c>
      <c r="G18" s="3" t="s">
        <v>52</v>
      </c>
      <c r="H18" s="3" t="s">
        <v>53</v>
      </c>
    </row>
    <row r="19" spans="1:8" x14ac:dyDescent="0.2">
      <c r="A19" s="6">
        <v>46037</v>
      </c>
      <c r="B19" s="7" t="b">
        <v>0</v>
      </c>
      <c r="C19" s="3" t="s">
        <v>54</v>
      </c>
      <c r="G19" s="3" t="s">
        <v>16</v>
      </c>
      <c r="H19" s="3" t="s">
        <v>55</v>
      </c>
    </row>
    <row r="20" spans="1:8" x14ac:dyDescent="0.2">
      <c r="A20" s="6">
        <v>46037</v>
      </c>
      <c r="B20" s="7" t="b">
        <v>0</v>
      </c>
      <c r="C20" s="3" t="s">
        <v>56</v>
      </c>
      <c r="G20" s="3" t="s">
        <v>57</v>
      </c>
      <c r="H20" s="3" t="s">
        <v>58</v>
      </c>
    </row>
    <row r="21" spans="1:8" x14ac:dyDescent="0.2">
      <c r="A21" s="6">
        <v>46037</v>
      </c>
      <c r="B21" s="7" t="b">
        <v>0</v>
      </c>
      <c r="C21" s="3" t="s">
        <v>59</v>
      </c>
      <c r="G21" s="3" t="s">
        <v>60</v>
      </c>
      <c r="H21" s="3" t="s">
        <v>61</v>
      </c>
    </row>
    <row r="22" spans="1:8" x14ac:dyDescent="0.2">
      <c r="A22" s="6">
        <v>46037</v>
      </c>
      <c r="B22" s="7" t="b">
        <v>0</v>
      </c>
      <c r="C22" s="3" t="s">
        <v>62</v>
      </c>
      <c r="G22" s="3" t="s">
        <v>63</v>
      </c>
      <c r="H22" s="3" t="s">
        <v>64</v>
      </c>
    </row>
    <row r="23" spans="1:8" x14ac:dyDescent="0.2">
      <c r="A23" s="4">
        <v>46037</v>
      </c>
      <c r="B23" s="7" t="b">
        <v>0</v>
      </c>
      <c r="C23" s="3" t="s">
        <v>65</v>
      </c>
      <c r="G23" s="3" t="s">
        <v>66</v>
      </c>
      <c r="H23" s="3" t="s">
        <v>67</v>
      </c>
    </row>
    <row r="24" spans="1:8" x14ac:dyDescent="0.2">
      <c r="A24" s="4">
        <v>46037</v>
      </c>
      <c r="B24" s="5" t="b">
        <v>0</v>
      </c>
      <c r="C24" s="3" t="s">
        <v>68</v>
      </c>
      <c r="G24" s="3" t="s">
        <v>69</v>
      </c>
      <c r="H24" s="3" t="s">
        <v>70</v>
      </c>
    </row>
    <row r="25" spans="1:8" x14ac:dyDescent="0.2">
      <c r="A25" s="4">
        <v>46037</v>
      </c>
      <c r="B25" s="5" t="b">
        <v>0</v>
      </c>
      <c r="C25" s="3" t="s">
        <v>71</v>
      </c>
      <c r="G25" s="3" t="s">
        <v>72</v>
      </c>
      <c r="H25" s="3" t="s">
        <v>73</v>
      </c>
    </row>
    <row r="26" spans="1:8" x14ac:dyDescent="0.2">
      <c r="A26" s="4">
        <v>46037</v>
      </c>
      <c r="B26" s="5" t="b">
        <v>0</v>
      </c>
      <c r="C26" s="3" t="s">
        <v>74</v>
      </c>
      <c r="G26" s="3" t="s">
        <v>75</v>
      </c>
      <c r="H26" s="3" t="s">
        <v>76</v>
      </c>
    </row>
    <row r="27" spans="1:8" x14ac:dyDescent="0.2">
      <c r="A27" s="4">
        <v>46037</v>
      </c>
      <c r="B27" s="5" t="b">
        <v>0</v>
      </c>
      <c r="C27" s="3" t="s">
        <v>77</v>
      </c>
      <c r="G27" s="3" t="s">
        <v>10</v>
      </c>
      <c r="H27" s="3" t="s">
        <v>78</v>
      </c>
    </row>
    <row r="28" spans="1:8" x14ac:dyDescent="0.2">
      <c r="A28" s="4">
        <v>46037</v>
      </c>
      <c r="B28" s="5" t="b">
        <v>0</v>
      </c>
      <c r="C28" s="3" t="s">
        <v>79</v>
      </c>
      <c r="G28" s="3" t="s">
        <v>80</v>
      </c>
      <c r="H28" s="3" t="s">
        <v>81</v>
      </c>
    </row>
    <row r="29" spans="1:8" x14ac:dyDescent="0.2">
      <c r="A29" s="6">
        <v>46037</v>
      </c>
      <c r="B29" s="5" t="b">
        <v>0</v>
      </c>
      <c r="G29" s="3" t="s">
        <v>82</v>
      </c>
      <c r="H29" s="3" t="s">
        <v>83</v>
      </c>
    </row>
    <row r="30" spans="1:8" x14ac:dyDescent="0.2">
      <c r="A30" s="6">
        <v>46037</v>
      </c>
      <c r="B30" s="7" t="b">
        <v>0</v>
      </c>
    </row>
    <row r="31" spans="1:8" x14ac:dyDescent="0.2">
      <c r="A31" s="6">
        <v>46037</v>
      </c>
      <c r="B31" s="7" t="b">
        <v>0</v>
      </c>
    </row>
    <row r="32" spans="1:8" x14ac:dyDescent="0.2">
      <c r="A32" s="6">
        <v>46037</v>
      </c>
      <c r="B32" s="7" t="b">
        <v>0</v>
      </c>
    </row>
    <row r="34" spans="2:2" x14ac:dyDescent="0.2">
      <c r="B34" s="3" t="s">
        <v>84</v>
      </c>
    </row>
    <row r="35" spans="2:2" x14ac:dyDescent="0.2">
      <c r="B35" s="3" t="s">
        <v>85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CMJ Readiness</vt:lpstr>
      <vt:lpstr>Roster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Katz</cp:lastModifiedBy>
  <dcterms:created xsi:type="dcterms:W3CDTF">2026-08-21T00:32:03Z</dcterms:created>
  <dcterms:modified xsi:type="dcterms:W3CDTF">2026-08-21T01:21:49Z</dcterms:modified>
</cp:coreProperties>
</file>